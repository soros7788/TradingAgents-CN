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2"/>
    <sheet name="关键变量表" sheetId="2" state="visible" r:id="rId3"/>
    <sheet name="账户总表" sheetId="3" state="visible" r:id="rId4"/>
    <sheet name="持仓表" sheetId="4" state="visible" r:id="rId5"/>
    <sheet name="候选池" sheetId="5" state="visible" r:id="rId6"/>
    <sheet name="交易记录" sheetId="6" state="visible" r:id="rId7"/>
    <sheet name="心态日志" sheetId="7" state="visible" r:id="rId8"/>
    <sheet name="周复盘" sheetId="8" state="visible" r:id="rId9"/>
    <sheet name="候选池历史" sheetId="9" state="visible" r:id="rId10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<sst xmlns="http://schemas.openxmlformats.org/spreadsheetml/2006/main" count="1079" uniqueCount="658">
  <si>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</si>
  <si>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</si>
  <si>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</si>
  <si>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</si>
  <si>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</si>
  <si>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</si>
  <si>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</si>
  <si>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t xml:space="preserve">A.卖出</t>
  </si>
  <si>
    <t xml:space="preserve">方盛制药(603998)</t>
  </si>
  <si>
    <t xml:space="preserve">日线中枢破位-9.4%, 破位最深</t>
  </si>
  <si>
    <t xml:space="preserve">卖出100股@8.87</t>
  </si>
  <si>
    <t xml:space="preserve">已委托(12:27:33)待成交</t>
  </si>
  <si>
    <t xml:space="preserve">撤单重挂</t>
  </si>
  <si>
    <t xml:space="preserve">策略C:成本9.271定日线, 现价8.96&lt;下沿9.89</t>
  </si>
  <si>
    <t xml:space="preserve">创力集团(603012)</t>
  </si>
  <si>
    <t xml:space="preserve">日线中枢破位-1.8%</t>
  </si>
  <si>
    <t xml:space="preserve">卖出100股@8.02</t>
  </si>
  <si>
    <t xml:space="preserve">已委托(12:25:01)待成交</t>
  </si>
  <si>
    <t xml:space="preserve">策略C:成本8.021定日线, 现价8.03&lt;下沿8.18</t>
  </si>
  <si>
    <t xml:space="preserve">新五丰(600975)</t>
  </si>
  <si>
    <t xml:space="preserve">日线中枢破位-3.1%</t>
  </si>
  <si>
    <t xml:space="preserve">卖出300股@4.69</t>
  </si>
  <si>
    <t xml:space="preserve">已委托(12:27:06)待成交</t>
  </si>
  <si>
    <t xml:space="preserve">策略C:成本4.804定日线, 现价4.73&lt;下沿4.88</t>
  </si>
  <si>
    <t xml:space="preserve">建研院(603183)</t>
  </si>
  <si>
    <t xml:space="preserve">日线中枢破位-0.2%</t>
  </si>
  <si>
    <t xml:space="preserve">卖出200股@3.97</t>
  </si>
  <si>
    <t xml:space="preserve">已委托(12:25:48)待成交</t>
  </si>
  <si>
    <t xml:space="preserve">策略C:成本3.966定日线, 现价4.02&lt;下沿4.03</t>
  </si>
  <si>
    <t xml:space="preserve">曲美家居(603818)</t>
  </si>
  <si>
    <t xml:space="preserve">日线中枢破位-2.8%</t>
  </si>
  <si>
    <t xml:space="preserve">卖出500股@3.04</t>
  </si>
  <si>
    <t xml:space="preserve">已委托(12:27:59)待成交</t>
  </si>
  <si>
    <t xml:space="preserve">策略C:成本3.142定日线, 现价3.09&lt;下沿3.18</t>
  </si>
  <si>
    <t xml:space="preserve">B.撤单</t>
  </si>
  <si>
    <t xml:space="preserve">太平洋(601099)</t>
  </si>
  <si>
    <t xml:space="preserve">V2校准DL_P=0.7054&lt;0.8, 未确认</t>
  </si>
  <si>
    <t xml:space="preserve">撤单</t>
  </si>
  <si>
    <t xml:space="preserve">已撤单(12:19:00)</t>
  </si>
  <si>
    <t xml:space="preserve">—</t>
  </si>
  <si>
    <t xml:space="preserve">V1假阳性(旧=0.832), V2修正后不达标</t>
  </si>
  <si>
    <t xml:space="preserve">国邦医药(601507)</t>
  </si>
  <si>
    <t xml:space="preserve">无K线数据, 无法验证</t>
  </si>
  <si>
    <t xml:space="preserve">已撤单</t>
  </si>
  <si>
    <t xml:space="preserve">数据源缺失, 不可盲买</t>
  </si>
  <si>
    <t xml:space="preserve">C.买入</t>
  </si>
  <si>
    <t xml:space="preserve">皇氏集团(002329)</t>
  </si>
  <si>
    <t xml:space="preserve">V2 DL_P=0.9370 ratio=2.2%</t>
  </si>
  <si>
    <t xml:space="preserve">买入600股@3.12</t>
  </si>
  <si>
    <t xml:space="preserve">已委托(14:39:39)待成交</t>
  </si>
  <si>
    <t xml:space="preserve">一买区(中枢下方3.12&lt;3.18), 深市</t>
  </si>
  <si>
    <t xml:space="preserve">日上集团(002593)</t>
  </si>
  <si>
    <t xml:space="preserve">V2 DL_P=0.9310 ratio=14.9% [核心池]</t>
  </si>
  <si>
    <t xml:space="preserve">买入500股@4.09</t>
  </si>
  <si>
    <t xml:space="preserve">已委托(14:41:54)待成交</t>
  </si>
  <si>
    <t xml:space="preserve">一买区(中枢下方4.07&lt;4.11), 深市, 核心池替换边缘池澳洋健康</t>
  </si>
  <si>
    <t xml:space="preserve">宝地矿业(601121)</t>
  </si>
  <si>
    <t xml:space="preserve">V2 DL_P=0.9214 ratio=6.5%</t>
  </si>
  <si>
    <t xml:space="preserve">买入300股@6.49</t>
  </si>
  <si>
    <t xml:space="preserve">已委托(14:40:31)待成交</t>
  </si>
  <si>
    <t xml:space="preserve">中枢内买入(6.49在[6.35,6.52]内), 沪市</t>
  </si>
  <si>
    <t xml:space="preserve">D.持有</t>
  </si>
  <si>
    <t xml:space="preserve">隆基绿能(601012)</t>
  </si>
  <si>
    <t xml:space="preserve">日线中枢上方, 策略C合规</t>
  </si>
  <si>
    <t xml:space="preserve">持有200股</t>
  </si>
  <si>
    <t xml:space="preserve">成本11.107, 现价12.42&gt;上沿11.98, 浮盈11.9%</t>
  </si>
  <si>
    <t xml:space="preserve">东风股份(600006)</t>
  </si>
  <si>
    <r>
      <rPr>
        <sz val="11"/>
        <color rgb="FF000000"/>
        <rFont val="Calibri"/>
        <family val="2"/>
        <charset val="1"/>
      </rPr>
      <t xml:space="preserve">WAIVED</t>
    </r>
    <r>
      <rPr>
        <sz val="11"/>
        <color rgb="FF000000"/>
        <rFont val="Noto Sans CJK SC"/>
        <family val="2"/>
      </rPr>
      <t xml:space="preserve">豁免</t>
    </r>
  </si>
  <si>
    <t xml:space="preserve">持有100股</t>
  </si>
  <si>
    <t xml:space="preserve">固定止损5.22, 浮亏-38.8%, 不操作</t>
  </si>
  <si>
    <t xml:space="preserve">E.资金</t>
  </si>
  <si>
    <t xml:space="preserve">卖出释放</t>
  </si>
  <si>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只</t>
    </r>
    <r>
      <rPr>
        <sz val="11"/>
        <color rgb="FF000000"/>
        <rFont val="Calibri"/>
        <family val="2"/>
        <charset val="1"/>
      </rPr>
      <t xml:space="preserve">×</t>
    </r>
    <r>
      <rPr>
        <sz val="11"/>
        <color rgb="FF000000"/>
        <rFont val="Noto Sans CJK SC"/>
        <family val="2"/>
      </rPr>
      <t xml:space="preserve">各委托价</t>
    </r>
  </si>
  <si>
    <t xml:space="preserve">+¥5,467</t>
  </si>
  <si>
    <t xml:space="preserve">方盛887+创力802+新五丰1407+建研794+曲美1520</t>
  </si>
  <si>
    <t xml:space="preserve">买入冻结</t>
  </si>
  <si>
    <t xml:space="preserve">3只×各委托价</t>
  </si>
  <si>
    <t xml:space="preserve">-¥5,864</t>
  </si>
  <si>
    <t xml:space="preserve">皇氏1872+日上2045+宝地1947</t>
  </si>
  <si>
    <t xml:space="preserve">成交后现金</t>
  </si>
  <si>
    <t xml:space="preserve">12358+5410-5864</t>
  </si>
  <si>
    <t xml:space="preserve">¥11,904</t>
  </si>
  <si>
    <t xml:space="preserve">现金充裕</t>
  </si>
  <si>
    <t xml:space="preserve">E.仓位</t>
  </si>
  <si>
    <t xml:space="preserve">成交后仓位</t>
  </si>
  <si>
    <t xml:space="preserve">持仓8348/总资产20842</t>
  </si>
  <si>
    <t xml:space="preserve">40.0%</t>
  </si>
  <si>
    <t xml:space="preserve">隆基2484+新买5864=8348, 达40%上限, 不再补仓</t>
  </si>
  <si>
    <t xml:space="preserve">F.风控</t>
  </si>
  <si>
    <t xml:space="preserve">总仓位上限</t>
  </si>
  <si>
    <t xml:space="preserve">账户阶段=婴儿</t>
  </si>
  <si>
    <t xml:space="preserve">40%</t>
  </si>
  <si>
    <t xml:space="preserve">当前40.0%, 禁止再加仓</t>
  </si>
  <si>
    <t xml:space="preserve">单股上限</t>
  </si>
  <si>
    <t xml:space="preserve">35%</t>
  </si>
  <si>
    <t xml:space="preserve">最大持仓: 隆基11.9%, 合规</t>
  </si>
  <si>
    <t xml:space="preserve">止损纪律</t>
  </si>
  <si>
    <t xml:space="preserve">新买入标的需设止损</t>
  </si>
  <si>
    <t xml:space="preserve">开盘设置</t>
  </si>
  <si>
    <t xml:space="preserve">皇氏止损2.96, 日上止损3.89, 宝地止损6.17</t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</si>
  <si>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</si>
  <si>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</si>
  <si>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Noto Sans CJK SC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</si>
  <si>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</si>
  <si>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</si>
  <si>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</si>
  <si>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</si>
  <si>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</si>
  <si>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</si>
  <si>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t xml:space="preserve">账户总表!最大回撤</t>
  </si>
  <si>
    <t xml:space="preserve">(TotalAsset-PeakAsset)/PeakAsset</t>
  </si>
  <si>
    <t xml:space="preserve">&lt;=-10%, &lt;=-15%</t>
  </si>
  <si>
    <t xml:space="preserve">降总仓位/禁止新买入</t>
  </si>
  <si>
    <t xml:space="preserve">每日+周复盘</t>
  </si>
  <si>
    <t xml:space="preserve">决定系统是否降速</t>
  </si>
  <si>
    <t xml:space="preserve">单笔止损</t>
  </si>
  <si>
    <t xml:space="preserve">持仓表!止损价</t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</si>
  <si>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</si>
  <si>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</si>
  <si>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</si>
  <si>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</si>
  <si>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</si>
  <si>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</si>
  <si>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t xml:space="preserve">交易记录!结果分类</t>
  </si>
  <si>
    <t xml:space="preserve">近5笔亏损数</t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</si>
  <si>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Noto Sans CJK SC"/>
        <family val="2"/>
      </rPr>
      <t xml:space="preserve">笔</t>
    </r>
  </si>
  <si>
    <t xml:space="preserve">暂停新开仓5个交易日</t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</si>
  <si>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</si>
  <si>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</si>
  <si>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</si>
  <si>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</si>
  <si>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t xml:space="preserve">账户总表!赚钱效应分数</t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</si>
  <si>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Noto Sans CJK SC"/>
        <family val="2"/>
      </rPr>
      <t xml:space="preserve">分</t>
    </r>
  </si>
  <si>
    <t xml:space="preserve">&gt;=3</t>
  </si>
  <si>
    <t xml:space="preserve">允许转入/扩大执行</t>
  </si>
  <si>
    <t xml:space="preserve">周末</t>
  </si>
  <si>
    <t xml:space="preserve">强时按系数放大转入</t>
  </si>
  <si>
    <t xml:space="preserve">合规候选数量</t>
  </si>
  <si>
    <t xml:space="preserve">候选池!最终是否可买</t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</si>
  <si>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Noto Sans CJK SC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</si>
  <si>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</si>
  <si>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</si>
  <si>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t xml:space="preserve">周末+盘前</t>
  </si>
  <si>
    <t xml:space="preserve">只统计规则通过标的</t>
  </si>
  <si>
    <t xml:space="preserve">收缩变量</t>
  </si>
  <si>
    <t xml:space="preserve">亏钱效应分数</t>
  </si>
  <si>
    <t xml:space="preserve">账户总表!亏钱效应分数</t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</si>
  <si>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Noto Sans CJK SC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</si>
  <si>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Noto Sans CJK SC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Noto Sans CJK SC"/>
        <family val="2"/>
      </rPr>
      <t xml:space="preserve">防守</t>
    </r>
  </si>
  <si>
    <t xml:space="preserve">暂停转入/提高现金</t>
  </si>
  <si>
    <t xml:space="preserve">每日+周末</t>
  </si>
  <si>
    <t xml:space="preserve">优先级高于赚钱效应</t>
  </si>
  <si>
    <t xml:space="preserve">RiskWatch</t>
  </si>
  <si>
    <t xml:space="preserve">持仓表!RiskWatch</t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</si>
  <si>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</si>
  <si>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</si>
  <si>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</si>
  <si>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</si>
  <si>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</si>
  <si>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</si>
  <si>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t xml:space="preserve">账户总表!总仓位上限</t>
  </si>
  <si>
    <t xml:space="preserve">市场状态+信号等级+回撤保护</t>
  </si>
  <si>
    <t xml:space="preserve">最高70%</t>
  </si>
  <si>
    <t xml:space="preserve">限制新增买入</t>
  </si>
  <si>
    <t xml:space="preserve">周一盘前</t>
  </si>
  <si>
    <t xml:space="preserve">硬性仓位上限</t>
  </si>
  <si>
    <t xml:space="preserve">SingleStockCap</t>
  </si>
  <si>
    <t xml:space="preserve">账户总表!单股上限</t>
  </si>
  <si>
    <t xml:space="preserve">按总资产分档</t>
  </si>
  <si>
    <t xml:space="preserve">20%-35%</t>
  </si>
  <si>
    <t xml:space="preserve">限制单票暴露</t>
  </si>
  <si>
    <t xml:space="preserve">非WAIVED适用</t>
  </si>
  <si>
    <t xml:space="preserve">MaxShares/MinShares</t>
  </si>
  <si>
    <t xml:space="preserve">候选池!最大/最小可买股数</t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</si>
  <si>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Noto Sans CJK SC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</si>
  <si>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</si>
  <si>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</si>
  <si>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</si>
  <si>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Noto Sans CJK SC"/>
        <family val="2"/>
      </rPr>
      <t xml:space="preserve">股最小单位适配</t>
    </r>
  </si>
  <si>
    <t xml:space="preserve">执行变量</t>
  </si>
  <si>
    <t xml:space="preserve">NotChasing</t>
  </si>
  <si>
    <t xml:space="preserve">候选池!是否未追价</t>
  </si>
  <si>
    <t xml:space="preserve">Price&lt;=SignalPrice*1.02</t>
  </si>
  <si>
    <t xml:space="preserve">是</t>
  </si>
  <si>
    <t xml:space="preserve">禁止情绪追价</t>
  </si>
  <si>
    <t xml:space="preserve">盘前+盘中</t>
  </si>
  <si>
    <t xml:space="preserve">高开无回踩不买</t>
  </si>
  <si>
    <t xml:space="preserve">StopDefined</t>
  </si>
  <si>
    <t xml:space="preserve">候选池!止损价</t>
  </si>
  <si>
    <t xml:space="preserve">StopPrice&gt;0</t>
  </si>
  <si>
    <t xml:space="preserve">买入资格前提</t>
  </si>
  <si>
    <t xml:space="preserve">没有止损不买</t>
  </si>
  <si>
    <t xml:space="preserve">Buy</t>
  </si>
  <si>
    <t xml:space="preserve">多条件AND</t>
  </si>
  <si>
    <t xml:space="preserve">允许下单</t>
  </si>
  <si>
    <t xml:space="preserve">盘中只看是/否</t>
  </si>
  <si>
    <t xml:space="preserve">复利变量</t>
  </si>
  <si>
    <t xml:space="preserve">初始本金</t>
  </si>
  <si>
    <t xml:space="preserve">账户总表!初始本金</t>
  </si>
  <si>
    <t xml:space="preserve">手工输入</t>
  </si>
  <si>
    <t xml:space="preserve">&gt;0</t>
  </si>
  <si>
    <t xml:space="preserve">复利基准</t>
  </si>
  <si>
    <t xml:space="preserve">首次入金时</t>
  </si>
  <si>
    <t xml:space="preserve">只在AA2输入一次</t>
  </si>
  <si>
    <t xml:space="preserve">目标年化收益率</t>
  </si>
  <si>
    <t xml:space="preserve">账户总表!目标年化收益率</t>
  </si>
  <si>
    <t xml:space="preserve">手工输入(默认30%)</t>
  </si>
  <si>
    <t xml:space="preserve">0-100%</t>
  </si>
  <si>
    <t xml:space="preserve">复利目标</t>
  </si>
  <si>
    <t xml:space="preserve">可根据阶段调整</t>
  </si>
  <si>
    <t xml:space="preserve">目标超额转出比例</t>
  </si>
  <si>
    <t xml:space="preserve">账户总表!Y列转出系数</t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</si>
  <si>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Noto Sans CJK SC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Noto Sans CJK SC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</si>
  <si>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</si>
  <si>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</si>
  <si>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</si>
  <si>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</si>
  <si>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t xml:space="preserve">账户总表!复利偏离度</t>
  </si>
  <si>
    <t xml:space="preserve">总资产/目标资产-1</t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</si>
  <si>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Noto Sans CJK SC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Noto Sans CJK SC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Noto Sans CJK SC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Noto Sans CJK SC"/>
        <family val="2"/>
      </rPr>
      <t xml:space="preserve">红</t>
    </r>
  </si>
  <si>
    <t xml:space="preserve">目标进度指示</t>
  </si>
  <si>
    <t xml:space="preserve">绿=跑赢 红=落后</t>
  </si>
  <si>
    <t xml:space="preserve">心态变量</t>
  </si>
  <si>
    <t xml:space="preserve">心态得分</t>
  </si>
  <si>
    <t xml:space="preserve">心态日志!心态得分</t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</si>
  <si>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Noto Sans CJK SC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Noto Sans CJK SC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Noto Sans CJK SC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</si>
  <si>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Noto Sans CJK SC"/>
        <family val="2"/>
      </rPr>
      <t xml:space="preserve">达标</t>
    </r>
  </si>
  <si>
    <t xml:space="preserve">达标=轻态化执行好</t>
  </si>
  <si>
    <t xml:space="preserve">第四角指标</t>
  </si>
  <si>
    <t xml:space="preserve">轻态化达标</t>
  </si>
  <si>
    <t xml:space="preserve">心态日志!轻态化达标</t>
  </si>
  <si>
    <t xml:space="preserve">得分&gt;=80%</t>
  </si>
  <si>
    <t xml:space="preserve">达标天数/总天数</t>
  </si>
  <si>
    <t xml:space="preserve">不达标需复盘原因</t>
  </si>
  <si>
    <t xml:space="preserve">每周</t>
  </si>
  <si>
    <t xml:space="preserve">趋势跟踪</t>
  </si>
  <si>
    <t xml:space="preserve">连续达标天数</t>
  </si>
  <si>
    <t xml:space="preserve">心态日志!连续达标天数</t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</si>
  <si>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</si>
  <si>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Noto Sans CJK SC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Noto Sans CJK SC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</si>
  <si>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</si>
  <si>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</si>
  <si>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</si>
  <si>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t xml:space="preserve">心态日志!盘中看盘次数</t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</si>
  <si>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</si>
  <si>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Noto Sans CJK SC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Noto Sans CJK SC"/>
        <family val="2"/>
      </rPr>
      <t xml:space="preserve">满分</t>
    </r>
  </si>
  <si>
    <t xml:space="preserve">目标逐步降至0次</t>
  </si>
  <si>
    <t xml:space="preserve">信息节食核心指标</t>
  </si>
  <si>
    <t xml:space="preserve">日期</t>
  </si>
  <si>
    <t xml:space="preserve">总资产 TotalAsset</t>
  </si>
  <si>
    <t xml:space="preserve">可用现金 CashAvailable</t>
  </si>
  <si>
    <t xml:space="preserve">持仓市值</t>
  </si>
  <si>
    <t xml:space="preserve">总仓位 TotalPositionRatio</t>
  </si>
  <si>
    <t xml:space="preserve">净入金 NetDeposit</t>
  </si>
  <si>
    <t xml:space="preserve">阶段高点资产 PeakAsset</t>
  </si>
  <si>
    <t xml:space="preserve">账户收益率 AccountReturn</t>
  </si>
  <si>
    <t xml:space="preserve">最大回撤 MaxDrawdown</t>
  </si>
  <si>
    <t xml:space="preserve">当前市场状态 MarketState</t>
  </si>
  <si>
    <t xml:space="preserve">本周最高信号等级</t>
  </si>
  <si>
    <t xml:space="preserve">总仓位上限 TotalPositionCap</t>
  </si>
  <si>
    <t xml:space="preserve">单股上限 SingleStockCap</t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</si>
  <si>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</si>
  <si>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Noto Sans CJK SC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</si>
  <si>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</si>
  <si>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</si>
  <si>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</si>
  <si>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</si>
  <si>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</si>
  <si>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</si>
  <si>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</si>
  <si>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</si>
  <si>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t xml:space="preserve">初始本金 Principal</t>
  </si>
  <si>
    <t xml:space="preserve">目标年化收益率 TargetAnnualReturn</t>
  </si>
  <si>
    <t xml:space="preserve">运行月数 MonthsRunning</t>
  </si>
  <si>
    <t xml:space="preserve">目标资产 TargetAsset</t>
  </si>
  <si>
    <t xml:space="preserve">复利偏离度 CompoundDeviation</t>
  </si>
  <si>
    <t xml:space="preserve">交易股票数 TradeCount</t>
  </si>
  <si>
    <t xml:space="preserve">账户阶段</t>
  </si>
  <si>
    <t xml:space="preserve">平均仓位 AvgPosition</t>
  </si>
  <si>
    <t xml:space="preserve">平均持仓天数 AvgHoldDays</t>
  </si>
  <si>
    <t xml:space="preserve">交易成功率 SuccessRate</t>
  </si>
  <si>
    <t xml:space="preserve">资金周转率 CapitalTurnover</t>
  </si>
  <si>
    <t xml:space="preserve">做T次数 T0Count</t>
  </si>
  <si>
    <t xml:space="preserve">做T成功率 T0SuccessRate</t>
  </si>
  <si>
    <t xml:space="preserve">重仓行业 HeavySector</t>
  </si>
  <si>
    <t xml:space="preserve">投资风格 Style</t>
  </si>
  <si>
    <t xml:space="preserve">跑赢上证 BeatIndex</t>
  </si>
  <si>
    <t xml:space="preserve">净入金后累计盈利 RealPnL</t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</si>
  <si>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</si>
  <si>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</si>
  <si>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</si>
  <si>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</si>
  <si>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</si>
  <si>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</si>
  <si>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</si>
  <si>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</si>
  <si>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</si>
  <si>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</si>
  <si>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</si>
  <si>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</si>
  <si>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</si>
  <si>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</si>
  <si>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</si>
  <si>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</si>
  <si>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</si>
  <si>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</si>
  <si>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</si>
  <si>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</si>
  <si>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</si>
  <si>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</si>
  <si>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</si>
  <si>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</si>
  <si>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</si>
  <si>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</si>
  <si>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</si>
  <si>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Noto Sans CJK SC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Noto Sans CJK SC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Noto Sans CJK SC"/>
        <family val="2"/>
      </rPr>
      <t xml:space="preserve">元</t>
    </r>
  </si>
  <si>
    <t xml:space="preserve">化工</t>
  </si>
  <si>
    <t xml:space="preserve">大盘价值</t>
  </si>
  <si>
    <t xml:space="preserve">警戒-周一委托中(买3卖5待成交)</t>
  </si>
  <si>
    <t xml:space="preserve">股票名称</t>
  </si>
  <si>
    <t xml:space="preserve">代码</t>
  </si>
  <si>
    <t xml:space="preserve">是否WAIVED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</si>
  <si>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Noto Sans CJK SC"/>
        <family val="2"/>
      </rPr>
      <t xml:space="preserve">基准价</t>
    </r>
  </si>
  <si>
    <t xml:space="preserve">买入日期</t>
  </si>
  <si>
    <t xml:space="preserve">持股数量 Shares</t>
  </si>
  <si>
    <t xml:space="preserve">持仓均价 EntryPrice</t>
  </si>
  <si>
    <t xml:space="preserve">当前价 Close</t>
  </si>
  <si>
    <t xml:space="preserve">成本金额</t>
  </si>
  <si>
    <t xml:space="preserve">浮盈亏金额</t>
  </si>
  <si>
    <t xml:space="preserve">浮盈亏比 ProfitRatio</t>
  </si>
  <si>
    <t xml:space="preserve">持仓占比 PositionRatio</t>
  </si>
  <si>
    <t xml:space="preserve">买点低点 BuyPointLow</t>
  </si>
  <si>
    <t xml:space="preserve">止损价 StopPrice</t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</si>
  <si>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</si>
  <si>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</si>
  <si>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</si>
  <si>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</si>
  <si>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</si>
  <si>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</si>
  <si>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</si>
  <si>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</si>
  <si>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</si>
  <si>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</si>
  <si>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</si>
  <si>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</si>
  <si>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</si>
  <si>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</si>
  <si>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</si>
  <si>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t xml:space="preserve">东风股份</t>
  </si>
  <si>
    <t xml:space="preserve">600006</t>
  </si>
  <si>
    <t xml:space="preserve">2026-07-24</t>
  </si>
  <si>
    <t xml:space="preserve">隆基绿能</t>
  </si>
  <si>
    <t xml:space="preserve">601012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</si>
  <si>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</si>
  <si>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</si>
  <si>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</si>
  <si>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</si>
  <si>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</si>
  <si>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</si>
  <si>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</si>
  <si>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</si>
  <si>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</si>
  <si>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</si>
  <si>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当前价 Price</t>
  </si>
  <si>
    <t xml:space="preserve">信号价 SignalPrice</t>
  </si>
  <si>
    <t xml:space="preserve">分层Tier</t>
  </si>
  <si>
    <t xml:space="preserve">是否确认信号 ConfirmedSignal</t>
  </si>
  <si>
    <t xml:space="preserve">是否未追价 NotChasing</t>
  </si>
  <si>
    <t xml:space="preserve">最大持仓金额 MaxPositionValue</t>
  </si>
  <si>
    <t xml:space="preserve">理论最大股数 RawShares</t>
  </si>
  <si>
    <t xml:space="preserve">最大可买股数 MaxShares</t>
  </si>
  <si>
    <t xml:space="preserve">最小可买股数 MinShares</t>
  </si>
  <si>
    <t xml:space="preserve">计划买入股数 BuyShares</t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</si>
  <si>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</si>
  <si>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</si>
  <si>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</si>
  <si>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</si>
  <si>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t xml:space="preserve">失效条件 InvalidationCondition</t>
  </si>
  <si>
    <t xml:space="preserve">是否需要转入</t>
  </si>
  <si>
    <t xml:space="preserve">最低转入金额</t>
  </si>
  <si>
    <t xml:space="preserve">建议转入金额</t>
  </si>
  <si>
    <t xml:space="preserve">最终是否可买 Buy</t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</si>
  <si>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</si>
  <si>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</si>
  <si>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Noto Sans CJK SC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</si>
  <si>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</si>
  <si>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</si>
  <si>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</si>
  <si>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</si>
  <si>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</si>
  <si>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t xml:space="preserve">买入1手后仓位</t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</si>
  <si>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</si>
  <si>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</si>
  <si>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</si>
  <si>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</si>
  <si>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</si>
  <si>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</si>
  <si>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</si>
  <si>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高争民爆</t>
  </si>
  <si>
    <t xml:space="preserve">002827</t>
  </si>
  <si>
    <t xml:space="preserve">一买</t>
  </si>
  <si>
    <t xml:space="preserve">皇氏集团</t>
  </si>
  <si>
    <t xml:space="preserve">002329</t>
  </si>
  <si>
    <t xml:space="preserve">奥锐特</t>
  </si>
  <si>
    <t xml:space="preserve">605116</t>
  </si>
  <si>
    <t xml:space="preserve">华东医药</t>
  </si>
  <si>
    <t xml:space="preserve">000963</t>
  </si>
  <si>
    <t xml:space="preserve">日上集团</t>
  </si>
  <si>
    <t xml:space="preserve">002593</t>
  </si>
  <si>
    <t xml:space="preserve">沃华医药</t>
  </si>
  <si>
    <t xml:space="preserve">002107</t>
  </si>
  <si>
    <t xml:space="preserve">吉比特</t>
  </si>
  <si>
    <t xml:space="preserve">603444</t>
  </si>
  <si>
    <t xml:space="preserve">需转入22422元</t>
  </si>
  <si>
    <t xml:space="preserve">宝地矿业</t>
  </si>
  <si>
    <t xml:space="preserve">601121</t>
  </si>
  <si>
    <t xml:space="preserve">台华新材</t>
  </si>
  <si>
    <t xml:space="preserve">603055</t>
  </si>
  <si>
    <t xml:space="preserve">小方制药</t>
  </si>
  <si>
    <t xml:space="preserve">603207</t>
  </si>
  <si>
    <t xml:space="preserve">皮阿诺</t>
  </si>
  <si>
    <t xml:space="preserve">002853</t>
  </si>
  <si>
    <t xml:space="preserve">海翔药业</t>
  </si>
  <si>
    <t xml:space="preserve">002099</t>
  </si>
  <si>
    <t xml:space="preserve">海德股份</t>
  </si>
  <si>
    <t xml:space="preserve">000567</t>
  </si>
  <si>
    <t xml:space="preserve">双鹭药业</t>
  </si>
  <si>
    <t xml:space="preserve">002038</t>
  </si>
  <si>
    <t xml:space="preserve">润都股份</t>
  </si>
  <si>
    <t xml:space="preserve">002923</t>
  </si>
  <si>
    <t xml:space="preserve">宇新股份</t>
  </si>
  <si>
    <t xml:space="preserve">002986</t>
  </si>
  <si>
    <t xml:space="preserve">皓宸医疗</t>
  </si>
  <si>
    <t xml:space="preserve">002622</t>
  </si>
  <si>
    <t xml:space="preserve">拱东医疗</t>
  </si>
  <si>
    <t xml:space="preserve">605369</t>
  </si>
  <si>
    <t xml:space="preserve">嘉麟杰</t>
  </si>
  <si>
    <t xml:space="preserve">002486</t>
  </si>
  <si>
    <t xml:space="preserve">华统股份</t>
  </si>
  <si>
    <t xml:space="preserve">002840</t>
  </si>
  <si>
    <t xml:space="preserve">恺英网络</t>
  </si>
  <si>
    <t xml:space="preserve">002517</t>
  </si>
  <si>
    <t xml:space="preserve">合锻智能</t>
  </si>
  <si>
    <t xml:space="preserve">603011</t>
  </si>
  <si>
    <t xml:space="preserve">新泉股份</t>
  </si>
  <si>
    <t xml:space="preserve">603179</t>
  </si>
  <si>
    <t xml:space="preserve">国晟科技</t>
  </si>
  <si>
    <t xml:space="preserve">603778</t>
  </si>
  <si>
    <t xml:space="preserve">汇通控股</t>
  </si>
  <si>
    <t xml:space="preserve">603409</t>
  </si>
  <si>
    <t xml:space="preserve">畅联股份</t>
  </si>
  <si>
    <t xml:space="preserve">603648</t>
  </si>
  <si>
    <t xml:space="preserve">贵绳股份</t>
  </si>
  <si>
    <t xml:space="preserve">600992</t>
  </si>
  <si>
    <t xml:space="preserve">九华旅游</t>
  </si>
  <si>
    <t xml:space="preserve">603199</t>
  </si>
  <si>
    <t xml:space="preserve">五洲特纸</t>
  </si>
  <si>
    <t xml:space="preserve">605007</t>
  </si>
  <si>
    <t xml:space="preserve">锦和商管</t>
  </si>
  <si>
    <t xml:space="preserve">603682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</si>
  <si>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</si>
  <si>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</si>
  <si>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</si>
  <si>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</si>
  <si>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</si>
  <si>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</si>
  <si>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</si>
  <si>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</si>
  <si>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</si>
  <si>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</si>
  <si>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</si>
  <si>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</si>
  <si>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</si>
  <si>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</si>
  <si>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</si>
  <si>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</si>
  <si>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</si>
  <si>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</si>
  <si>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</si>
  <si>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</si>
  <si>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Noto Sans CJK SC"/>
        <family val="2"/>
      </rPr>
      <t xml:space="preserve">倍数</t>
    </r>
  </si>
  <si>
    <t xml:space="preserve">累计R</t>
  </si>
  <si>
    <t xml:space="preserve">连胜/连亏</t>
  </si>
  <si>
    <t xml:space="preserve">最大回撤(%)</t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</si>
  <si>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</si>
  <si>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</si>
  <si>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</si>
  <si>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</si>
  <si>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</si>
  <si>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</si>
  <si>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</si>
  <si>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</si>
  <si>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</si>
  <si>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</si>
  <si>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</si>
  <si>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t xml:space="preserve">缠论30min一卖/止损</t>
  </si>
  <si>
    <t xml:space="preserve">2026-01-28</t>
  </si>
  <si>
    <t xml:space="preserve">缠论日线一卖/止盈+45%</t>
  </si>
  <si>
    <t xml:space="preserve">2026-02-03</t>
  </si>
  <si>
    <t xml:space="preserve">沪电股份</t>
  </si>
  <si>
    <t xml:space="preserve">002463</t>
  </si>
  <si>
    <t xml:space="preserve">缠论日线一买(电子PCB)</t>
  </si>
  <si>
    <t xml:space="preserve">2026-03-05</t>
  </si>
  <si>
    <t xml:space="preserve">做T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</si>
  <si>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Noto Sans CJK SC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</si>
  <si>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Noto Sans CJK SC"/>
        <family val="2"/>
      </rPr>
      <t xml:space="preserve">一买回补</t>
    </r>
  </si>
  <si>
    <t xml:space="preserve">2026-03-18</t>
  </si>
  <si>
    <t xml:space="preserve">2026-04-08</t>
  </si>
  <si>
    <t xml:space="preserve">缠论日线一卖/止盈+29%</t>
  </si>
  <si>
    <t xml:space="preserve">2026-04-15</t>
  </si>
  <si>
    <t xml:space="preserve">长江电力</t>
  </si>
  <si>
    <t xml:space="preserve">600900</t>
  </si>
  <si>
    <t xml:space="preserve">缠论日线一买(电力公用)</t>
  </si>
  <si>
    <t xml:space="preserve">2026-04-22</t>
  </si>
  <si>
    <t xml:space="preserve">缠论30min一买</t>
  </si>
  <si>
    <t xml:space="preserve">2026-05-20</t>
  </si>
  <si>
    <t xml:space="preserve">缠论30min一卖/止损-2%</t>
  </si>
  <si>
    <t xml:space="preserve">2026-06-12</t>
  </si>
  <si>
    <t xml:space="preserve">缠论日线一卖/止盈+1.4%</t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</si>
  <si>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</si>
  <si>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</si>
  <si>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</si>
  <si>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</si>
  <si>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</si>
  <si>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Noto Sans CJK SC"/>
        <family val="2"/>
      </rPr>
      <t xml:space="preserve">一买加仓</t>
    </r>
  </si>
  <si>
    <t xml:space="preserve">2026-07-19</t>
  </si>
  <si>
    <t xml:space="preserve">缠论日+30min共振一买</t>
  </si>
  <si>
    <t xml:space="preserve">2026-03-20</t>
  </si>
  <si>
    <t xml:space="preserve">分红</t>
  </si>
  <si>
    <t xml:space="preserve">现金分红</t>
  </si>
  <si>
    <t xml:space="preserve">系统健康度仪表盘</t>
  </si>
  <si>
    <t xml:space="preserve">总交易次数(不含分红)</t>
  </si>
  <si>
    <t xml:space="preserve">卖出次数</t>
  </si>
  <si>
    <t xml:space="preserve">盈利次数(R&gt;0)</t>
  </si>
  <si>
    <t xml:space="preserve">亏损次数(R&lt;0)</t>
  </si>
  <si>
    <t xml:space="preserve">胜率</t>
  </si>
  <si>
    <t xml:space="preserve">平均R倍数</t>
  </si>
  <si>
    <t xml:space="preserve">总R倍数</t>
  </si>
  <si>
    <t xml:space="preserve">最大单笔R</t>
  </si>
  <si>
    <t xml:space="preserve">最大单笔亏损R</t>
  </si>
  <si>
    <t xml:space="preserve">最大连续盈利(笔)</t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</si>
  <si>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Noto Sans CJK SC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</si>
  <si>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t xml:space="preserve">最大连续亏损(笔)</t>
  </si>
  <si>
    <t xml:space="preserve">累计R最大回撤</t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</si>
  <si>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</si>
  <si>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</si>
  <si>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</si>
  <si>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</si>
  <si>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</si>
  <si>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Noto Sans CJK SC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Noto Sans CJK SC"/>
        <family val="2"/>
      </rPr>
      <t xml:space="preserve">超限</t>
    </r>
  </si>
  <si>
    <t xml:space="preserve">盈利+774元</t>
  </si>
  <si>
    <t xml:space="preserve">日线一买确认</t>
  </si>
  <si>
    <t xml:space="preserve">破止损</t>
  </si>
  <si>
    <t xml:space="preserve">日线ratio=3.7% DL_P=0.70 valid</t>
  </si>
  <si>
    <t xml:space="preserve">持仓中</t>
  </si>
  <si>
    <t xml:space="preserve">日线ratio=5.7% DL_P=0.70 valid</t>
  </si>
  <si>
    <t xml:space="preserve">合规(已减量)</t>
  </si>
  <si>
    <t xml:space="preserve">日线ratio=9.7% 原挂2100股减至500股</t>
  </si>
  <si>
    <t xml:space="preserve">日线ratio=2.7% DL_P=0.70 全买点</t>
  </si>
  <si>
    <t xml:space="preserve">日线ratio=12.1% 三级全买点</t>
  </si>
  <si>
    <t xml:space="preserve">非工作流看盘次数</t>
  </si>
  <si>
    <t xml:space="preserve">是否追价操作</t>
  </si>
  <si>
    <t xml:space="preserve">是否按系统执行</t>
  </si>
  <si>
    <t xml:space="preserve">情绪状态(1-5)</t>
  </si>
  <si>
    <t xml:space="preserve">是否有止损外操作</t>
  </si>
  <si>
    <t xml:space="preserve">当日交易次数</t>
  </si>
  <si>
    <t xml:space="preserve">当日系统判定(全部合规)</t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</si>
  <si>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</si>
  <si>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</si>
  <si>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</si>
  <si>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</si>
  <si>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</si>
  <si>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</si>
  <si>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</si>
  <si>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t xml:space="preserve">曲美家居原挂2100股(33%仓位)超限,减至500股后合规</t>
  </si>
  <si>
    <t xml:space="preserve">普跌日执行6笔交易,卖超限万华回收资金,建仓4只多级别买点标的。大盘1min买点ratio=55%未确认,属正常回调。严格执行仓位管理,未追涨未恐慌卖出。</t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</si>
  <si>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</si>
  <si>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</si>
  <si>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</si>
  <si>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</si>
  <si>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</si>
  <si>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</si>
  <si>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</si>
  <si>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</si>
  <si>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</si>
  <si>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t xml:space="preserve">平均看盘次数/天</t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</si>
  <si>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</si>
  <si>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</si>
  <si>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</si>
  <si>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</si>
  <si>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</si>
  <si>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</si>
  <si>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Noto Sans CJK SC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</si>
  <si>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</si>
  <si>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Noto Sans CJK SC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Noto Sans CJK SC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</si>
  <si>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Noto Sans CJK SC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Noto Sans CJK SC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Noto Sans CJK SC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Noto Sans CJK SC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Noto Sans CJK SC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Noto Sans CJK SC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</si>
  <si>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或超出仓位上限买入。</t>
    </r>
  </si>
  <si>
    <t xml:space="preserve">工作流截图: 每日收盘后1次账户总览+持仓明细截图,属于必要工作流,不计入B列。</t>
  </si>
  <si>
    <t xml:space="preserve">周期</t>
  </si>
  <si>
    <t xml:space="preserve">周初总资产</t>
  </si>
  <si>
    <t xml:space="preserve">周末总资产</t>
  </si>
  <si>
    <t xml:space="preserve">周收益率</t>
  </si>
  <si>
    <t xml:space="preserve">本周最高资产</t>
  </si>
  <si>
    <t xml:space="preserve">本周最低资产</t>
  </si>
  <si>
    <t xml:space="preserve">本周最大回撤</t>
  </si>
  <si>
    <t xml:space="preserve">本周交易次数</t>
  </si>
  <si>
    <t xml:space="preserve">盈利交易数</t>
  </si>
  <si>
    <t xml:space="preserve">亏损交易数</t>
  </si>
  <si>
    <t xml:space="preserve">最近5笔胜负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</si>
  <si>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</si>
  <si>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</si>
  <si>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</si>
  <si>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</si>
  <si>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</si>
  <si>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</si>
  <si>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</si>
  <si>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</si>
  <si>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</si>
  <si>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</si>
  <si>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</si>
  <si>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</si>
  <si>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</si>
  <si>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</si>
  <si>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t xml:space="preserve">当下正期望R值</t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</si>
  <si>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</si>
  <si>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</si>
  <si>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</si>
  <si>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</si>
  <si>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t xml:space="preserve">做T统计</t>
  </si>
  <si>
    <t xml:space="preserve">建清仓成功率</t>
  </si>
  <si>
    <t xml:space="preserve">平均持仓天数</t>
  </si>
  <si>
    <t xml:space="preserve">07/20-07/24</t>
  </si>
  <si>
    <t xml:space="preserve">胜胜胜胜负</t>
  </si>
  <si>
    <t xml:space="preserve">中性偏弱</t>
  </si>
  <si>
    <t xml:space="preserve">5只新开仓日线中枢破位(创力-1.8%/新五丰-3.1%/方盛-9.4%/建研-0.2%/曲美-2.8%),仅隆基合规; 买入时未充分验证中枢位置</t>
  </si>
  <si>
    <t xml:space="preserve">万华化学清仓获利+933元(周收益+2.54%); 曲美家居原挂2100股超限减至500股后合规</t>
  </si>
  <si>
    <t xml:space="preserve">开滦股份(600997), 汇嘉时代(603101), 宝钢包装(601968), 家家悦(603708), 一鸣食品(605179)</t>
  </si>
  <si>
    <t xml:space="preserve">心态均分68, 当前总仓位40.4%</t>
  </si>
  <si>
    <t xml:space="preserve">是 (TWR0.503% vs目标0.0118%)</t>
  </si>
  <si>
    <t xml:space="preserve">是 (TWR2.540% vs目标0.0591%)</t>
  </si>
  <si>
    <t xml:space="preserve">是 (TWR12.637% vs目标0.2466%)</t>
  </si>
  <si>
    <r>
      <rPr>
        <sz val="10"/>
        <rFont val="Cambria"/>
        <family val="0"/>
        <charset val="1"/>
      </rPr>
      <t xml:space="preserve">[</t>
    </r>
    <r>
      <rPr>
        <sz val="10"/>
        <rFont val="Noto Sans CJK SC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Noto Sans CJK SC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Noto Sans CJK SC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Noto Sans CJK SC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Noto Sans CJK SC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</si>
  <si>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t xml:space="preserve">平均R=2.1432, 累计R=15.0027, 最大R=9.0824, 最大亏损R=-0.4017</t>
  </si>
  <si>
    <t xml:space="preserve">婴儿阶段, ¥20,842/¥30,000目标(幼儿)</t>
  </si>
  <si>
    <t xml:space="preserve">69.5%</t>
  </si>
  <si>
    <t xml:space="preserve">主:TWR本金¥10,693 辅:动态¥8,484(41%仓位) 系统=正期望系统 ✅ 胜率71% 距幼儿差¥9,158</t>
  </si>
  <si>
    <r>
      <rPr>
        <sz val="10"/>
        <rFont val="Cambria"/>
        <family val="0"/>
        <charset val="1"/>
      </rPr>
      <t xml:space="preserve">2</t>
    </r>
    <r>
      <rPr>
        <sz val="10"/>
        <rFont val="Noto Sans CJK SC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Noto Sans CJK SC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</si>
  <si>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</si>
  <si>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Noto Sans CJK SC"/>
        <family val="2"/>
      </rPr>
      <t xml:space="preserve">天</t>
    </r>
  </si>
  <si>
    <t xml:space="preserve">Price</t>
  </si>
  <si>
    <t xml:space="preserve">Tier</t>
  </si>
  <si>
    <t xml:space="preserve">最小可买股数</t>
  </si>
  <si>
    <t xml:space="preserve">上一交易日Tier</t>
  </si>
  <si>
    <t xml:space="preserve">是否观察转核心</t>
  </si>
  <si>
    <t xml:space="preserve">信号状态</t>
  </si>
  <si>
    <t xml:space="preserve">核心池</t>
  </si>
  <si>
    <t xml:space="preserve">观察池</t>
  </si>
  <si>
    <t xml:space="preserve">边缘池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</si>
</sst>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"/>
    <numFmt numFmtId="166" formatCode="\¥#,##0.00"/>
    <numFmt numFmtId="167" formatCode="0.00%"/>
    <numFmt numFmtId="168" formatCode="#,##0"/>
    <numFmt numFmtId="169" formatCode="yyyy\-mm\-dd\ h:mm:ss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2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1F4E79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Noto Sans CJK SC"/>
      <family val="2"/>
    </font>
    <font>
      <sz val="11"/>
      <color rgb="FF1F4E79"/>
      <name val="Cambria"/>
      <family val="0"/>
      <charset val="1"/>
    </font>
    <font>
      <sz val="11"/>
      <color rgb="FF1F4E79"/>
      <name val="Noto Sans CJK SC"/>
      <family val="2"/>
    </font>
    <font>
      <b val="true"/>
      <sz val="10"/>
      <color rgb="FF1F2937"/>
      <name val="Noto Sans CJK SC"/>
      <family val="2"/>
      <charset val="1"/>
    </font>
    <font>
      <sz val="11"/>
      <color rgb="FF000000"/>
      <name val="Cambria"/>
      <family val="0"/>
      <charset val="1"/>
    </font>
    <font>
      <sz val="11"/>
      <color rgb="FF000000"/>
      <name val="DejaVu Sans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Noto Sans CJK SC"/>
      <family val="2"/>
    </font>
    <font>
      <b val="true"/>
      <sz val="11"/>
      <name val="Noto Sans CJK SC"/>
      <family val="2"/>
      <charset val="1"/>
    </font>
    <font>
      <b val="true"/>
      <sz val="14"/>
      <color rgb="FF17365D"/>
      <name val="Noto Sans CJK SC"/>
      <family val="2"/>
      <charset val="1"/>
    </font>
    <font>
      <b val="true"/>
      <sz val="11"/>
      <color rgb="FF1F4E79"/>
      <name val="Noto Sans CJK SC"/>
      <family val="2"/>
      <charset val="1"/>
    </font>
    <font>
      <b val="true"/>
      <sz val="12"/>
      <name val="Noto Sans CJK SC"/>
      <family val="2"/>
      <charset val="1"/>
    </font>
    <font>
      <b val="true"/>
      <sz val="12"/>
      <color rgb="FF17365D"/>
      <name val="Noto Sans CJK SC"/>
      <family val="2"/>
      <charset val="1"/>
    </font>
    <font>
      <sz val="11"/>
      <color rgb="FF6B7280"/>
      <name val="Cambria"/>
      <family val="0"/>
      <charset val="1"/>
    </font>
    <font>
      <sz val="11"/>
      <color rgb="FF6B7280"/>
      <name val="Noto Sans CJK SC"/>
      <family val="2"/>
    </font>
    <font>
      <sz val="11"/>
      <color rgb="FF6B7280"/>
      <name val="Noto Sans CJK SC"/>
      <family val="2"/>
      <charset val="1"/>
    </font>
    <font>
      <sz val="10"/>
      <name val="Noto Sans CJK SC"/>
      <family val="2"/>
      <charset val="1"/>
    </font>
    <font>
      <sz val="10"/>
      <name val="Cambria"/>
      <family val="0"/>
      <charset val="1"/>
    </font>
    <font>
      <sz val="10"/>
      <name val="Noto Sans CJK SC"/>
      <family val="2"/>
    </font>
  </fonts>
  <fills count="14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3F6F8"/>
        <bgColor rgb="FFEEF3F8"/>
      </patternFill>
    </fill>
    <fill>
      <patternFill patternType="solid">
        <fgColor rgb="FFEEF3F8"/>
        <bgColor rgb="FFEAF2FF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CE4D6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90EE90"/>
        <bgColor rgb="FFC6EFCE"/>
      </patternFill>
    </fill>
    <fill>
      <patternFill patternType="solid">
        <fgColor rgb="FFEAF2FF"/>
        <bgColor rgb="FFEEF3F8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5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3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5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70" fontId="1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1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17365D"/>
        </patternFill>
      </fill>
    </dxf>
    <dxf>
      <fill>
        <patternFill patternType="solid">
          <fgColor rgb="FFF3F6F8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EEF3F8"/>
        </patternFill>
      </fill>
    </dxf>
    <dxf>
      <fill>
        <patternFill patternType="solid">
          <fgColor rgb="FF1F4E79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1F2937"/>
        </patternFill>
      </fill>
    </dxf>
    <dxf>
      <fill>
        <patternFill patternType="solid">
          <fgColor rgb="FFD6E4F0"/>
        </patternFill>
      </fill>
    </dxf>
    <dxf>
      <fill>
        <patternFill patternType="solid">
          <fgColor rgb="FFE0E0E0"/>
        </patternFill>
      </fill>
    </dxf>
    <dxf>
      <fill>
        <patternFill patternType="solid">
          <fgColor rgb="FF4472C4"/>
        </patternFill>
      </fill>
    </dxf>
    <dxf>
      <fill>
        <patternFill patternType="solid">
          <fgColor rgb="FF90EE9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3F6F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9999FF"/>
      <rgbColor rgb="FF993366"/>
      <rgbColor rgb="FFFFF2CC"/>
      <rgbColor rgb="FFD9EAF7"/>
      <rgbColor rgb="FF660066"/>
      <rgbColor rgb="FFFF8080"/>
      <rgbColor rgb="FF1F4E79"/>
      <rgbColor rgb="FFD9DEE7"/>
      <rgbColor rgb="FF000080"/>
      <rgbColor rgb="FFFF00FF"/>
      <rgbColor rgb="FFEEF3F8"/>
      <rgbColor rgb="FF00FFFF"/>
      <rgbColor rgb="FF800080"/>
      <rgbColor rgb="FF800000"/>
      <rgbColor rgb="FF008080"/>
      <rgbColor rgb="FF0000FF"/>
      <rgbColor rgb="FF00CCFF"/>
      <rgbColor rgb="FFEAF2FF"/>
      <rgbColor rgb="FFC6EFCE"/>
      <rgbColor rgb="FFE2F0D9"/>
      <rgbColor rgb="FFD6E4F0"/>
      <rgbColor rgb="FFFCE4D6"/>
      <rgbColor rgb="FFD9E2EA"/>
      <rgbColor rgb="FFFFC7CE"/>
      <rgbColor rgb="FF4472C4"/>
      <rgbColor rgb="FF33CCCC"/>
      <rgbColor rgb="FF90EE90"/>
      <rgbColor rgb="FFFFCC00"/>
      <rgbColor rgb="FFFF9900"/>
      <rgbColor rgb="FFFF6600"/>
      <rgbColor rgb="FF6B7280"/>
      <rgbColor rgb="FF969696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5" min="4" style="1" width="12"/>
    <col collapsed="false" customWidth="true" hidden="false" outlineLevel="0" max="6" min="6" style="1" width="30"/>
    <col collapsed="false" customWidth="true" hidden="false" outlineLevel="0" max="7" min="7" style="1" width="2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3" t="s">
        <v>7</v>
      </c>
      <c r="B2" s="4" t="s">
        <v>8</v>
      </c>
      <c r="C2" s="4" t="s">
        <v>9</v>
      </c>
      <c r="D2" s="5" t="s">
        <v>10</v>
      </c>
      <c r="E2" s="6" t="s">
        <v>11</v>
      </c>
      <c r="F2" s="4" t="s">
        <v>12</v>
      </c>
      <c r="G2" s="6" t="s">
        <v>13</v>
      </c>
    </row>
    <row r="3" customFormat="false" ht="15" hidden="false" customHeight="true" outlineLevel="0" collapsed="false">
      <c r="A3" s="7" t="s">
        <v>7</v>
      </c>
      <c r="B3" s="8" t="s">
        <v>14</v>
      </c>
      <c r="C3" s="8" t="s">
        <v>15</v>
      </c>
      <c r="D3" s="5" t="s">
        <v>16</v>
      </c>
      <c r="E3" s="9" t="s">
        <v>17</v>
      </c>
      <c r="F3" s="8" t="s">
        <v>12</v>
      </c>
      <c r="G3" s="9" t="s">
        <v>18</v>
      </c>
    </row>
    <row r="4" customFormat="false" ht="15" hidden="false" customHeight="true" outlineLevel="0" collapsed="false">
      <c r="A4" s="3" t="s">
        <v>7</v>
      </c>
      <c r="B4" s="4" t="s">
        <v>19</v>
      </c>
      <c r="C4" s="4" t="s">
        <v>20</v>
      </c>
      <c r="D4" s="5" t="s">
        <v>21</v>
      </c>
      <c r="E4" s="6" t="s">
        <v>22</v>
      </c>
      <c r="F4" s="4" t="s">
        <v>12</v>
      </c>
      <c r="G4" s="6" t="s">
        <v>23</v>
      </c>
    </row>
    <row r="5" customFormat="false" ht="15" hidden="false" customHeight="true" outlineLevel="0" collapsed="false">
      <c r="A5" s="7" t="s">
        <v>7</v>
      </c>
      <c r="B5" s="8" t="s">
        <v>24</v>
      </c>
      <c r="C5" s="8" t="s">
        <v>25</v>
      </c>
      <c r="D5" s="5" t="s">
        <v>26</v>
      </c>
      <c r="E5" s="9" t="s">
        <v>27</v>
      </c>
      <c r="F5" s="8" t="s">
        <v>12</v>
      </c>
      <c r="G5" s="9" t="s">
        <v>28</v>
      </c>
    </row>
    <row r="6" customFormat="false" ht="15" hidden="false" customHeight="true" outlineLevel="0" collapsed="false">
      <c r="A6" s="3" t="s">
        <v>7</v>
      </c>
      <c r="B6" s="4" t="s">
        <v>29</v>
      </c>
      <c r="C6" s="4" t="s">
        <v>30</v>
      </c>
      <c r="D6" s="5" t="s">
        <v>31</v>
      </c>
      <c r="E6" s="6" t="s">
        <v>32</v>
      </c>
      <c r="F6" s="4" t="s">
        <v>12</v>
      </c>
      <c r="G6" s="6" t="s">
        <v>33</v>
      </c>
    </row>
    <row r="7" customFormat="false" ht="15" hidden="false" customHeight="true" outlineLevel="0" collapsed="false">
      <c r="A7" s="7" t="s">
        <v>34</v>
      </c>
      <c r="B7" s="8" t="s">
        <v>35</v>
      </c>
      <c r="C7" s="8" t="s">
        <v>36</v>
      </c>
      <c r="D7" s="5" t="s">
        <v>37</v>
      </c>
      <c r="E7" s="9" t="s">
        <v>38</v>
      </c>
      <c r="F7" s="8" t="s">
        <v>39</v>
      </c>
      <c r="G7" s="9" t="s">
        <v>40</v>
      </c>
    </row>
    <row r="8" customFormat="false" ht="15" hidden="false" customHeight="true" outlineLevel="0" collapsed="false">
      <c r="A8" s="3" t="s">
        <v>34</v>
      </c>
      <c r="B8" s="4" t="s">
        <v>41</v>
      </c>
      <c r="C8" s="4" t="s">
        <v>42</v>
      </c>
      <c r="D8" s="5" t="s">
        <v>37</v>
      </c>
      <c r="E8" s="6" t="s">
        <v>43</v>
      </c>
      <c r="F8" s="4" t="s">
        <v>39</v>
      </c>
      <c r="G8" s="6" t="s">
        <v>44</v>
      </c>
    </row>
    <row r="9" customFormat="false" ht="15" hidden="false" customHeight="true" outlineLevel="0" collapsed="false">
      <c r="A9" s="7" t="s">
        <v>45</v>
      </c>
      <c r="B9" s="8" t="s">
        <v>46</v>
      </c>
      <c r="C9" s="8" t="s">
        <v>47</v>
      </c>
      <c r="D9" s="5" t="s">
        <v>48</v>
      </c>
      <c r="E9" s="9" t="s">
        <v>49</v>
      </c>
      <c r="F9" s="8" t="s">
        <v>12</v>
      </c>
      <c r="G9" s="9" t="s">
        <v>50</v>
      </c>
    </row>
    <row r="10" customFormat="false" ht="15" hidden="false" customHeight="true" outlineLevel="0" collapsed="false">
      <c r="A10" s="3" t="s">
        <v>45</v>
      </c>
      <c r="B10" s="4" t="s">
        <v>51</v>
      </c>
      <c r="C10" s="4" t="s">
        <v>52</v>
      </c>
      <c r="D10" s="5" t="s">
        <v>53</v>
      </c>
      <c r="E10" s="6" t="s">
        <v>54</v>
      </c>
      <c r="F10" s="4" t="s">
        <v>12</v>
      </c>
      <c r="G10" s="6" t="s">
        <v>55</v>
      </c>
    </row>
    <row r="11" customFormat="false" ht="15" hidden="false" customHeight="true" outlineLevel="0" collapsed="false">
      <c r="A11" s="8" t="s">
        <v>45</v>
      </c>
      <c r="B11" s="8" t="s">
        <v>56</v>
      </c>
      <c r="C11" s="8" t="s">
        <v>57</v>
      </c>
      <c r="D11" s="5" t="s">
        <v>58</v>
      </c>
      <c r="E11" s="9" t="s">
        <v>59</v>
      </c>
      <c r="F11" s="8" t="s">
        <v>12</v>
      </c>
      <c r="G11" s="9" t="s">
        <v>60</v>
      </c>
    </row>
    <row r="12" customFormat="false" ht="15" hidden="false" customHeight="true" outlineLevel="0" collapsed="false">
      <c r="A12" s="4" t="s">
        <v>61</v>
      </c>
      <c r="B12" s="4" t="s">
        <v>62</v>
      </c>
      <c r="C12" s="4" t="s">
        <v>63</v>
      </c>
      <c r="D12" s="5" t="s">
        <v>64</v>
      </c>
      <c r="E12" s="6" t="s">
        <v>39</v>
      </c>
      <c r="F12" s="4" t="s">
        <v>39</v>
      </c>
      <c r="G12" s="6" t="s">
        <v>65</v>
      </c>
    </row>
    <row r="13" customFormat="false" ht="15" hidden="false" customHeight="true" outlineLevel="0" collapsed="false">
      <c r="A13" s="8" t="s">
        <v>61</v>
      </c>
      <c r="B13" s="8" t="s">
        <v>66</v>
      </c>
      <c r="C13" s="10" t="s">
        <v>67</v>
      </c>
      <c r="D13" s="5" t="s">
        <v>68</v>
      </c>
      <c r="E13" s="9" t="s">
        <v>39</v>
      </c>
      <c r="F13" s="8" t="s">
        <v>39</v>
      </c>
      <c r="G13" s="9" t="s">
        <v>69</v>
      </c>
    </row>
    <row r="14" customFormat="false" ht="15" hidden="false" customHeight="true" outlineLevel="0" collapsed="false">
      <c r="A14" s="4" t="s">
        <v>70</v>
      </c>
      <c r="B14" s="4" t="s">
        <v>71</v>
      </c>
      <c r="C14" s="11" t="s">
        <v>72</v>
      </c>
      <c r="D14" s="5" t="s">
        <v>73</v>
      </c>
      <c r="E14" s="6" t="s">
        <v>39</v>
      </c>
      <c r="F14" s="4" t="s">
        <v>39</v>
      </c>
      <c r="G14" s="6" t="s">
        <v>74</v>
      </c>
    </row>
    <row r="15" customFormat="false" ht="15" hidden="false" customHeight="true" outlineLevel="0" collapsed="false">
      <c r="A15" s="8" t="s">
        <v>70</v>
      </c>
      <c r="B15" s="8" t="s">
        <v>75</v>
      </c>
      <c r="C15" s="8" t="s">
        <v>76</v>
      </c>
      <c r="D15" s="5" t="s">
        <v>77</v>
      </c>
      <c r="E15" s="9" t="s">
        <v>39</v>
      </c>
      <c r="F15" s="8" t="s">
        <v>39</v>
      </c>
      <c r="G15" s="9" t="s">
        <v>78</v>
      </c>
    </row>
    <row r="16" customFormat="false" ht="15" hidden="false" customHeight="true" outlineLevel="0" collapsed="false">
      <c r="A16" s="4" t="s">
        <v>70</v>
      </c>
      <c r="B16" s="4" t="s">
        <v>79</v>
      </c>
      <c r="C16" s="11" t="s">
        <v>80</v>
      </c>
      <c r="D16" s="5" t="s">
        <v>81</v>
      </c>
      <c r="E16" s="6" t="s">
        <v>39</v>
      </c>
      <c r="F16" s="4" t="s">
        <v>39</v>
      </c>
      <c r="G16" s="6" t="s">
        <v>82</v>
      </c>
    </row>
    <row r="17" customFormat="false" ht="15" hidden="false" customHeight="true" outlineLevel="0" collapsed="false">
      <c r="A17" s="8" t="s">
        <v>83</v>
      </c>
      <c r="B17" s="8" t="s">
        <v>84</v>
      </c>
      <c r="C17" s="8" t="s">
        <v>85</v>
      </c>
      <c r="D17" s="5" t="s">
        <v>86</v>
      </c>
      <c r="E17" s="9" t="s">
        <v>39</v>
      </c>
      <c r="F17" s="8" t="s">
        <v>39</v>
      </c>
      <c r="G17" s="9" t="s">
        <v>87</v>
      </c>
    </row>
    <row r="18" customFormat="false" ht="15" hidden="false" customHeight="true" outlineLevel="0" collapsed="false">
      <c r="A18" s="4" t="s">
        <v>88</v>
      </c>
      <c r="B18" s="4" t="s">
        <v>89</v>
      </c>
      <c r="C18" s="4" t="s">
        <v>90</v>
      </c>
      <c r="D18" s="5" t="s">
        <v>91</v>
      </c>
      <c r="E18" s="6" t="s">
        <v>39</v>
      </c>
      <c r="F18" s="4" t="s">
        <v>39</v>
      </c>
      <c r="G18" s="6" t="s">
        <v>92</v>
      </c>
    </row>
    <row r="19" customFormat="false" ht="15" hidden="false" customHeight="true" outlineLevel="0" collapsed="false">
      <c r="A19" s="8" t="s">
        <v>88</v>
      </c>
      <c r="B19" s="8" t="s">
        <v>93</v>
      </c>
      <c r="C19" s="8" t="s">
        <v>94</v>
      </c>
      <c r="D19" s="5" t="s">
        <v>39</v>
      </c>
      <c r="E19" s="9" t="s">
        <v>39</v>
      </c>
      <c r="F19" s="8" t="s">
        <v>39</v>
      </c>
      <c r="G19" s="9" t="s">
        <v>95</v>
      </c>
    </row>
    <row r="20" customFormat="false" ht="15" hidden="false" customHeight="true" outlineLevel="0" collapsed="false">
      <c r="A20" s="4" t="s">
        <v>88</v>
      </c>
      <c r="B20" s="4" t="s">
        <v>96</v>
      </c>
      <c r="C20" s="4" t="s">
        <v>97</v>
      </c>
      <c r="D20" s="5" t="s">
        <v>39</v>
      </c>
      <c r="E20" s="6" t="s">
        <v>98</v>
      </c>
      <c r="F20" s="4" t="s">
        <v>39</v>
      </c>
      <c r="G20" s="6" t="s">
        <v>99</v>
      </c>
    </row>
    <row r="21" customFormat="false" ht="15" hidden="false" customHeight="true" outlineLevel="0" collapsed="false">
      <c r="A21" s="8"/>
      <c r="B21" s="8"/>
      <c r="C21" s="8"/>
      <c r="D21" s="5"/>
      <c r="E21" s="9"/>
      <c r="F21" s="8"/>
      <c r="G21" s="9"/>
    </row>
    <row r="22" customFormat="false" ht="15" hidden="false" customHeight="true" outlineLevel="0" collapsed="false">
      <c r="A22" s="4"/>
      <c r="B22" s="4"/>
      <c r="C22" s="4"/>
      <c r="D22" s="5"/>
      <c r="E22" s="6"/>
      <c r="F22" s="4"/>
      <c r="G22" s="6"/>
    </row>
    <row r="23" customFormat="false" ht="15" hidden="false" customHeight="true" outlineLevel="0" collapsed="false">
      <c r="A23" s="8"/>
      <c r="B23" s="8"/>
      <c r="C23" s="8"/>
      <c r="D23" s="5"/>
      <c r="E23" s="9"/>
      <c r="F23" s="8"/>
      <c r="G23" s="9"/>
    </row>
    <row r="24" customFormat="false" ht="15" hidden="false" customHeight="true" outlineLevel="0" collapsed="false">
      <c r="A24" s="4"/>
      <c r="B24" s="4"/>
      <c r="C24" s="4"/>
      <c r="D24" s="5"/>
      <c r="E24" s="6"/>
      <c r="F24" s="4"/>
      <c r="G24" s="6"/>
    </row>
    <row r="25" customFormat="false" ht="15" hidden="false" customHeight="true" outlineLevel="0" collapsed="false">
      <c r="A25" s="8"/>
      <c r="B25" s="8"/>
      <c r="C25" s="8"/>
      <c r="D25" s="5"/>
      <c r="E25" s="9"/>
      <c r="F25" s="8"/>
      <c r="G25" s="9"/>
    </row>
    <row r="26" customFormat="false" ht="15" hidden="false" customHeight="true" outlineLevel="0" collapsed="false">
      <c r="A26" s="4"/>
      <c r="B26" s="4"/>
      <c r="C26" s="4"/>
      <c r="D26" s="5"/>
      <c r="E26" s="6"/>
      <c r="F26" s="4"/>
      <c r="G26" s="6"/>
    </row>
    <row r="27" customFormat="false" ht="15" hidden="false" customHeight="true" outlineLevel="0" collapsed="false">
      <c r="A27" s="10"/>
      <c r="B27" s="10"/>
      <c r="C27" s="10"/>
      <c r="D27" s="5"/>
      <c r="E27" s="9"/>
      <c r="F27" s="10"/>
      <c r="G27" s="9"/>
    </row>
    <row r="28" customFormat="false" ht="15" hidden="false" customHeight="true" outlineLevel="0" collapsed="false">
      <c r="A28" s="11"/>
      <c r="B28" s="11"/>
      <c r="C28" s="11"/>
      <c r="D28" s="5"/>
      <c r="E28" s="6"/>
      <c r="F28" s="11"/>
      <c r="G28" s="6"/>
    </row>
    <row r="29" customFormat="false" ht="15" hidden="false" customHeight="true" outlineLevel="0" collapsed="false">
      <c r="A29" s="10"/>
      <c r="B29" s="10"/>
      <c r="C29" s="10"/>
      <c r="D29" s="5"/>
      <c r="E29" s="9"/>
      <c r="F29" s="10"/>
      <c r="G29" s="9"/>
    </row>
    <row r="30" customFormat="false" ht="15" hidden="false" customHeight="true" outlineLevel="0" collapsed="false">
      <c r="A30" s="11"/>
      <c r="B30" s="11"/>
      <c r="C30" s="11"/>
      <c r="D30" s="5"/>
      <c r="E30" s="6"/>
      <c r="F30" s="11"/>
      <c r="G30" s="6"/>
    </row>
    <row r="31" customFormat="false" ht="15" hidden="false" customHeight="true" outlineLevel="0" collapsed="false">
      <c r="A31" s="10"/>
      <c r="B31" s="10"/>
      <c r="C31" s="10"/>
      <c r="D31" s="5"/>
      <c r="E31" s="9"/>
      <c r="F31" s="10"/>
      <c r="G31" s="9"/>
    </row>
    <row r="32" customFormat="false" ht="15" hidden="false" customHeight="true" outlineLevel="0" collapsed="false">
      <c r="A32" s="11"/>
      <c r="B32" s="11"/>
      <c r="C32" s="11"/>
      <c r="D32" s="5"/>
      <c r="E32" s="6"/>
      <c r="F32" s="11"/>
      <c r="G32" s="6"/>
    </row>
    <row r="33" customFormat="false" ht="15" hidden="false" customHeight="true" outlineLevel="0" collapsed="false">
      <c r="A33" s="10"/>
      <c r="B33" s="10"/>
      <c r="C33" s="10"/>
      <c r="D33" s="5"/>
      <c r="E33" s="9"/>
      <c r="F33" s="10"/>
      <c r="G33" s="9"/>
    </row>
    <row r="34" customFormat="false" ht="15" hidden="false" customHeight="true" outlineLevel="0" collapsed="false">
      <c r="A34" s="11"/>
      <c r="B34" s="11"/>
      <c r="C34" s="11"/>
      <c r="D34" s="5"/>
      <c r="E34" s="6"/>
      <c r="F34" s="11"/>
      <c r="G34" s="6"/>
    </row>
    <row r="35" customFormat="false" ht="15" hidden="false" customHeight="true" outlineLevel="0" collapsed="false">
      <c r="A35" s="10"/>
      <c r="B35" s="10"/>
      <c r="C35" s="10"/>
      <c r="D35" s="5"/>
      <c r="E35" s="9"/>
      <c r="F35" s="10"/>
      <c r="G35" s="9"/>
    </row>
    <row r="36" customFormat="false" ht="15" hidden="false" customHeight="true" outlineLevel="0" collapsed="false">
      <c r="A36" s="11"/>
      <c r="B36" s="11"/>
      <c r="C36" s="11"/>
      <c r="D36" s="5"/>
      <c r="E36" s="6"/>
      <c r="F36" s="11"/>
      <c r="G36" s="6"/>
    </row>
    <row r="37" customFormat="false" ht="15" hidden="false" customHeight="true" outlineLevel="0" collapsed="false">
      <c r="A37" s="10"/>
      <c r="B37" s="10"/>
      <c r="C37" s="10"/>
      <c r="D37" s="5"/>
      <c r="E37" s="9"/>
      <c r="F37" s="10"/>
      <c r="G37" s="9"/>
    </row>
    <row r="38" customFormat="false" ht="15" hidden="false" customHeight="true" outlineLevel="0" collapsed="false">
      <c r="A38" s="11"/>
      <c r="B38" s="11"/>
      <c r="C38" s="11"/>
      <c r="D38" s="5"/>
      <c r="E38" s="6"/>
      <c r="F38" s="11"/>
      <c r="G38" s="6"/>
    </row>
    <row r="39" customFormat="false" ht="15" hidden="false" customHeight="true" outlineLevel="0" collapsed="false">
      <c r="A39" s="10"/>
      <c r="B39" s="10"/>
      <c r="C39" s="10"/>
      <c r="D39" s="5"/>
      <c r="E39" s="9"/>
      <c r="F39" s="10"/>
      <c r="G39" s="9"/>
    </row>
    <row r="40" customFormat="false" ht="15" hidden="false" customHeight="true" outlineLevel="0" collapsed="false">
      <c r="A40" s="11"/>
      <c r="B40" s="11"/>
      <c r="C40" s="11"/>
      <c r="D40" s="5"/>
      <c r="E40" s="6"/>
      <c r="F40" s="11"/>
      <c r="G40" s="6"/>
    </row>
    <row r="41" customFormat="false" ht="15" hidden="false" customHeight="true" outlineLevel="0" collapsed="false">
      <c r="A41" s="10"/>
      <c r="B41" s="10"/>
      <c r="C41" s="10"/>
      <c r="D41" s="5"/>
      <c r="E41" s="9"/>
      <c r="F41" s="10"/>
      <c r="G41" s="9"/>
    </row>
    <row r="42" customFormat="false" ht="15" hidden="false" customHeight="true" outlineLevel="0" collapsed="false">
      <c r="A42" s="11"/>
      <c r="B42" s="11"/>
      <c r="C42" s="11"/>
      <c r="D42" s="5"/>
      <c r="E42" s="6"/>
      <c r="F42" s="11"/>
      <c r="G42" s="6"/>
    </row>
    <row r="43" customFormat="false" ht="15" hidden="false" customHeight="true" outlineLevel="0" collapsed="false">
      <c r="A43" s="10"/>
      <c r="B43" s="10"/>
      <c r="C43" s="10"/>
      <c r="D43" s="5"/>
      <c r="E43" s="9"/>
      <c r="F43" s="10"/>
      <c r="G43" s="9"/>
    </row>
    <row r="44" customFormat="false" ht="15" hidden="false" customHeight="true" outlineLevel="0" collapsed="false">
      <c r="A44" s="11"/>
      <c r="B44" s="11"/>
      <c r="C44" s="11"/>
      <c r="D44" s="5"/>
      <c r="E44" s="6"/>
      <c r="F44" s="11"/>
      <c r="G44" s="6"/>
    </row>
    <row r="45" customFormat="false" ht="15" hidden="false" customHeight="true" outlineLevel="0" collapsed="false">
      <c r="A45" s="10"/>
      <c r="B45" s="10"/>
      <c r="C45" s="10"/>
      <c r="D45" s="5"/>
      <c r="E45" s="9"/>
      <c r="F45" s="10"/>
      <c r="G45" s="9"/>
    </row>
    <row r="46" customFormat="false" ht="15" hidden="false" customHeight="true" outlineLevel="0" collapsed="false">
      <c r="A46" s="11"/>
      <c r="B46" s="11"/>
      <c r="C46" s="11"/>
      <c r="D46" s="5"/>
      <c r="E46" s="6"/>
      <c r="F46" s="11"/>
      <c r="G46" s="6"/>
    </row>
    <row r="47" customFormat="false" ht="15" hidden="false" customHeight="true" outlineLevel="0" collapsed="false">
      <c r="A47" s="10"/>
      <c r="B47" s="10"/>
      <c r="C47" s="10"/>
      <c r="D47" s="5"/>
      <c r="E47" s="9"/>
      <c r="F47" s="10"/>
      <c r="G47" s="9"/>
    </row>
    <row r="48" customFormat="false" ht="15" hidden="false" customHeight="true" outlineLevel="0" collapsed="false">
      <c r="A48" s="11"/>
      <c r="B48" s="11"/>
      <c r="C48" s="11"/>
      <c r="D48" s="5"/>
      <c r="E48" s="6"/>
      <c r="F48" s="11"/>
      <c r="G48" s="6"/>
    </row>
    <row r="49" customFormat="false" ht="15" hidden="false" customHeight="true" outlineLevel="0" collapsed="false">
      <c r="A49" s="10"/>
      <c r="B49" s="10"/>
      <c r="C49" s="10"/>
      <c r="D49" s="5"/>
      <c r="E49" s="9"/>
      <c r="F49" s="10"/>
      <c r="G49" s="9"/>
    </row>
    <row r="50" customFormat="false" ht="15" hidden="false" customHeight="true" outlineLevel="0" collapsed="false">
      <c r="A50" s="11"/>
      <c r="B50" s="11"/>
      <c r="C50" s="11"/>
      <c r="D50" s="5"/>
      <c r="E50" s="6"/>
      <c r="F50" s="11"/>
      <c r="G50" s="6"/>
    </row>
    <row r="51" customFormat="false" ht="15" hidden="false" customHeight="true" outlineLevel="0" collapsed="false">
      <c r="A51" s="10"/>
      <c r="B51" s="10"/>
      <c r="C51" s="10"/>
      <c r="D51" s="5"/>
      <c r="E51" s="9"/>
      <c r="F51" s="10"/>
      <c r="G51" s="9"/>
    </row>
    <row r="52" customFormat="false" ht="15" hidden="false" customHeight="true" outlineLevel="0" collapsed="false">
      <c r="A52" s="11"/>
      <c r="B52" s="11"/>
      <c r="C52" s="11"/>
      <c r="D52" s="5"/>
      <c r="E52" s="6"/>
      <c r="F52" s="11"/>
      <c r="G52" s="6"/>
    </row>
    <row r="53" customFormat="false" ht="15" hidden="false" customHeight="true" outlineLevel="0" collapsed="false">
      <c r="A53" s="10"/>
      <c r="B53" s="10"/>
      <c r="C53" s="10"/>
      <c r="D53" s="5"/>
      <c r="E53" s="9"/>
      <c r="F53" s="10"/>
      <c r="G53" s="9"/>
    </row>
    <row r="54" customFormat="false" ht="15" hidden="false" customHeight="true" outlineLevel="0" collapsed="false">
      <c r="A54" s="11"/>
      <c r="B54" s="11"/>
      <c r="C54" s="11"/>
      <c r="D54" s="5"/>
      <c r="E54" s="6"/>
      <c r="F54" s="11"/>
      <c r="G54" s="6"/>
    </row>
    <row r="55" customFormat="false" ht="15" hidden="false" customHeight="true" outlineLevel="0" collapsed="false">
      <c r="A55" s="10"/>
      <c r="B55" s="10"/>
      <c r="C55" s="10"/>
      <c r="D55" s="5"/>
      <c r="E55" s="9"/>
      <c r="F55" s="10"/>
      <c r="G55" s="9"/>
    </row>
    <row r="56" customFormat="false" ht="15" hidden="false" customHeight="true" outlineLevel="0" collapsed="false">
      <c r="A56" s="11"/>
      <c r="B56" s="11"/>
      <c r="C56" s="11"/>
      <c r="D56" s="5"/>
      <c r="E56" s="6"/>
      <c r="F56" s="11"/>
      <c r="G56" s="6"/>
    </row>
    <row r="57" customFormat="false" ht="15" hidden="false" customHeight="true" outlineLevel="0" collapsed="false">
      <c r="A57" s="10"/>
      <c r="B57" s="10"/>
      <c r="C57" s="10"/>
      <c r="D57" s="5"/>
      <c r="E57" s="9"/>
      <c r="F57" s="10"/>
      <c r="G57" s="9"/>
    </row>
    <row r="58" customFormat="false" ht="15" hidden="false" customHeight="true" outlineLevel="0" collapsed="false">
      <c r="A58" s="11"/>
      <c r="B58" s="11"/>
      <c r="C58" s="11"/>
      <c r="D58" s="5"/>
      <c r="E58" s="6"/>
      <c r="F58" s="11"/>
      <c r="G58" s="6"/>
    </row>
    <row r="59" customFormat="false" ht="15" hidden="false" customHeight="true" outlineLevel="0" collapsed="false">
      <c r="A59" s="10"/>
      <c r="B59" s="10"/>
      <c r="C59" s="10"/>
      <c r="D59" s="5"/>
      <c r="E59" s="9"/>
      <c r="F59" s="10"/>
      <c r="G59" s="9"/>
    </row>
    <row r="60" customFormat="false" ht="15" hidden="false" customHeight="true" outlineLevel="0" collapsed="false">
      <c r="A60" s="11"/>
      <c r="B60" s="11"/>
      <c r="C60" s="11"/>
      <c r="D60" s="5"/>
      <c r="E60" s="6"/>
      <c r="F60" s="11"/>
      <c r="G60" s="6"/>
    </row>
    <row r="61" customFormat="false" ht="15" hidden="false" customHeight="true" outlineLevel="0" collapsed="false">
      <c r="A61" s="10"/>
      <c r="B61" s="10"/>
      <c r="C61" s="10"/>
      <c r="D61" s="5"/>
      <c r="E61" s="9"/>
      <c r="F61" s="10"/>
      <c r="G61" s="9"/>
    </row>
    <row r="62" customFormat="false" ht="15" hidden="false" customHeight="true" outlineLevel="0" collapsed="false">
      <c r="A62" s="11"/>
      <c r="B62" s="11"/>
      <c r="C62" s="11"/>
      <c r="D62" s="5"/>
      <c r="E62" s="6"/>
      <c r="F62" s="11"/>
      <c r="G62" s="6"/>
    </row>
    <row r="63" customFormat="false" ht="15" hidden="false" customHeight="true" outlineLevel="0" collapsed="false">
      <c r="A63" s="10"/>
      <c r="B63" s="10"/>
      <c r="C63" s="10"/>
      <c r="D63" s="5"/>
      <c r="E63" s="9"/>
      <c r="F63" s="10"/>
      <c r="G63" s="9"/>
    </row>
    <row r="64" customFormat="false" ht="15" hidden="false" customHeight="true" outlineLevel="0" collapsed="false">
      <c r="A64" s="11"/>
      <c r="B64" s="11"/>
      <c r="C64" s="11"/>
      <c r="D64" s="5"/>
      <c r="E64" s="6"/>
      <c r="F64" s="11"/>
      <c r="G64" s="6"/>
    </row>
    <row r="65" customFormat="false" ht="15" hidden="false" customHeight="true" outlineLevel="0" collapsed="false">
      <c r="A65" s="10"/>
      <c r="B65" s="10"/>
      <c r="C65" s="10"/>
      <c r="D65" s="5"/>
      <c r="E65" s="9"/>
      <c r="F65" s="10"/>
      <c r="G65" s="9"/>
    </row>
    <row r="66" customFormat="false" ht="15" hidden="false" customHeight="true" outlineLevel="0" collapsed="false">
      <c r="A66" s="11"/>
      <c r="B66" s="11"/>
      <c r="C66" s="11"/>
      <c r="D66" s="5"/>
      <c r="E66" s="6"/>
      <c r="F66" s="11"/>
      <c r="G66" s="6"/>
    </row>
    <row r="67" customFormat="false" ht="15" hidden="false" customHeight="true" outlineLevel="0" collapsed="false">
      <c r="A67" s="10"/>
      <c r="B67" s="10"/>
      <c r="C67" s="10"/>
      <c r="D67" s="5"/>
      <c r="E67" s="9"/>
      <c r="F67" s="10"/>
      <c r="G67" s="9"/>
    </row>
    <row r="68" customFormat="false" ht="15" hidden="false" customHeight="true" outlineLevel="0" collapsed="false">
      <c r="A68" s="11"/>
      <c r="B68" s="11"/>
      <c r="C68" s="11"/>
      <c r="D68" s="5"/>
      <c r="E68" s="6"/>
      <c r="F68" s="11"/>
      <c r="G68" s="6"/>
    </row>
    <row r="69" customFormat="false" ht="15" hidden="false" customHeight="true" outlineLevel="0" collapsed="false">
      <c r="A69" s="10"/>
      <c r="B69" s="10"/>
      <c r="C69" s="10"/>
      <c r="D69" s="5"/>
      <c r="E69" s="9"/>
      <c r="F69" s="10"/>
      <c r="G69" s="9"/>
    </row>
    <row r="70" customFormat="false" ht="15" hidden="false" customHeight="true" outlineLevel="0" collapsed="false">
      <c r="A70" s="11"/>
      <c r="B70" s="11"/>
      <c r="C70" s="11"/>
      <c r="D70" s="5"/>
      <c r="E70" s="6"/>
      <c r="F70" s="11"/>
      <c r="G70" s="6"/>
    </row>
    <row r="71" customFormat="false" ht="15" hidden="false" customHeight="true" outlineLevel="0" collapsed="false">
      <c r="A71" s="10"/>
      <c r="B71" s="10"/>
      <c r="C71" s="10"/>
      <c r="D71" s="5"/>
      <c r="E71" s="9"/>
      <c r="F71" s="10"/>
      <c r="G71" s="9"/>
    </row>
    <row r="72" customFormat="false" ht="15" hidden="false" customHeight="true" outlineLevel="0" collapsed="false">
      <c r="A72" s="11"/>
      <c r="B72" s="11"/>
      <c r="C72" s="11"/>
      <c r="D72" s="5"/>
      <c r="E72" s="6"/>
      <c r="F72" s="11"/>
      <c r="G72" s="6"/>
    </row>
    <row r="73" customFormat="false" ht="15" hidden="false" customHeight="true" outlineLevel="0" collapsed="false">
      <c r="A73" s="10"/>
      <c r="B73" s="10"/>
      <c r="C73" s="10"/>
      <c r="D73" s="5"/>
      <c r="E73" s="9"/>
      <c r="F73" s="10"/>
      <c r="G73" s="9"/>
    </row>
    <row r="74" customFormat="false" ht="15" hidden="false" customHeight="true" outlineLevel="0" collapsed="false">
      <c r="A74" s="11"/>
      <c r="B74" s="11"/>
      <c r="C74" s="11"/>
      <c r="D74" s="5"/>
      <c r="E74" s="6"/>
      <c r="F74" s="11"/>
      <c r="G74" s="6"/>
    </row>
    <row r="75" customFormat="false" ht="15" hidden="false" customHeight="true" outlineLevel="0" collapsed="false">
      <c r="A75" s="10"/>
      <c r="B75" s="10"/>
      <c r="C75" s="10"/>
      <c r="D75" s="5"/>
      <c r="E75" s="9"/>
      <c r="F75" s="10"/>
      <c r="G75" s="9"/>
    </row>
    <row r="76" customFormat="false" ht="15" hidden="false" customHeight="true" outlineLevel="0" collapsed="false">
      <c r="A76" s="11"/>
      <c r="B76" s="11"/>
      <c r="C76" s="11"/>
      <c r="D76" s="5"/>
      <c r="E76" s="6"/>
      <c r="F76" s="11"/>
      <c r="G76" s="6"/>
    </row>
    <row r="77" customFormat="false" ht="15" hidden="false" customHeight="true" outlineLevel="0" collapsed="false">
      <c r="A77" s="10"/>
      <c r="B77" s="10"/>
      <c r="C77" s="10"/>
      <c r="D77" s="5"/>
      <c r="E77" s="9"/>
      <c r="F77" s="10"/>
      <c r="G77" s="9"/>
    </row>
    <row r="78" customFormat="false" ht="15" hidden="false" customHeight="true" outlineLevel="0" collapsed="false">
      <c r="A78" s="11"/>
      <c r="B78" s="11"/>
      <c r="C78" s="11"/>
      <c r="D78" s="5"/>
      <c r="E78" s="6"/>
      <c r="F78" s="11"/>
      <c r="G78" s="6"/>
    </row>
    <row r="79" customFormat="false" ht="15" hidden="false" customHeight="true" outlineLevel="0" collapsed="false">
      <c r="A79" s="10"/>
      <c r="B79" s="10"/>
      <c r="C79" s="10"/>
      <c r="D79" s="5"/>
      <c r="E79" s="9"/>
      <c r="F79" s="10"/>
      <c r="G79" s="9"/>
    </row>
    <row r="80" customFormat="false" ht="15" hidden="false" customHeight="true" outlineLevel="0" collapsed="false">
      <c r="A80" s="11"/>
      <c r="B80" s="11"/>
      <c r="C80" s="11"/>
      <c r="D80" s="5"/>
      <c r="E80" s="6"/>
      <c r="F80" s="11"/>
      <c r="G80" s="6"/>
    </row>
    <row r="81" customFormat="false" ht="15" hidden="false" customHeight="true" outlineLevel="0" collapsed="false">
      <c r="A81" s="10"/>
      <c r="B81" s="10"/>
      <c r="C81" s="10"/>
      <c r="D81" s="5"/>
      <c r="E81" s="9"/>
      <c r="F81" s="10"/>
      <c r="G81" s="9"/>
    </row>
    <row r="82" customFormat="false" ht="15" hidden="false" customHeight="true" outlineLevel="0" collapsed="false">
      <c r="A82" s="11"/>
      <c r="B82" s="11"/>
      <c r="C82" s="11"/>
      <c r="D82" s="5"/>
      <c r="E82" s="6"/>
      <c r="F82" s="11"/>
      <c r="G82" s="6"/>
    </row>
    <row r="83" customFormat="false" ht="15" hidden="false" customHeight="true" outlineLevel="0" collapsed="false">
      <c r="A83" s="10"/>
      <c r="B83" s="10"/>
      <c r="C83" s="10"/>
      <c r="D83" s="5"/>
      <c r="E83" s="9"/>
      <c r="F83" s="10"/>
      <c r="G83" s="9"/>
    </row>
    <row r="84" customFormat="false" ht="15" hidden="false" customHeight="true" outlineLevel="0" collapsed="false">
      <c r="A84" s="11"/>
      <c r="B84" s="11"/>
      <c r="C84" s="11"/>
      <c r="D84" s="5"/>
      <c r="E84" s="6"/>
      <c r="F84" s="11"/>
      <c r="G84" s="6"/>
    </row>
    <row r="85" customFormat="false" ht="15" hidden="false" customHeight="true" outlineLevel="0" collapsed="false">
      <c r="A85" s="10"/>
      <c r="B85" s="10"/>
      <c r="C85" s="10"/>
      <c r="D85" s="5"/>
      <c r="E85" s="9"/>
      <c r="F85" s="10"/>
      <c r="G85" s="9"/>
    </row>
    <row r="86" customFormat="false" ht="15" hidden="false" customHeight="true" outlineLevel="0" collapsed="false">
      <c r="A86" s="11"/>
      <c r="B86" s="11"/>
      <c r="C86" s="11"/>
      <c r="D86" s="5"/>
      <c r="E86" s="6"/>
      <c r="F86" s="11"/>
      <c r="G86" s="6"/>
    </row>
    <row r="87" customFormat="false" ht="15" hidden="false" customHeight="true" outlineLevel="0" collapsed="false">
      <c r="A87" s="10"/>
      <c r="B87" s="10"/>
      <c r="C87" s="10"/>
      <c r="D87" s="5"/>
      <c r="E87" s="9"/>
      <c r="F87" s="10"/>
      <c r="G87" s="9"/>
    </row>
    <row r="88" customFormat="false" ht="15" hidden="false" customHeight="true" outlineLevel="0" collapsed="false">
      <c r="A88" s="11"/>
      <c r="B88" s="11"/>
      <c r="C88" s="11"/>
      <c r="D88" s="5"/>
      <c r="E88" s="6"/>
      <c r="F88" s="11"/>
      <c r="G88" s="6"/>
    </row>
    <row r="89" customFormat="false" ht="15" hidden="false" customHeight="true" outlineLevel="0" collapsed="false">
      <c r="A89" s="10"/>
      <c r="B89" s="10"/>
      <c r="C89" s="10"/>
      <c r="D89" s="5"/>
      <c r="E89" s="9"/>
      <c r="F89" s="10"/>
      <c r="G89" s="9"/>
    </row>
    <row r="90" customFormat="false" ht="15" hidden="false" customHeight="true" outlineLevel="0" collapsed="false">
      <c r="A90" s="11"/>
      <c r="B90" s="11"/>
      <c r="C90" s="11"/>
      <c r="D90" s="5"/>
      <c r="E90" s="6"/>
      <c r="F90" s="11"/>
      <c r="G90" s="6"/>
    </row>
    <row r="91" customFormat="false" ht="15" hidden="false" customHeight="true" outlineLevel="0" collapsed="false">
      <c r="A91" s="10"/>
      <c r="B91" s="10"/>
      <c r="C91" s="10"/>
      <c r="D91" s="5"/>
      <c r="E91" s="9"/>
      <c r="F91" s="10"/>
      <c r="G91" s="9"/>
    </row>
    <row r="92" customFormat="false" ht="15" hidden="false" customHeight="true" outlineLevel="0" collapsed="false">
      <c r="A92" s="11"/>
      <c r="B92" s="11"/>
      <c r="C92" s="11"/>
      <c r="D92" s="5"/>
      <c r="E92" s="6"/>
      <c r="F92" s="11"/>
      <c r="G92" s="6"/>
    </row>
    <row r="93" customFormat="false" ht="15" hidden="false" customHeight="true" outlineLevel="0" collapsed="false">
      <c r="A93" s="10"/>
      <c r="B93" s="10"/>
      <c r="C93" s="10"/>
      <c r="D93" s="5"/>
      <c r="E93" s="9"/>
      <c r="F93" s="10"/>
      <c r="G93" s="9"/>
    </row>
    <row r="94" customFormat="false" ht="15" hidden="false" customHeight="true" outlineLevel="0" collapsed="false">
      <c r="A94" s="11"/>
      <c r="B94" s="11"/>
      <c r="C94" s="11"/>
      <c r="D94" s="5"/>
      <c r="E94" s="6"/>
      <c r="F94" s="11"/>
      <c r="G94" s="6"/>
    </row>
    <row r="95" customFormat="false" ht="15" hidden="false" customHeight="true" outlineLevel="0" collapsed="false">
      <c r="A95" s="10"/>
      <c r="B95" s="10"/>
      <c r="C95" s="10"/>
      <c r="D95" s="5"/>
      <c r="E95" s="9"/>
      <c r="F95" s="10"/>
      <c r="G95" s="9"/>
    </row>
    <row r="96" customFormat="false" ht="15" hidden="false" customHeight="true" outlineLevel="0" collapsed="false">
      <c r="A96" s="11"/>
      <c r="B96" s="11"/>
      <c r="C96" s="11"/>
      <c r="D96" s="5"/>
      <c r="E96" s="6"/>
      <c r="F96" s="11"/>
      <c r="G96" s="6"/>
    </row>
    <row r="97" customFormat="false" ht="15" hidden="false" customHeight="true" outlineLevel="0" collapsed="false">
      <c r="A97" s="10"/>
      <c r="B97" s="10"/>
      <c r="C97" s="10"/>
      <c r="D97" s="5"/>
      <c r="E97" s="9"/>
      <c r="F97" s="10"/>
      <c r="G97" s="9"/>
    </row>
    <row r="98" customFormat="false" ht="15" hidden="false" customHeight="true" outlineLevel="0" collapsed="false">
      <c r="A98" s="11"/>
      <c r="B98" s="11"/>
      <c r="C98" s="11"/>
      <c r="D98" s="5"/>
      <c r="E98" s="6"/>
      <c r="F98" s="11"/>
      <c r="G98" s="6"/>
    </row>
    <row r="99" customFormat="false" ht="15" hidden="false" customHeight="true" outlineLevel="0" collapsed="false">
      <c r="A99" s="10"/>
      <c r="B99" s="10"/>
      <c r="C99" s="10"/>
      <c r="D99" s="5"/>
      <c r="E99" s="9"/>
      <c r="F99" s="10"/>
      <c r="G99" s="9"/>
    </row>
    <row r="100" customFormat="false" ht="15" hidden="false" customHeight="true" outlineLevel="0" collapsed="false">
      <c r="A100" s="11"/>
      <c r="B100" s="11"/>
      <c r="C100" s="11"/>
      <c r="D100" s="5"/>
      <c r="E100" s="6"/>
      <c r="F100" s="11"/>
      <c r="G100" s="6"/>
    </row>
    <row r="101" customFormat="false" ht="15" hidden="false" customHeight="true" outlineLevel="0" collapsed="false">
      <c r="A101" s="10"/>
      <c r="B101" s="10"/>
      <c r="C101" s="10"/>
      <c r="D101" s="5"/>
      <c r="E101" s="9"/>
      <c r="F101" s="10"/>
      <c r="G101" s="9"/>
    </row>
    <row r="102" customFormat="false" ht="15" hidden="false" customHeight="true" outlineLevel="0" collapsed="false">
      <c r="A102" s="11"/>
      <c r="B102" s="11"/>
      <c r="C102" s="11"/>
      <c r="D102" s="5"/>
      <c r="E102" s="6"/>
      <c r="F102" s="11"/>
      <c r="G102" s="6"/>
    </row>
    <row r="103" customFormat="false" ht="15" hidden="false" customHeight="true" outlineLevel="0" collapsed="false">
      <c r="A103" s="10"/>
      <c r="B103" s="10"/>
      <c r="C103" s="10"/>
      <c r="D103" s="5"/>
      <c r="E103" s="9"/>
      <c r="F103" s="10"/>
      <c r="G103" s="9"/>
    </row>
    <row r="104" customFormat="false" ht="15" hidden="false" customHeight="true" outlineLevel="0" collapsed="false">
      <c r="A104" s="11"/>
      <c r="B104" s="11"/>
      <c r="C104" s="11"/>
      <c r="D104" s="5"/>
      <c r="E104" s="6"/>
      <c r="F104" s="11"/>
      <c r="G104" s="6"/>
    </row>
    <row r="105" customFormat="false" ht="15" hidden="false" customHeight="true" outlineLevel="0" collapsed="false">
      <c r="A105" s="10"/>
      <c r="B105" s="10"/>
      <c r="C105" s="10"/>
      <c r="D105" s="5"/>
      <c r="E105" s="9"/>
      <c r="F105" s="10"/>
      <c r="G105" s="9"/>
    </row>
    <row r="106" customFormat="false" ht="15" hidden="false" customHeight="true" outlineLevel="0" collapsed="false">
      <c r="A106" s="11"/>
      <c r="B106" s="11"/>
      <c r="C106" s="11"/>
      <c r="D106" s="5"/>
      <c r="E106" s="6"/>
      <c r="F106" s="11"/>
      <c r="G106" s="6"/>
    </row>
    <row r="107" customFormat="false" ht="15" hidden="false" customHeight="true" outlineLevel="0" collapsed="false">
      <c r="A107" s="10"/>
      <c r="B107" s="10"/>
      <c r="C107" s="10"/>
      <c r="D107" s="5"/>
      <c r="E107" s="9"/>
      <c r="F107" s="10"/>
      <c r="G107" s="9"/>
    </row>
    <row r="108" customFormat="false" ht="15" hidden="false" customHeight="true" outlineLevel="0" collapsed="false">
      <c r="A108" s="11"/>
      <c r="B108" s="11"/>
      <c r="C108" s="11"/>
      <c r="D108" s="5"/>
      <c r="E108" s="6"/>
      <c r="F108" s="11"/>
      <c r="G108" s="6"/>
    </row>
    <row r="109" customFormat="false" ht="15" hidden="false" customHeight="true" outlineLevel="0" collapsed="false">
      <c r="A109" s="10"/>
      <c r="B109" s="10"/>
      <c r="C109" s="10"/>
      <c r="D109" s="5"/>
      <c r="E109" s="9"/>
      <c r="F109" s="10"/>
      <c r="G109" s="9"/>
    </row>
    <row r="110" customFormat="false" ht="15" hidden="false" customHeight="true" outlineLevel="0" collapsed="false">
      <c r="A110" s="11"/>
      <c r="B110" s="11"/>
      <c r="C110" s="11"/>
      <c r="D110" s="5"/>
      <c r="E110" s="6"/>
      <c r="F110" s="11"/>
      <c r="G110" s="6"/>
    </row>
    <row r="111" customFormat="false" ht="15" hidden="false" customHeight="true" outlineLevel="0" collapsed="false">
      <c r="A111" s="10"/>
      <c r="B111" s="10"/>
      <c r="C111" s="10"/>
      <c r="D111" s="5"/>
      <c r="E111" s="9"/>
      <c r="F111" s="10"/>
      <c r="G111" s="9"/>
    </row>
    <row r="112" customFormat="false" ht="15" hidden="false" customHeight="true" outlineLevel="0" collapsed="false">
      <c r="A112" s="11"/>
      <c r="B112" s="11"/>
      <c r="C112" s="11"/>
      <c r="D112" s="5"/>
      <c r="E112" s="6"/>
      <c r="F112" s="11"/>
      <c r="G112" s="6"/>
    </row>
    <row r="113" customFormat="false" ht="15" hidden="false" customHeight="true" outlineLevel="0" collapsed="false">
      <c r="A113" s="10"/>
      <c r="B113" s="10"/>
      <c r="C113" s="10"/>
      <c r="D113" s="5"/>
      <c r="E113" s="9"/>
      <c r="F113" s="10"/>
      <c r="G113" s="9"/>
    </row>
    <row r="114" customFormat="false" ht="15" hidden="false" customHeight="true" outlineLevel="0" collapsed="false">
      <c r="A114" s="11"/>
      <c r="B114" s="11"/>
      <c r="C114" s="11"/>
      <c r="D114" s="5"/>
      <c r="E114" s="6"/>
      <c r="F114" s="11"/>
      <c r="G114" s="6"/>
    </row>
    <row r="115" customFormat="false" ht="15" hidden="false" customHeight="true" outlineLevel="0" collapsed="false">
      <c r="A115" s="10"/>
      <c r="B115" s="10"/>
      <c r="C115" s="10"/>
      <c r="D115" s="5"/>
      <c r="E115" s="9"/>
      <c r="F115" s="10"/>
      <c r="G115" s="9"/>
    </row>
    <row r="116" customFormat="false" ht="15" hidden="false" customHeight="true" outlineLevel="0" collapsed="false">
      <c r="A116" s="11"/>
      <c r="B116" s="11"/>
      <c r="C116" s="11"/>
      <c r="D116" s="5"/>
      <c r="E116" s="6"/>
      <c r="F116" s="11"/>
      <c r="G116" s="6"/>
    </row>
    <row r="117" customFormat="false" ht="15" hidden="false" customHeight="true" outlineLevel="0" collapsed="false">
      <c r="A117" s="10"/>
      <c r="B117" s="10"/>
      <c r="C117" s="10"/>
      <c r="D117" s="5"/>
      <c r="E117" s="9"/>
      <c r="F117" s="10"/>
      <c r="G117" s="9"/>
    </row>
    <row r="118" customFormat="false" ht="15" hidden="false" customHeight="true" outlineLevel="0" collapsed="false">
      <c r="A118" s="11"/>
      <c r="B118" s="11"/>
      <c r="C118" s="11"/>
      <c r="D118" s="5"/>
      <c r="E118" s="6"/>
      <c r="F118" s="11"/>
      <c r="G118" s="6"/>
    </row>
    <row r="119" customFormat="false" ht="15" hidden="false" customHeight="true" outlineLevel="0" collapsed="false">
      <c r="A119" s="10"/>
      <c r="B119" s="10"/>
      <c r="C119" s="10"/>
      <c r="D119" s="5"/>
      <c r="E119" s="9"/>
      <c r="F119" s="10"/>
      <c r="G119" s="9"/>
    </row>
    <row r="120" customFormat="false" ht="15" hidden="false" customHeight="true" outlineLevel="0" collapsed="false">
      <c r="A120" s="11"/>
      <c r="B120" s="11"/>
      <c r="C120" s="11"/>
      <c r="D120" s="5"/>
      <c r="E120" s="6"/>
      <c r="F120" s="11"/>
      <c r="G120" s="6"/>
    </row>
    <row r="121" customFormat="false" ht="15" hidden="false" customHeight="true" outlineLevel="0" collapsed="false">
      <c r="A121" s="10"/>
      <c r="B121" s="10"/>
      <c r="C121" s="10"/>
      <c r="D121" s="5"/>
      <c r="E121" s="9"/>
      <c r="F121" s="10"/>
      <c r="G121" s="9"/>
    </row>
    <row r="122" customFormat="false" ht="15" hidden="false" customHeight="true" outlineLevel="0" collapsed="false">
      <c r="A122" s="11"/>
      <c r="B122" s="11"/>
      <c r="C122" s="11"/>
      <c r="D122" s="5"/>
      <c r="E122" s="6"/>
      <c r="F122" s="11"/>
      <c r="G122" s="6"/>
    </row>
    <row r="123" customFormat="false" ht="15" hidden="false" customHeight="true" outlineLevel="0" collapsed="false">
      <c r="A123" s="10"/>
      <c r="B123" s="10"/>
      <c r="C123" s="10"/>
      <c r="D123" s="5"/>
      <c r="E123" s="9"/>
      <c r="F123" s="10"/>
      <c r="G123" s="9"/>
    </row>
    <row r="124" customFormat="false" ht="15" hidden="false" customHeight="true" outlineLevel="0" collapsed="false">
      <c r="A124" s="11"/>
      <c r="B124" s="11"/>
      <c r="C124" s="11"/>
      <c r="D124" s="5"/>
      <c r="E124" s="6"/>
      <c r="F124" s="11"/>
      <c r="G124" s="6"/>
    </row>
    <row r="125" customFormat="false" ht="15" hidden="false" customHeight="true" outlineLevel="0" collapsed="false">
      <c r="A125" s="10"/>
      <c r="B125" s="10"/>
      <c r="C125" s="10"/>
      <c r="D125" s="5"/>
      <c r="E125" s="9"/>
      <c r="F125" s="10"/>
      <c r="G125" s="9"/>
    </row>
    <row r="126" customFormat="false" ht="15" hidden="false" customHeight="true" outlineLevel="0" collapsed="false">
      <c r="A126" s="11"/>
      <c r="B126" s="11"/>
      <c r="C126" s="11"/>
      <c r="D126" s="5"/>
      <c r="E126" s="6"/>
      <c r="F126" s="11"/>
      <c r="G126" s="6"/>
    </row>
    <row r="127" customFormat="false" ht="15" hidden="false" customHeight="true" outlineLevel="0" collapsed="false">
      <c r="A127" s="10"/>
      <c r="B127" s="10"/>
      <c r="C127" s="10"/>
      <c r="D127" s="5"/>
      <c r="E127" s="9"/>
      <c r="F127" s="10"/>
      <c r="G127" s="9"/>
    </row>
    <row r="128" customFormat="false" ht="15" hidden="false" customHeight="true" outlineLevel="0" collapsed="false">
      <c r="A128" s="11"/>
      <c r="B128" s="11"/>
      <c r="C128" s="11"/>
      <c r="D128" s="5"/>
      <c r="E128" s="6"/>
      <c r="F128" s="11"/>
      <c r="G128" s="6"/>
    </row>
    <row r="129" customFormat="false" ht="15" hidden="false" customHeight="true" outlineLevel="0" collapsed="false">
      <c r="A129" s="10"/>
      <c r="B129" s="10"/>
      <c r="C129" s="10"/>
      <c r="D129" s="5"/>
      <c r="E129" s="9"/>
      <c r="F129" s="10"/>
      <c r="G129" s="9"/>
    </row>
    <row r="130" customFormat="false" ht="15" hidden="false" customHeight="true" outlineLevel="0" collapsed="false">
      <c r="A130" s="11"/>
      <c r="B130" s="11"/>
      <c r="C130" s="11"/>
      <c r="D130" s="5"/>
      <c r="E130" s="6"/>
      <c r="F130" s="11"/>
      <c r="G130" s="6"/>
    </row>
    <row r="131" customFormat="false" ht="15" hidden="false" customHeight="true" outlineLevel="0" collapsed="false">
      <c r="A131" s="10"/>
      <c r="B131" s="10"/>
      <c r="C131" s="10"/>
      <c r="D131" s="5"/>
      <c r="E131" s="9"/>
      <c r="F131" s="10"/>
      <c r="G131" s="9"/>
    </row>
    <row r="132" customFormat="false" ht="15" hidden="false" customHeight="true" outlineLevel="0" collapsed="false">
      <c r="A132" s="11"/>
      <c r="B132" s="11"/>
      <c r="C132" s="11"/>
      <c r="D132" s="5"/>
      <c r="E132" s="6"/>
      <c r="F132" s="11"/>
      <c r="G132" s="6"/>
    </row>
    <row r="133" customFormat="false" ht="15" hidden="false" customHeight="true" outlineLevel="0" collapsed="false">
      <c r="A133" s="10"/>
      <c r="B133" s="10"/>
      <c r="C133" s="10"/>
      <c r="D133" s="5"/>
      <c r="E133" s="9"/>
      <c r="F133" s="10"/>
      <c r="G133" s="9"/>
    </row>
    <row r="134" customFormat="false" ht="15" hidden="false" customHeight="true" outlineLevel="0" collapsed="false">
      <c r="A134" s="11"/>
      <c r="B134" s="11"/>
      <c r="C134" s="11"/>
      <c r="D134" s="5"/>
      <c r="E134" s="6"/>
      <c r="F134" s="11"/>
      <c r="G134" s="6"/>
    </row>
    <row r="135" customFormat="false" ht="15" hidden="false" customHeight="true" outlineLevel="0" collapsed="false">
      <c r="A135" s="10"/>
      <c r="B135" s="10"/>
      <c r="C135" s="10"/>
      <c r="D135" s="5"/>
      <c r="E135" s="9"/>
      <c r="F135" s="10"/>
      <c r="G135" s="9"/>
    </row>
    <row r="136" customFormat="false" ht="15" hidden="false" customHeight="true" outlineLevel="0" collapsed="false">
      <c r="A136" s="11"/>
      <c r="B136" s="11"/>
      <c r="C136" s="11"/>
      <c r="D136" s="5"/>
      <c r="E136" s="6"/>
      <c r="F136" s="11"/>
      <c r="G136" s="6"/>
    </row>
    <row r="137" customFormat="false" ht="15" hidden="false" customHeight="true" outlineLevel="0" collapsed="false">
      <c r="A137" s="10"/>
      <c r="B137" s="10"/>
      <c r="C137" s="10"/>
      <c r="D137" s="5"/>
      <c r="E137" s="9"/>
      <c r="F137" s="10"/>
      <c r="G137" s="9"/>
    </row>
    <row r="138" customFormat="false" ht="15" hidden="false" customHeight="true" outlineLevel="0" collapsed="false">
      <c r="A138" s="11"/>
      <c r="B138" s="11"/>
      <c r="C138" s="11"/>
      <c r="D138" s="5"/>
      <c r="E138" s="6"/>
      <c r="F138" s="11"/>
      <c r="G138" s="6"/>
    </row>
    <row r="139" customFormat="false" ht="15" hidden="false" customHeight="true" outlineLevel="0" collapsed="false">
      <c r="A139" s="10"/>
      <c r="B139" s="10"/>
      <c r="C139" s="10"/>
      <c r="D139" s="5"/>
      <c r="E139" s="9"/>
      <c r="F139" s="10"/>
      <c r="G139" s="9"/>
    </row>
    <row r="140" customFormat="false" ht="15" hidden="false" customHeight="true" outlineLevel="0" collapsed="false">
      <c r="A140" s="11"/>
      <c r="B140" s="11"/>
      <c r="C140" s="11"/>
      <c r="D140" s="5"/>
      <c r="E140" s="6"/>
      <c r="F140" s="11"/>
      <c r="G140" s="6"/>
    </row>
    <row r="141" customFormat="false" ht="15" hidden="false" customHeight="true" outlineLevel="0" collapsed="false">
      <c r="A141" s="10"/>
      <c r="B141" s="10"/>
      <c r="C141" s="10"/>
      <c r="D141" s="5"/>
      <c r="E141" s="9"/>
      <c r="F141" s="10"/>
      <c r="G141" s="9"/>
    </row>
    <row r="142" customFormat="false" ht="15" hidden="false" customHeight="true" outlineLevel="0" collapsed="false">
      <c r="A142" s="11"/>
      <c r="B142" s="11"/>
      <c r="C142" s="11"/>
      <c r="D142" s="5"/>
      <c r="E142" s="6"/>
      <c r="F142" s="11"/>
      <c r="G142" s="6"/>
    </row>
    <row r="143" customFormat="false" ht="15" hidden="false" customHeight="true" outlineLevel="0" collapsed="false">
      <c r="A143" s="10"/>
      <c r="B143" s="10"/>
      <c r="C143" s="10"/>
      <c r="D143" s="5"/>
      <c r="E143" s="9"/>
      <c r="F143" s="10"/>
      <c r="G143" s="9"/>
    </row>
    <row r="144" customFormat="false" ht="15" hidden="false" customHeight="true" outlineLevel="0" collapsed="false">
      <c r="A144" s="11"/>
      <c r="B144" s="11"/>
      <c r="C144" s="11"/>
      <c r="D144" s="5"/>
      <c r="E144" s="6"/>
      <c r="F144" s="11"/>
      <c r="G144" s="6"/>
    </row>
    <row r="145" customFormat="false" ht="15" hidden="false" customHeight="true" outlineLevel="0" collapsed="false">
      <c r="A145" s="10"/>
      <c r="B145" s="10"/>
      <c r="C145" s="10"/>
      <c r="D145" s="5"/>
      <c r="E145" s="9"/>
      <c r="F145" s="10"/>
      <c r="G145" s="9"/>
    </row>
    <row r="146" customFormat="false" ht="15" hidden="false" customHeight="true" outlineLevel="0" collapsed="false">
      <c r="A146" s="11"/>
      <c r="B146" s="11"/>
      <c r="C146" s="11"/>
      <c r="D146" s="5"/>
      <c r="E146" s="6"/>
      <c r="F146" s="11"/>
      <c r="G146" s="6"/>
    </row>
    <row r="147" customFormat="false" ht="15" hidden="false" customHeight="true" outlineLevel="0" collapsed="false">
      <c r="A147" s="10"/>
      <c r="B147" s="10"/>
      <c r="C147" s="10"/>
      <c r="D147" s="5"/>
      <c r="E147" s="9"/>
      <c r="F147" s="10"/>
      <c r="G147" s="9"/>
    </row>
    <row r="148" customFormat="false" ht="15" hidden="false" customHeight="true" outlineLevel="0" collapsed="false">
      <c r="A148" s="11"/>
      <c r="B148" s="11"/>
      <c r="C148" s="11"/>
      <c r="D148" s="5"/>
      <c r="E148" s="6"/>
      <c r="F148" s="11"/>
      <c r="G148" s="6"/>
    </row>
    <row r="149" customFormat="false" ht="15" hidden="false" customHeight="true" outlineLevel="0" collapsed="false">
      <c r="A149" s="10"/>
      <c r="B149" s="10"/>
      <c r="C149" s="10"/>
      <c r="D149" s="5"/>
      <c r="E149" s="9"/>
      <c r="F149" s="10"/>
      <c r="G149" s="9"/>
    </row>
    <row r="150" customFormat="false" ht="15" hidden="false" customHeight="true" outlineLevel="0" collapsed="false">
      <c r="A150" s="11"/>
      <c r="B150" s="11"/>
      <c r="C150" s="11"/>
      <c r="D150" s="5"/>
      <c r="E150" s="6"/>
      <c r="F150" s="11"/>
      <c r="G150" s="6"/>
    </row>
    <row r="151" customFormat="false" ht="15" hidden="false" customHeight="true" outlineLevel="0" collapsed="false">
      <c r="A151" s="10"/>
      <c r="B151" s="10"/>
      <c r="C151" s="10"/>
      <c r="D151" s="5"/>
      <c r="E151" s="9"/>
      <c r="F151" s="10"/>
      <c r="G151" s="9"/>
    </row>
    <row r="152" customFormat="false" ht="15" hidden="false" customHeight="true" outlineLevel="0" collapsed="false">
      <c r="A152" s="11"/>
      <c r="B152" s="11"/>
      <c r="C152" s="11"/>
      <c r="D152" s="5"/>
      <c r="E152" s="6"/>
      <c r="F152" s="11"/>
      <c r="G152" s="6"/>
    </row>
    <row r="153" customFormat="false" ht="15" hidden="false" customHeight="true" outlineLevel="0" collapsed="false">
      <c r="A153" s="10"/>
      <c r="B153" s="10"/>
      <c r="C153" s="10"/>
      <c r="D153" s="5"/>
      <c r="E153" s="9"/>
      <c r="F153" s="10"/>
      <c r="G153" s="9"/>
    </row>
    <row r="154" customFormat="false" ht="15" hidden="false" customHeight="true" outlineLevel="0" collapsed="false">
      <c r="A154" s="11"/>
      <c r="B154" s="11"/>
      <c r="C154" s="11"/>
      <c r="D154" s="5"/>
      <c r="E154" s="6"/>
      <c r="F154" s="11"/>
      <c r="G154" s="6"/>
    </row>
    <row r="155" customFormat="false" ht="15" hidden="false" customHeight="true" outlineLevel="0" collapsed="false">
      <c r="A155" s="10"/>
      <c r="B155" s="10"/>
      <c r="C155" s="10"/>
      <c r="D155" s="5"/>
      <c r="E155" s="9"/>
      <c r="F155" s="10"/>
      <c r="G155" s="9"/>
    </row>
    <row r="156" customFormat="false" ht="15" hidden="false" customHeight="true" outlineLevel="0" collapsed="false">
      <c r="A156" s="11"/>
      <c r="B156" s="11"/>
      <c r="C156" s="11"/>
      <c r="D156" s="5"/>
      <c r="E156" s="6"/>
      <c r="F156" s="11"/>
      <c r="G156" s="6"/>
    </row>
    <row r="157" customFormat="false" ht="15" hidden="false" customHeight="true" outlineLevel="0" collapsed="false">
      <c r="A157" s="10"/>
      <c r="B157" s="10"/>
      <c r="C157" s="10"/>
      <c r="D157" s="5"/>
      <c r="E157" s="9"/>
      <c r="F157" s="10"/>
      <c r="G157" s="9"/>
    </row>
    <row r="158" customFormat="false" ht="15" hidden="false" customHeight="true" outlineLevel="0" collapsed="false">
      <c r="A158" s="11"/>
      <c r="B158" s="11"/>
      <c r="C158" s="11"/>
      <c r="D158" s="5"/>
      <c r="E158" s="6"/>
      <c r="F158" s="11"/>
      <c r="G158" s="6"/>
    </row>
    <row r="159" customFormat="false" ht="15" hidden="false" customHeight="true" outlineLevel="0" collapsed="false">
      <c r="A159" s="10"/>
      <c r="B159" s="10"/>
      <c r="C159" s="10"/>
      <c r="D159" s="5"/>
      <c r="E159" s="9"/>
      <c r="F159" s="10"/>
      <c r="G159" s="9"/>
    </row>
    <row r="160" customFormat="false" ht="15" hidden="false" customHeight="true" outlineLevel="0" collapsed="false">
      <c r="A160" s="11"/>
      <c r="B160" s="11"/>
      <c r="C160" s="11"/>
      <c r="D160" s="5"/>
      <c r="E160" s="6"/>
      <c r="F160" s="11"/>
      <c r="G160" s="6"/>
    </row>
    <row r="161" customFormat="false" ht="15" hidden="false" customHeight="true" outlineLevel="0" collapsed="false">
      <c r="A161" s="10"/>
      <c r="B161" s="10"/>
      <c r="C161" s="10"/>
      <c r="D161" s="5"/>
      <c r="E161" s="9"/>
      <c r="F161" s="10"/>
      <c r="G161" s="9"/>
    </row>
    <row r="162" customFormat="false" ht="15" hidden="false" customHeight="true" outlineLevel="0" collapsed="false">
      <c r="A162" s="11"/>
      <c r="B162" s="11"/>
      <c r="C162" s="11"/>
      <c r="D162" s="5"/>
      <c r="E162" s="6"/>
      <c r="F162" s="11"/>
      <c r="G162" s="6"/>
    </row>
    <row r="163" customFormat="false" ht="15" hidden="false" customHeight="true" outlineLevel="0" collapsed="false">
      <c r="A163" s="10"/>
      <c r="B163" s="10"/>
      <c r="C163" s="10"/>
      <c r="D163" s="5"/>
      <c r="E163" s="9"/>
      <c r="F163" s="10"/>
      <c r="G163" s="9"/>
    </row>
    <row r="164" customFormat="false" ht="15" hidden="false" customHeight="true" outlineLevel="0" collapsed="false">
      <c r="A164" s="11"/>
      <c r="B164" s="11"/>
      <c r="C164" s="11"/>
      <c r="D164" s="5"/>
      <c r="E164" s="6"/>
      <c r="F164" s="11"/>
      <c r="G164" s="6"/>
    </row>
    <row r="165" customFormat="false" ht="15" hidden="false" customHeight="true" outlineLevel="0" collapsed="false">
      <c r="A165" s="10"/>
      <c r="B165" s="10"/>
      <c r="C165" s="10"/>
      <c r="D165" s="5"/>
      <c r="E165" s="9"/>
      <c r="F165" s="10"/>
      <c r="G165" s="9"/>
    </row>
    <row r="166" customFormat="false" ht="15" hidden="false" customHeight="true" outlineLevel="0" collapsed="false">
      <c r="A166" s="11"/>
      <c r="B166" s="11"/>
      <c r="C166" s="11"/>
      <c r="D166" s="5"/>
      <c r="E166" s="6"/>
      <c r="F166" s="11"/>
      <c r="G166" s="6"/>
    </row>
    <row r="167" customFormat="false" ht="15" hidden="false" customHeight="true" outlineLevel="0" collapsed="false">
      <c r="A167" s="10"/>
      <c r="B167" s="10"/>
      <c r="C167" s="10"/>
      <c r="D167" s="5"/>
      <c r="E167" s="9"/>
      <c r="F167" s="10"/>
      <c r="G167" s="9"/>
    </row>
    <row r="168" customFormat="false" ht="15" hidden="false" customHeight="true" outlineLevel="0" collapsed="false">
      <c r="A168" s="11"/>
      <c r="B168" s="11"/>
      <c r="C168" s="11"/>
      <c r="D168" s="5"/>
      <c r="E168" s="6"/>
      <c r="F168" s="11"/>
      <c r="G168" s="6"/>
    </row>
    <row r="169" customFormat="false" ht="15" hidden="false" customHeight="true" outlineLevel="0" collapsed="false">
      <c r="A169" s="10"/>
      <c r="B169" s="10"/>
      <c r="C169" s="10"/>
      <c r="D169" s="5"/>
      <c r="E169" s="9"/>
      <c r="F169" s="10"/>
      <c r="G169" s="9"/>
    </row>
    <row r="170" customFormat="false" ht="15" hidden="false" customHeight="true" outlineLevel="0" collapsed="false">
      <c r="A170" s="11"/>
      <c r="B170" s="11"/>
      <c r="C170" s="11"/>
      <c r="D170" s="5"/>
      <c r="E170" s="6"/>
      <c r="F170" s="11"/>
      <c r="G170" s="6"/>
    </row>
    <row r="171" customFormat="false" ht="15" hidden="false" customHeight="true" outlineLevel="0" collapsed="false">
      <c r="A171" s="10"/>
      <c r="B171" s="10"/>
      <c r="C171" s="10"/>
      <c r="D171" s="5"/>
      <c r="E171" s="9"/>
      <c r="F171" s="10"/>
      <c r="G171" s="9"/>
    </row>
    <row r="172" customFormat="false" ht="15" hidden="false" customHeight="true" outlineLevel="0" collapsed="false">
      <c r="A172" s="11"/>
      <c r="B172" s="11"/>
      <c r="C172" s="11"/>
      <c r="D172" s="5"/>
      <c r="E172" s="6"/>
      <c r="F172" s="11"/>
      <c r="G172" s="6"/>
    </row>
    <row r="173" customFormat="false" ht="15" hidden="false" customHeight="true" outlineLevel="0" collapsed="false">
      <c r="A173" s="10"/>
      <c r="B173" s="10"/>
      <c r="C173" s="10"/>
      <c r="D173" s="5"/>
      <c r="E173" s="9"/>
      <c r="F173" s="10"/>
      <c r="G173" s="9"/>
    </row>
    <row r="174" customFormat="false" ht="15" hidden="false" customHeight="true" outlineLevel="0" collapsed="false">
      <c r="A174" s="11"/>
      <c r="B174" s="11"/>
      <c r="C174" s="11"/>
      <c r="D174" s="5"/>
      <c r="E174" s="6"/>
      <c r="F174" s="11"/>
      <c r="G174" s="6"/>
    </row>
    <row r="175" customFormat="false" ht="15" hidden="false" customHeight="true" outlineLevel="0" collapsed="false">
      <c r="A175" s="10"/>
      <c r="B175" s="10"/>
      <c r="C175" s="10"/>
      <c r="D175" s="5"/>
      <c r="E175" s="9"/>
      <c r="F175" s="10"/>
      <c r="G175" s="9"/>
    </row>
    <row r="176" customFormat="false" ht="15" hidden="false" customHeight="true" outlineLevel="0" collapsed="false">
      <c r="A176" s="11"/>
      <c r="B176" s="11"/>
      <c r="C176" s="11"/>
      <c r="D176" s="5"/>
      <c r="E176" s="6"/>
      <c r="F176" s="11"/>
      <c r="G176" s="6"/>
    </row>
    <row r="177" customFormat="false" ht="15" hidden="false" customHeight="true" outlineLevel="0" collapsed="false">
      <c r="A177" s="10"/>
      <c r="B177" s="10"/>
      <c r="C177" s="10"/>
      <c r="D177" s="5"/>
      <c r="E177" s="9"/>
      <c r="F177" s="10"/>
      <c r="G177" s="9"/>
    </row>
    <row r="178" customFormat="false" ht="15" hidden="false" customHeight="true" outlineLevel="0" collapsed="false">
      <c r="A178" s="11"/>
      <c r="B178" s="11"/>
      <c r="C178" s="11"/>
      <c r="D178" s="5"/>
      <c r="E178" s="6"/>
      <c r="F178" s="11"/>
      <c r="G178" s="6"/>
    </row>
    <row r="179" customFormat="false" ht="15" hidden="false" customHeight="true" outlineLevel="0" collapsed="false">
      <c r="A179" s="10"/>
      <c r="B179" s="10"/>
      <c r="C179" s="10"/>
      <c r="D179" s="5"/>
      <c r="E179" s="9"/>
      <c r="F179" s="10"/>
      <c r="G179" s="9"/>
    </row>
    <row r="180" customFormat="false" ht="15" hidden="false" customHeight="true" outlineLevel="0" collapsed="false">
      <c r="A180" s="11"/>
      <c r="B180" s="11"/>
      <c r="C180" s="11"/>
      <c r="D180" s="5"/>
      <c r="E180" s="6"/>
      <c r="F180" s="11"/>
      <c r="G180" s="6"/>
    </row>
    <row r="181" customFormat="false" ht="15" hidden="false" customHeight="true" outlineLevel="0" collapsed="false">
      <c r="A181" s="10"/>
      <c r="B181" s="10"/>
      <c r="C181" s="10"/>
      <c r="D181" s="5"/>
      <c r="E181" s="9"/>
      <c r="F181" s="10"/>
      <c r="G181" s="9"/>
    </row>
    <row r="182" customFormat="false" ht="15" hidden="false" customHeight="true" outlineLevel="0" collapsed="false">
      <c r="A182" s="11"/>
      <c r="B182" s="11"/>
      <c r="C182" s="11"/>
      <c r="D182" s="5"/>
      <c r="E182" s="6"/>
      <c r="F182" s="11"/>
      <c r="G182" s="6"/>
    </row>
    <row r="183" customFormat="false" ht="15" hidden="false" customHeight="true" outlineLevel="0" collapsed="false">
      <c r="A183" s="10"/>
      <c r="B183" s="10"/>
      <c r="C183" s="10"/>
      <c r="D183" s="5"/>
      <c r="E183" s="9"/>
      <c r="F183" s="10"/>
      <c r="G183" s="9"/>
    </row>
    <row r="184" customFormat="false" ht="15" hidden="false" customHeight="true" outlineLevel="0" collapsed="false">
      <c r="A184" s="11"/>
      <c r="B184" s="11"/>
      <c r="C184" s="11"/>
      <c r="D184" s="5"/>
      <c r="E184" s="6"/>
      <c r="F184" s="11"/>
      <c r="G184" s="6"/>
    </row>
    <row r="185" customFormat="false" ht="15" hidden="false" customHeight="true" outlineLevel="0" collapsed="false">
      <c r="A185" s="10"/>
      <c r="B185" s="10"/>
      <c r="C185" s="10"/>
      <c r="D185" s="5"/>
      <c r="E185" s="9"/>
      <c r="F185" s="10"/>
      <c r="G185" s="9"/>
    </row>
    <row r="186" customFormat="false" ht="15" hidden="false" customHeight="true" outlineLevel="0" collapsed="false">
      <c r="A186" s="11"/>
      <c r="B186" s="11"/>
      <c r="C186" s="11"/>
      <c r="D186" s="5"/>
      <c r="E186" s="6"/>
      <c r="F186" s="11"/>
      <c r="G186" s="6"/>
    </row>
    <row r="187" customFormat="false" ht="15" hidden="false" customHeight="true" outlineLevel="0" collapsed="false">
      <c r="A187" s="10"/>
      <c r="B187" s="10"/>
      <c r="C187" s="10"/>
      <c r="D187" s="5"/>
      <c r="E187" s="9"/>
      <c r="F187" s="10"/>
      <c r="G187" s="9"/>
    </row>
    <row r="188" customFormat="false" ht="15" hidden="false" customHeight="true" outlineLevel="0" collapsed="false">
      <c r="A188" s="11"/>
      <c r="B188" s="11"/>
      <c r="C188" s="11"/>
      <c r="D188" s="5"/>
      <c r="E188" s="6"/>
      <c r="F188" s="11"/>
      <c r="G188" s="6"/>
    </row>
    <row r="189" customFormat="false" ht="15" hidden="false" customHeight="true" outlineLevel="0" collapsed="false">
      <c r="A189" s="10"/>
      <c r="B189" s="10"/>
      <c r="C189" s="10"/>
      <c r="D189" s="5"/>
      <c r="E189" s="9"/>
      <c r="F189" s="10"/>
      <c r="G189" s="9"/>
    </row>
    <row r="190" customFormat="false" ht="15" hidden="false" customHeight="true" outlineLevel="0" collapsed="false">
      <c r="A190" s="11"/>
      <c r="B190" s="11"/>
      <c r="C190" s="11"/>
      <c r="D190" s="5"/>
      <c r="E190" s="6"/>
      <c r="F190" s="11"/>
      <c r="G190" s="6"/>
    </row>
    <row r="191" customFormat="false" ht="15" hidden="false" customHeight="true" outlineLevel="0" collapsed="false">
      <c r="A191" s="10"/>
      <c r="B191" s="10"/>
      <c r="C191" s="10"/>
      <c r="D191" s="5"/>
      <c r="E191" s="9"/>
      <c r="F191" s="10"/>
      <c r="G191" s="9"/>
    </row>
    <row r="192" customFormat="false" ht="15" hidden="false" customHeight="true" outlineLevel="0" collapsed="false">
      <c r="A192" s="11"/>
      <c r="B192" s="11"/>
      <c r="C192" s="11"/>
      <c r="D192" s="5"/>
      <c r="E192" s="6"/>
      <c r="F192" s="11"/>
      <c r="G192" s="6"/>
    </row>
    <row r="193" customFormat="false" ht="15" hidden="false" customHeight="true" outlineLevel="0" collapsed="false">
      <c r="A193" s="10"/>
      <c r="B193" s="10"/>
      <c r="C193" s="10"/>
      <c r="D193" s="5"/>
      <c r="E193" s="9"/>
      <c r="F193" s="10"/>
      <c r="G193" s="9"/>
    </row>
    <row r="194" customFormat="false" ht="15" hidden="false" customHeight="true" outlineLevel="0" collapsed="false">
      <c r="A194" s="11"/>
      <c r="B194" s="11"/>
      <c r="C194" s="11"/>
      <c r="D194" s="5"/>
      <c r="E194" s="6"/>
      <c r="F194" s="11"/>
      <c r="G194" s="6"/>
    </row>
    <row r="195" customFormat="false" ht="15" hidden="false" customHeight="true" outlineLevel="0" collapsed="false">
      <c r="A195" s="10"/>
      <c r="B195" s="10"/>
      <c r="C195" s="10"/>
      <c r="D195" s="5"/>
      <c r="E195" s="9"/>
      <c r="F195" s="10"/>
      <c r="G195" s="9"/>
    </row>
    <row r="196" customFormat="false" ht="15" hidden="false" customHeight="true" outlineLevel="0" collapsed="false">
      <c r="A196" s="11"/>
      <c r="B196" s="11"/>
      <c r="C196" s="11"/>
      <c r="D196" s="5"/>
      <c r="E196" s="6"/>
      <c r="F196" s="11"/>
      <c r="G196" s="6"/>
    </row>
    <row r="197" customFormat="false" ht="15" hidden="false" customHeight="true" outlineLevel="0" collapsed="false">
      <c r="A197" s="10"/>
      <c r="B197" s="10"/>
      <c r="C197" s="10"/>
      <c r="D197" s="5"/>
      <c r="E197" s="9"/>
      <c r="F197" s="10"/>
      <c r="G197" s="9"/>
    </row>
    <row r="198" customFormat="false" ht="15" hidden="false" customHeight="true" outlineLevel="0" collapsed="false">
      <c r="A198" s="11"/>
      <c r="B198" s="11"/>
      <c r="C198" s="11"/>
      <c r="D198" s="5"/>
      <c r="E198" s="6"/>
      <c r="F198" s="11"/>
      <c r="G198" s="6"/>
    </row>
    <row r="199" customFormat="false" ht="15" hidden="false" customHeight="true" outlineLevel="0" collapsed="false">
      <c r="A199" s="10"/>
      <c r="B199" s="10"/>
      <c r="C199" s="10"/>
      <c r="D199" s="5"/>
      <c r="E199" s="9"/>
      <c r="F199" s="10"/>
      <c r="G199" s="9"/>
    </row>
    <row r="200" customFormat="false" ht="15" hidden="false" customHeight="true" outlineLevel="0" collapsed="false">
      <c r="A200" s="11"/>
      <c r="B200" s="11"/>
      <c r="C200" s="11"/>
      <c r="D200" s="5"/>
      <c r="E200" s="6"/>
      <c r="F200" s="11"/>
      <c r="G200" s="6"/>
    </row>
    <row r="201" customFormat="false" ht="15" hidden="false" customHeight="true" outlineLevel="0" collapsed="false">
      <c r="A201" s="10"/>
      <c r="B201" s="10"/>
      <c r="C201" s="10"/>
      <c r="D201" s="5"/>
      <c r="E201" s="9"/>
      <c r="F201" s="10"/>
      <c r="G201" s="9"/>
    </row>
  </sheetData>
  <sheetProtection sheet="true" password="c42e"/>
  <autoFilter ref="A1:G21"/>
  <conditionalFormatting sqref="D2:D201">
    <cfRule type="expression" priority="2" aboveAverage="0" equalAverage="0" bottom="0" percent="0" rank="0" text="" dxfId="6">
      <formula>D2="是"</formula>
    </cfRule>
    <cfRule type="expression" priority="3" aboveAverage="0" equalAverage="0" bottom="0" percent="0" rank="0" text="" dxfId="7">
      <formula>D2="否"</formula>
    </cfRule>
  </conditionalFormatting>
  <conditionalFormatting sqref="E2:E201">
    <cfRule type="expression" priority="4" aboveAverage="0" equalAverage="0" bottom="0" percent="0" rank="0" text="" dxfId="6">
      <formula>E2="是"</formula>
    </cfRule>
    <cfRule type="expression" priority="5" aboveAverage="0" equalAverage="0" bottom="0" percent="0" rank="0" text="" dxfId="7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100</v>
      </c>
      <c r="B1" s="2" t="s">
        <v>101</v>
      </c>
      <c r="C1" s="12" t="s">
        <v>102</v>
      </c>
      <c r="D1" s="2" t="s">
        <v>103</v>
      </c>
      <c r="E1" s="2" t="s">
        <v>104</v>
      </c>
      <c r="F1" s="2" t="s">
        <v>105</v>
      </c>
      <c r="G1" s="2" t="s">
        <v>106</v>
      </c>
      <c r="H1" s="2" t="s">
        <v>6</v>
      </c>
    </row>
    <row r="2" customFormat="false" ht="15" hidden="false" customHeight="true" outlineLevel="0" collapsed="false">
      <c r="A2" s="6" t="s">
        <v>107</v>
      </c>
      <c r="B2" s="13" t="s">
        <v>108</v>
      </c>
      <c r="C2" s="6" t="s">
        <v>109</v>
      </c>
      <c r="D2" s="13" t="s">
        <v>110</v>
      </c>
      <c r="E2" s="13" t="s">
        <v>111</v>
      </c>
      <c r="F2" s="6" t="s">
        <v>112</v>
      </c>
      <c r="G2" s="6" t="s">
        <v>113</v>
      </c>
      <c r="H2" s="6" t="s">
        <v>114</v>
      </c>
    </row>
    <row r="3" customFormat="false" ht="15" hidden="false" customHeight="true" outlineLevel="0" collapsed="false">
      <c r="A3" s="9" t="s">
        <v>107</v>
      </c>
      <c r="B3" s="9" t="s">
        <v>115</v>
      </c>
      <c r="C3" s="9" t="s">
        <v>116</v>
      </c>
      <c r="D3" s="14" t="s">
        <v>117</v>
      </c>
      <c r="E3" s="14" t="s">
        <v>118</v>
      </c>
      <c r="F3" s="9" t="s">
        <v>119</v>
      </c>
      <c r="G3" s="9" t="s">
        <v>120</v>
      </c>
      <c r="H3" s="9" t="s">
        <v>121</v>
      </c>
    </row>
    <row r="4" customFormat="false" ht="15" hidden="false" customHeight="true" outlineLevel="0" collapsed="false">
      <c r="A4" s="6" t="s">
        <v>107</v>
      </c>
      <c r="B4" s="6" t="s">
        <v>122</v>
      </c>
      <c r="C4" s="6" t="s">
        <v>123</v>
      </c>
      <c r="D4" s="6" t="s">
        <v>124</v>
      </c>
      <c r="E4" s="13" t="s">
        <v>125</v>
      </c>
      <c r="F4" s="6" t="s">
        <v>126</v>
      </c>
      <c r="G4" s="6" t="s">
        <v>127</v>
      </c>
      <c r="H4" s="6" t="s">
        <v>128</v>
      </c>
    </row>
    <row r="5" customFormat="false" ht="15" hidden="false" customHeight="true" outlineLevel="0" collapsed="false">
      <c r="A5" s="9" t="s">
        <v>129</v>
      </c>
      <c r="B5" s="9" t="s">
        <v>130</v>
      </c>
      <c r="C5" s="9" t="s">
        <v>131</v>
      </c>
      <c r="D5" s="14" t="s">
        <v>132</v>
      </c>
      <c r="E5" s="14" t="s">
        <v>133</v>
      </c>
      <c r="F5" s="9" t="s">
        <v>134</v>
      </c>
      <c r="G5" s="9" t="s">
        <v>135</v>
      </c>
      <c r="H5" s="9" t="s">
        <v>136</v>
      </c>
    </row>
    <row r="6" customFormat="false" ht="15" hidden="false" customHeight="true" outlineLevel="0" collapsed="false">
      <c r="A6" s="6" t="s">
        <v>129</v>
      </c>
      <c r="B6" s="6" t="s">
        <v>137</v>
      </c>
      <c r="C6" s="6" t="s">
        <v>138</v>
      </c>
      <c r="D6" s="13" t="s">
        <v>139</v>
      </c>
      <c r="E6" s="13" t="s">
        <v>140</v>
      </c>
      <c r="F6" s="6" t="s">
        <v>141</v>
      </c>
      <c r="G6" s="6" t="s">
        <v>142</v>
      </c>
      <c r="H6" s="6" t="s">
        <v>143</v>
      </c>
    </row>
    <row r="7" customFormat="false" ht="15" hidden="false" customHeight="true" outlineLevel="0" collapsed="false">
      <c r="A7" s="9" t="s">
        <v>144</v>
      </c>
      <c r="B7" s="9" t="s">
        <v>145</v>
      </c>
      <c r="C7" s="9" t="s">
        <v>146</v>
      </c>
      <c r="D7" s="14" t="s">
        <v>147</v>
      </c>
      <c r="E7" s="14" t="s">
        <v>148</v>
      </c>
      <c r="F7" s="9" t="s">
        <v>149</v>
      </c>
      <c r="G7" s="9" t="s">
        <v>150</v>
      </c>
      <c r="H7" s="9" t="s">
        <v>151</v>
      </c>
    </row>
    <row r="8" customFormat="false" ht="15" hidden="false" customHeight="true" outlineLevel="0" collapsed="false">
      <c r="A8" s="6" t="s">
        <v>144</v>
      </c>
      <c r="B8" s="13" t="s">
        <v>152</v>
      </c>
      <c r="C8" s="6" t="s">
        <v>153</v>
      </c>
      <c r="D8" s="13" t="s">
        <v>154</v>
      </c>
      <c r="E8" s="13" t="s">
        <v>155</v>
      </c>
      <c r="F8" s="6" t="s">
        <v>156</v>
      </c>
      <c r="G8" s="6" t="s">
        <v>120</v>
      </c>
      <c r="H8" s="6" t="s">
        <v>157</v>
      </c>
    </row>
    <row r="9" customFormat="false" ht="15" hidden="false" customHeight="true" outlineLevel="0" collapsed="false">
      <c r="A9" s="9" t="s">
        <v>158</v>
      </c>
      <c r="B9" s="14" t="s">
        <v>159</v>
      </c>
      <c r="C9" s="9" t="s">
        <v>160</v>
      </c>
      <c r="D9" s="9" t="s">
        <v>161</v>
      </c>
      <c r="E9" s="9" t="s">
        <v>162</v>
      </c>
      <c r="F9" s="9" t="s">
        <v>163</v>
      </c>
      <c r="G9" s="9" t="s">
        <v>164</v>
      </c>
      <c r="H9" s="9" t="s">
        <v>165</v>
      </c>
    </row>
    <row r="10" customFormat="false" ht="15" hidden="false" customHeight="true" outlineLevel="0" collapsed="false">
      <c r="A10" s="6" t="s">
        <v>158</v>
      </c>
      <c r="B10" s="13" t="s">
        <v>166</v>
      </c>
      <c r="C10" s="6" t="s">
        <v>167</v>
      </c>
      <c r="D10" s="6" t="s">
        <v>168</v>
      </c>
      <c r="E10" s="13" t="s">
        <v>169</v>
      </c>
      <c r="F10" s="6" t="s">
        <v>170</v>
      </c>
      <c r="G10" s="6" t="s">
        <v>120</v>
      </c>
      <c r="H10" s="6" t="s">
        <v>171</v>
      </c>
    </row>
    <row r="11" customFormat="false" ht="15" hidden="false" customHeight="true" outlineLevel="0" collapsed="false">
      <c r="A11" s="9" t="s">
        <v>158</v>
      </c>
      <c r="B11" s="14" t="s">
        <v>172</v>
      </c>
      <c r="C11" s="9" t="s">
        <v>173</v>
      </c>
      <c r="D11" s="14" t="s">
        <v>174</v>
      </c>
      <c r="E11" s="14" t="s">
        <v>175</v>
      </c>
      <c r="F11" s="9" t="s">
        <v>176</v>
      </c>
      <c r="G11" s="9" t="s">
        <v>177</v>
      </c>
      <c r="H11" s="14" t="s">
        <v>178</v>
      </c>
    </row>
    <row r="12" customFormat="false" ht="15" hidden="false" customHeight="true" outlineLevel="0" collapsed="false">
      <c r="A12" s="6" t="s">
        <v>179</v>
      </c>
      <c r="B12" s="13" t="s">
        <v>180</v>
      </c>
      <c r="C12" s="6" t="s">
        <v>181</v>
      </c>
      <c r="D12" s="13" t="s">
        <v>182</v>
      </c>
      <c r="E12" s="6" t="s">
        <v>183</v>
      </c>
      <c r="F12" s="6" t="s">
        <v>184</v>
      </c>
      <c r="G12" s="6" t="s">
        <v>185</v>
      </c>
      <c r="H12" s="6" t="s">
        <v>186</v>
      </c>
    </row>
    <row r="13" customFormat="false" ht="15" hidden="false" customHeight="true" outlineLevel="0" collapsed="false">
      <c r="A13" s="9" t="s">
        <v>179</v>
      </c>
      <c r="B13" s="14" t="s">
        <v>187</v>
      </c>
      <c r="C13" s="9" t="s">
        <v>188</v>
      </c>
      <c r="D13" s="14" t="s">
        <v>189</v>
      </c>
      <c r="E13" s="9" t="s">
        <v>183</v>
      </c>
      <c r="F13" s="9" t="s">
        <v>190</v>
      </c>
      <c r="G13" s="9" t="s">
        <v>177</v>
      </c>
      <c r="H13" s="9" t="s">
        <v>191</v>
      </c>
    </row>
    <row r="14" customFormat="false" ht="15" hidden="false" customHeight="true" outlineLevel="0" collapsed="false">
      <c r="A14" s="6" t="s">
        <v>179</v>
      </c>
      <c r="B14" s="13" t="s">
        <v>192</v>
      </c>
      <c r="C14" s="6" t="s">
        <v>138</v>
      </c>
      <c r="D14" s="6" t="s">
        <v>193</v>
      </c>
      <c r="E14" s="6" t="s">
        <v>183</v>
      </c>
      <c r="F14" s="6" t="s">
        <v>194</v>
      </c>
      <c r="G14" s="6" t="s">
        <v>185</v>
      </c>
      <c r="H14" s="6" t="s">
        <v>195</v>
      </c>
    </row>
    <row r="15" customFormat="false" ht="15" hidden="false" customHeight="true" outlineLevel="0" collapsed="false">
      <c r="A15" s="9" t="s">
        <v>196</v>
      </c>
      <c r="B15" s="9" t="s">
        <v>197</v>
      </c>
      <c r="C15" s="9" t="s">
        <v>198</v>
      </c>
      <c r="D15" s="9" t="s">
        <v>199</v>
      </c>
      <c r="E15" s="14" t="s">
        <v>200</v>
      </c>
      <c r="F15" s="9" t="s">
        <v>201</v>
      </c>
      <c r="G15" s="9" t="s">
        <v>202</v>
      </c>
      <c r="H15" s="9" t="s">
        <v>203</v>
      </c>
    </row>
    <row r="16" customFormat="false" ht="15" hidden="false" customHeight="true" outlineLevel="0" collapsed="false">
      <c r="A16" s="6" t="s">
        <v>196</v>
      </c>
      <c r="B16" s="6" t="s">
        <v>204</v>
      </c>
      <c r="C16" s="6" t="s">
        <v>205</v>
      </c>
      <c r="D16" s="6" t="s">
        <v>206</v>
      </c>
      <c r="E16" s="13" t="s">
        <v>207</v>
      </c>
      <c r="F16" s="6" t="s">
        <v>208</v>
      </c>
      <c r="G16" s="6" t="s">
        <v>202</v>
      </c>
      <c r="H16" s="6" t="s">
        <v>209</v>
      </c>
    </row>
    <row r="17" customFormat="false" ht="15" hidden="false" customHeight="true" outlineLevel="0" collapsed="false">
      <c r="A17" s="9" t="s">
        <v>196</v>
      </c>
      <c r="B17" s="9" t="s">
        <v>210</v>
      </c>
      <c r="C17" s="9" t="s">
        <v>211</v>
      </c>
      <c r="D17" s="14" t="s">
        <v>212</v>
      </c>
      <c r="E17" s="14" t="s">
        <v>213</v>
      </c>
      <c r="F17" s="9" t="s">
        <v>214</v>
      </c>
      <c r="G17" s="9" t="s">
        <v>135</v>
      </c>
      <c r="H17" s="9" t="s">
        <v>215</v>
      </c>
    </row>
    <row r="18" customFormat="false" ht="15" hidden="false" customHeight="true" outlineLevel="0" collapsed="false">
      <c r="A18" s="6" t="s">
        <v>196</v>
      </c>
      <c r="B18" s="6" t="s">
        <v>216</v>
      </c>
      <c r="C18" s="6" t="s">
        <v>217</v>
      </c>
      <c r="D18" s="6" t="s">
        <v>218</v>
      </c>
      <c r="E18" s="13" t="s">
        <v>219</v>
      </c>
      <c r="F18" s="6" t="s">
        <v>220</v>
      </c>
      <c r="G18" s="6" t="s">
        <v>120</v>
      </c>
      <c r="H18" s="6" t="s">
        <v>221</v>
      </c>
    </row>
    <row r="19" customFormat="false" ht="15" hidden="false" customHeight="true" outlineLevel="0" collapsed="false">
      <c r="A19" s="9" t="s">
        <v>222</v>
      </c>
      <c r="B19" s="9" t="s">
        <v>223</v>
      </c>
      <c r="C19" s="9" t="s">
        <v>224</v>
      </c>
      <c r="D19" s="14" t="s">
        <v>225</v>
      </c>
      <c r="E19" s="14" t="s">
        <v>226</v>
      </c>
      <c r="F19" s="9" t="s">
        <v>227</v>
      </c>
      <c r="G19" s="9" t="s">
        <v>120</v>
      </c>
      <c r="H19" s="9" t="s">
        <v>228</v>
      </c>
    </row>
    <row r="20" customFormat="false" ht="15" hidden="false" customHeight="true" outlineLevel="0" collapsed="false">
      <c r="A20" s="6" t="s">
        <v>222</v>
      </c>
      <c r="B20" s="6" t="s">
        <v>229</v>
      </c>
      <c r="C20" s="6" t="s">
        <v>230</v>
      </c>
      <c r="D20" s="6" t="s">
        <v>231</v>
      </c>
      <c r="E20" s="6" t="s">
        <v>232</v>
      </c>
      <c r="F20" s="6" t="s">
        <v>233</v>
      </c>
      <c r="G20" s="6" t="s">
        <v>234</v>
      </c>
      <c r="H20" s="6" t="s">
        <v>235</v>
      </c>
    </row>
    <row r="21" customFormat="false" ht="15" hidden="false" customHeight="true" outlineLevel="0" collapsed="false">
      <c r="A21" s="9" t="s">
        <v>222</v>
      </c>
      <c r="B21" s="9" t="s">
        <v>236</v>
      </c>
      <c r="C21" s="9" t="s">
        <v>237</v>
      </c>
      <c r="D21" s="9" t="s">
        <v>238</v>
      </c>
      <c r="E21" s="14" t="s">
        <v>239</v>
      </c>
      <c r="F21" s="9" t="s">
        <v>240</v>
      </c>
      <c r="G21" s="9" t="s">
        <v>120</v>
      </c>
      <c r="H21" s="9" t="s">
        <v>241</v>
      </c>
    </row>
    <row r="22" customFormat="false" ht="15" hidden="false" customHeight="true" outlineLevel="0" collapsed="false">
      <c r="A22" s="6" t="s">
        <v>222</v>
      </c>
      <c r="B22" s="6" t="s">
        <v>242</v>
      </c>
      <c r="C22" s="6" t="s">
        <v>243</v>
      </c>
      <c r="D22" s="6" t="s">
        <v>244</v>
      </c>
      <c r="E22" s="13" t="s">
        <v>245</v>
      </c>
      <c r="F22" s="6" t="s">
        <v>246</v>
      </c>
      <c r="G22" s="6" t="s">
        <v>120</v>
      </c>
      <c r="H22" s="6" t="s">
        <v>247</v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9"/>
      <c r="G23" s="9"/>
      <c r="H23" s="9"/>
    </row>
    <row r="24" customFormat="false" ht="15" hidden="false" customHeight="true" outlineLevel="0" collapsed="false">
      <c r="A24" s="6"/>
      <c r="B24" s="6"/>
      <c r="C24" s="6"/>
      <c r="D24" s="6"/>
      <c r="E24" s="6"/>
      <c r="F24" s="6"/>
      <c r="G24" s="6"/>
      <c r="H24" s="6"/>
    </row>
    <row r="25" customFormat="false" ht="15" hidden="false" customHeight="true" outlineLevel="0" collapsed="false">
      <c r="A25" s="9"/>
      <c r="B25" s="9"/>
      <c r="C25" s="9"/>
      <c r="D25" s="9"/>
      <c r="E25" s="9"/>
      <c r="F25" s="9"/>
      <c r="G25" s="9"/>
      <c r="H25" s="9"/>
    </row>
    <row r="26" customFormat="false" ht="15" hidden="false" customHeight="true" outlineLevel="0" collapsed="false">
      <c r="A26" s="6"/>
      <c r="B26" s="6"/>
      <c r="C26" s="6"/>
      <c r="D26" s="6"/>
      <c r="E26" s="6"/>
      <c r="F26" s="6"/>
      <c r="G26" s="6"/>
      <c r="H26" s="6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</row>
    <row r="28" customFormat="false" ht="15" hidden="false" customHeight="true" outlineLevel="0" collapsed="false">
      <c r="A28" s="6"/>
      <c r="B28" s="6"/>
      <c r="C28" s="6"/>
      <c r="D28" s="6"/>
      <c r="E28" s="6"/>
      <c r="F28" s="6"/>
      <c r="G28" s="6"/>
      <c r="H28" s="6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</row>
    <row r="30" customFormat="false" ht="15" hidden="false" customHeight="true" outlineLevel="0" collapsed="false">
      <c r="A30" s="6"/>
      <c r="B30" s="6"/>
      <c r="C30" s="6"/>
      <c r="D30" s="6"/>
      <c r="E30" s="6"/>
      <c r="F30" s="6"/>
      <c r="G30" s="6"/>
      <c r="H30" s="6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</row>
    <row r="32" customFormat="false" ht="1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</row>
    <row r="34" customFormat="false" ht="1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</row>
    <row r="36" customFormat="false" ht="15" hidden="false" customHeight="true" outlineLevel="0" collapsed="false">
      <c r="A36" s="6"/>
      <c r="B36" s="6"/>
      <c r="C36" s="6"/>
      <c r="D36" s="6"/>
      <c r="E36" s="6"/>
      <c r="F36" s="6"/>
      <c r="G36" s="6"/>
      <c r="H36" s="6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</row>
    <row r="38" customFormat="false" ht="15" hidden="false" customHeight="true" outlineLevel="0" collapsed="false">
      <c r="A38" s="6"/>
      <c r="B38" s="6"/>
      <c r="C38" s="6"/>
      <c r="D38" s="6"/>
      <c r="E38" s="6"/>
      <c r="F38" s="6"/>
      <c r="G38" s="6"/>
      <c r="H38" s="6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</row>
    <row r="40" customFormat="false" ht="15" hidden="false" customHeight="true" outlineLevel="0" collapsed="false">
      <c r="A40" s="6"/>
      <c r="B40" s="6"/>
      <c r="C40" s="6"/>
      <c r="D40" s="6"/>
      <c r="E40" s="6"/>
      <c r="F40" s="6"/>
      <c r="G40" s="6"/>
      <c r="H40" s="6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</row>
    <row r="42" customFormat="false" ht="15" hidden="false" customHeight="true" outlineLevel="0" collapsed="false">
      <c r="A42" s="6"/>
      <c r="B42" s="6"/>
      <c r="C42" s="6"/>
      <c r="D42" s="6"/>
      <c r="E42" s="6"/>
      <c r="F42" s="6"/>
      <c r="G42" s="6"/>
      <c r="H42" s="6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</row>
    <row r="44" customFormat="false" ht="15" hidden="false" customHeight="true" outlineLevel="0" collapsed="false">
      <c r="A44" s="6"/>
      <c r="B44" s="6"/>
      <c r="C44" s="6"/>
      <c r="D44" s="6"/>
      <c r="E44" s="6"/>
      <c r="F44" s="6"/>
      <c r="G44" s="6"/>
      <c r="H44" s="6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</row>
    <row r="46" customFormat="false" ht="15" hidden="false" customHeight="true" outlineLevel="0" collapsed="false">
      <c r="A46" s="6"/>
      <c r="B46" s="6"/>
      <c r="C46" s="6"/>
      <c r="D46" s="6"/>
      <c r="E46" s="6"/>
      <c r="F46" s="6"/>
      <c r="G46" s="6"/>
      <c r="H46" s="6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</row>
    <row r="48" customFormat="false" ht="15" hidden="false" customHeight="true" outlineLevel="0" collapsed="false">
      <c r="A48" s="6"/>
      <c r="B48" s="6"/>
      <c r="C48" s="6"/>
      <c r="D48" s="6"/>
      <c r="E48" s="6"/>
      <c r="F48" s="6"/>
      <c r="G48" s="6"/>
      <c r="H48" s="6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</row>
    <row r="50" customFormat="false" ht="15" hidden="false" customHeight="true" outlineLevel="0" collapsed="false">
      <c r="A50" s="6"/>
      <c r="B50" s="6"/>
      <c r="C50" s="6"/>
      <c r="D50" s="6"/>
      <c r="E50" s="6"/>
      <c r="F50" s="6"/>
      <c r="G50" s="6"/>
      <c r="H50" s="6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</row>
    <row r="52" customFormat="false" ht="15" hidden="false" customHeight="true" outlineLevel="0" collapsed="false">
      <c r="A52" s="6"/>
      <c r="B52" s="6"/>
      <c r="C52" s="6"/>
      <c r="D52" s="6"/>
      <c r="E52" s="6"/>
      <c r="F52" s="6"/>
      <c r="G52" s="6"/>
      <c r="H52" s="6"/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</row>
    <row r="54" customFormat="false" ht="15" hidden="false" customHeight="true" outlineLevel="0" collapsed="false">
      <c r="A54" s="6"/>
      <c r="B54" s="6"/>
      <c r="C54" s="6"/>
      <c r="D54" s="6"/>
      <c r="E54" s="6"/>
      <c r="F54" s="6"/>
      <c r="G54" s="6"/>
      <c r="H54" s="6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</row>
    <row r="56" customFormat="false" ht="15" hidden="false" customHeight="true" outlineLevel="0" collapsed="false">
      <c r="A56" s="6"/>
      <c r="B56" s="6"/>
      <c r="C56" s="6"/>
      <c r="D56" s="6"/>
      <c r="E56" s="6"/>
      <c r="F56" s="6"/>
      <c r="G56" s="6"/>
      <c r="H56" s="6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</row>
    <row r="58" customFormat="false" ht="15" hidden="false" customHeight="true" outlineLevel="0" collapsed="false">
      <c r="A58" s="6"/>
      <c r="B58" s="6"/>
      <c r="C58" s="6"/>
      <c r="D58" s="6"/>
      <c r="E58" s="6"/>
      <c r="F58" s="6"/>
      <c r="G58" s="6"/>
      <c r="H58" s="6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</row>
    <row r="60" customFormat="false" ht="15" hidden="false" customHeight="true" outlineLevel="0" collapsed="false">
      <c r="A60" s="6"/>
      <c r="B60" s="6"/>
      <c r="C60" s="6"/>
      <c r="D60" s="6"/>
      <c r="E60" s="6"/>
      <c r="F60" s="6"/>
      <c r="G60" s="6"/>
      <c r="H60" s="6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</row>
    <row r="62" customFormat="false" ht="15" hidden="false" customHeight="true" outlineLevel="0" collapsed="false">
      <c r="A62" s="6"/>
      <c r="B62" s="6"/>
      <c r="C62" s="6"/>
      <c r="D62" s="6"/>
      <c r="E62" s="6"/>
      <c r="F62" s="6"/>
      <c r="G62" s="6"/>
      <c r="H62" s="6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</row>
    <row r="64" customFormat="false" ht="15" hidden="false" customHeight="true" outlineLevel="0" collapsed="false">
      <c r="A64" s="6"/>
      <c r="B64" s="6"/>
      <c r="C64" s="6"/>
      <c r="D64" s="6"/>
      <c r="E64" s="6"/>
      <c r="F64" s="6"/>
      <c r="G64" s="6"/>
      <c r="H64" s="6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</row>
    <row r="66" customFormat="false" ht="15" hidden="false" customHeight="true" outlineLevel="0" collapsed="false">
      <c r="A66" s="6"/>
      <c r="B66" s="6"/>
      <c r="C66" s="6"/>
      <c r="D66" s="6"/>
      <c r="E66" s="6"/>
      <c r="F66" s="6"/>
      <c r="G66" s="6"/>
      <c r="H66" s="6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</row>
    <row r="68" customFormat="false" ht="15" hidden="false" customHeight="true" outlineLevel="0" collapsed="false">
      <c r="A68" s="6"/>
      <c r="B68" s="6"/>
      <c r="C68" s="6"/>
      <c r="D68" s="6"/>
      <c r="E68" s="6"/>
      <c r="F68" s="6"/>
      <c r="G68" s="6"/>
      <c r="H68" s="6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</row>
    <row r="70" customFormat="false" ht="15" hidden="false" customHeight="true" outlineLevel="0" collapsed="false">
      <c r="A70" s="6"/>
      <c r="B70" s="6"/>
      <c r="C70" s="6"/>
      <c r="D70" s="6"/>
      <c r="E70" s="6"/>
      <c r="F70" s="6"/>
      <c r="G70" s="6"/>
      <c r="H70" s="6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</row>
    <row r="72" customFormat="false" ht="15" hidden="false" customHeight="true" outlineLevel="0" collapsed="false">
      <c r="A72" s="6"/>
      <c r="B72" s="6"/>
      <c r="C72" s="6"/>
      <c r="D72" s="6"/>
      <c r="E72" s="6"/>
      <c r="F72" s="6"/>
      <c r="G72" s="6"/>
      <c r="H72" s="6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</row>
    <row r="74" customFormat="false" ht="15" hidden="false" customHeight="true" outlineLevel="0" collapsed="false">
      <c r="A74" s="6"/>
      <c r="B74" s="6"/>
      <c r="C74" s="6"/>
      <c r="D74" s="6"/>
      <c r="E74" s="6"/>
      <c r="F74" s="6"/>
      <c r="G74" s="6"/>
      <c r="H74" s="6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</row>
    <row r="76" customFormat="false" ht="15" hidden="false" customHeight="true" outlineLevel="0" collapsed="false">
      <c r="A76" s="6"/>
      <c r="B76" s="6"/>
      <c r="C76" s="6"/>
      <c r="D76" s="6"/>
      <c r="E76" s="6"/>
      <c r="F76" s="6"/>
      <c r="G76" s="6"/>
      <c r="H76" s="6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</row>
    <row r="78" customFormat="false" ht="15" hidden="false" customHeight="true" outlineLevel="0" collapsed="false">
      <c r="A78" s="6"/>
      <c r="B78" s="6"/>
      <c r="C78" s="6"/>
      <c r="D78" s="6"/>
      <c r="E78" s="6"/>
      <c r="F78" s="6"/>
      <c r="G78" s="6"/>
      <c r="H78" s="6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</row>
    <row r="80" customFormat="false" ht="15" hidden="false" customHeight="true" outlineLevel="0" collapsed="false">
      <c r="A80" s="6"/>
      <c r="B80" s="6"/>
      <c r="C80" s="6"/>
      <c r="D80" s="6"/>
      <c r="E80" s="6"/>
      <c r="F80" s="6"/>
      <c r="G80" s="6"/>
      <c r="H80" s="6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</row>
    <row r="82" customFormat="false" ht="15" hidden="false" customHeight="true" outlineLevel="0" collapsed="false">
      <c r="A82" s="6"/>
      <c r="B82" s="6"/>
      <c r="C82" s="6"/>
      <c r="D82" s="6"/>
      <c r="E82" s="6"/>
      <c r="F82" s="6"/>
      <c r="G82" s="6"/>
      <c r="H82" s="6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</row>
    <row r="84" customFormat="false" ht="15" hidden="false" customHeight="true" outlineLevel="0" collapsed="false">
      <c r="A84" s="6"/>
      <c r="B84" s="6"/>
      <c r="C84" s="6"/>
      <c r="D84" s="6"/>
      <c r="E84" s="6"/>
      <c r="F84" s="6"/>
      <c r="G84" s="6"/>
      <c r="H84" s="6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</row>
    <row r="86" customFormat="false" ht="15" hidden="false" customHeight="true" outlineLevel="0" collapsed="false">
      <c r="A86" s="6"/>
      <c r="B86" s="6"/>
      <c r="C86" s="6"/>
      <c r="D86" s="6"/>
      <c r="E86" s="6"/>
      <c r="F86" s="6"/>
      <c r="G86" s="6"/>
      <c r="H86" s="6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</row>
    <row r="88" customFormat="false" ht="15" hidden="false" customHeight="true" outlineLevel="0" collapsed="false">
      <c r="A88" s="6"/>
      <c r="B88" s="6"/>
      <c r="C88" s="6"/>
      <c r="D88" s="6"/>
      <c r="E88" s="6"/>
      <c r="F88" s="6"/>
      <c r="G88" s="6"/>
      <c r="H88" s="6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</row>
    <row r="90" customFormat="false" ht="15" hidden="false" customHeight="true" outlineLevel="0" collapsed="false">
      <c r="A90" s="6"/>
      <c r="B90" s="6"/>
      <c r="C90" s="6"/>
      <c r="D90" s="6"/>
      <c r="E90" s="6"/>
      <c r="F90" s="6"/>
      <c r="G90" s="6"/>
      <c r="H90" s="6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</row>
    <row r="92" customFormat="false" ht="15" hidden="false" customHeight="true" outlineLevel="0" collapsed="false">
      <c r="A92" s="6"/>
      <c r="B92" s="6"/>
      <c r="C92" s="6"/>
      <c r="D92" s="6"/>
      <c r="E92" s="6"/>
      <c r="F92" s="6"/>
      <c r="G92" s="6"/>
      <c r="H92" s="6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</row>
    <row r="94" customFormat="false" ht="15" hidden="false" customHeight="true" outlineLevel="0" collapsed="false">
      <c r="A94" s="6"/>
      <c r="B94" s="6"/>
      <c r="C94" s="6"/>
      <c r="D94" s="6"/>
      <c r="E94" s="6"/>
      <c r="F94" s="6"/>
      <c r="G94" s="6"/>
      <c r="H94" s="6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</row>
    <row r="96" customFormat="false" ht="15" hidden="false" customHeight="true" outlineLevel="0" collapsed="false">
      <c r="A96" s="6"/>
      <c r="B96" s="6"/>
      <c r="C96" s="6"/>
      <c r="D96" s="6"/>
      <c r="E96" s="6"/>
      <c r="F96" s="6"/>
      <c r="G96" s="6"/>
      <c r="H96" s="6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</row>
    <row r="98" customFormat="false" ht="15" hidden="false" customHeight="true" outlineLevel="0" collapsed="false">
      <c r="A98" s="6"/>
      <c r="B98" s="6"/>
      <c r="C98" s="6"/>
      <c r="D98" s="6"/>
      <c r="E98" s="6"/>
      <c r="F98" s="6"/>
      <c r="G98" s="6"/>
      <c r="H98" s="6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</row>
    <row r="200" customFormat="false" ht="1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248</v>
      </c>
      <c r="B1" s="2" t="s">
        <v>249</v>
      </c>
      <c r="C1" s="2" t="s">
        <v>250</v>
      </c>
      <c r="D1" s="2" t="s">
        <v>251</v>
      </c>
      <c r="E1" s="2" t="s">
        <v>252</v>
      </c>
      <c r="F1" s="2" t="s">
        <v>253</v>
      </c>
      <c r="G1" s="2" t="s">
        <v>254</v>
      </c>
      <c r="H1" s="2" t="s">
        <v>255</v>
      </c>
      <c r="I1" s="2" t="s">
        <v>256</v>
      </c>
      <c r="J1" s="2" t="s">
        <v>257</v>
      </c>
      <c r="K1" s="2" t="s">
        <v>258</v>
      </c>
      <c r="L1" s="2" t="s">
        <v>130</v>
      </c>
      <c r="M1" s="2" t="s">
        <v>145</v>
      </c>
      <c r="N1" s="2" t="s">
        <v>259</v>
      </c>
      <c r="O1" s="2" t="s">
        <v>260</v>
      </c>
      <c r="P1" s="2" t="s">
        <v>261</v>
      </c>
      <c r="Q1" s="12" t="s">
        <v>262</v>
      </c>
      <c r="R1" s="2" t="s">
        <v>263</v>
      </c>
      <c r="S1" s="2" t="s">
        <v>264</v>
      </c>
      <c r="T1" s="2" t="s">
        <v>265</v>
      </c>
      <c r="U1" s="2" t="s">
        <v>266</v>
      </c>
      <c r="V1" s="2" t="s">
        <v>267</v>
      </c>
      <c r="W1" s="2" t="s">
        <v>268</v>
      </c>
      <c r="X1" s="2" t="s">
        <v>269</v>
      </c>
      <c r="Y1" s="2" t="s">
        <v>270</v>
      </c>
      <c r="Z1" s="2" t="s">
        <v>6</v>
      </c>
      <c r="AA1" s="2" t="s">
        <v>271</v>
      </c>
      <c r="AB1" s="2" t="s">
        <v>272</v>
      </c>
      <c r="AC1" s="2" t="s">
        <v>273</v>
      </c>
      <c r="AD1" s="2" t="s">
        <v>274</v>
      </c>
      <c r="AE1" s="2" t="s">
        <v>275</v>
      </c>
      <c r="AF1" s="15" t="s">
        <v>276</v>
      </c>
      <c r="AG1" s="15" t="s">
        <v>277</v>
      </c>
      <c r="AH1" s="15" t="s">
        <v>278</v>
      </c>
      <c r="AI1" s="15" t="s">
        <v>279</v>
      </c>
      <c r="AJ1" s="15" t="s">
        <v>280</v>
      </c>
      <c r="AK1" s="15" t="s">
        <v>281</v>
      </c>
      <c r="AL1" s="15" t="s">
        <v>282</v>
      </c>
      <c r="AM1" s="15" t="s">
        <v>283</v>
      </c>
      <c r="AN1" s="15" t="s">
        <v>284</v>
      </c>
      <c r="AO1" s="15" t="s">
        <v>285</v>
      </c>
      <c r="AP1" s="15" t="s">
        <v>286</v>
      </c>
      <c r="AQ1" s="15" t="s">
        <v>287</v>
      </c>
      <c r="AR1" s="16" t="s">
        <v>288</v>
      </c>
      <c r="AS1" s="16" t="s">
        <v>289</v>
      </c>
      <c r="AT1" s="16" t="s">
        <v>290</v>
      </c>
      <c r="AU1" s="16" t="s">
        <v>291</v>
      </c>
      <c r="AV1" s="16" t="s">
        <v>292</v>
      </c>
      <c r="AW1" s="16" t="s">
        <v>293</v>
      </c>
      <c r="AX1" s="16" t="s">
        <v>294</v>
      </c>
      <c r="AY1" s="16" t="s">
        <v>295</v>
      </c>
    </row>
    <row r="2" customFormat="false" ht="15" hidden="false" customHeight="true" outlineLevel="0" collapsed="false">
      <c r="A2" s="13" t="s">
        <v>296</v>
      </c>
      <c r="B2" s="17" t="n">
        <v>6683.54</v>
      </c>
      <c r="C2" s="17" t="n">
        <v>0</v>
      </c>
      <c r="D2" s="18" t="n">
        <f aca="false">IF($A2="","",SUMIFS(持仓表!$J:$J,持仓表!$A:$A,$A2))</f>
        <v>0</v>
      </c>
      <c r="E2" s="19" t="n">
        <f aca="false">IFERROR(D2/B2,0)</f>
        <v>0</v>
      </c>
      <c r="F2" s="17" t="n">
        <v>2700</v>
      </c>
      <c r="G2" s="18" t="n">
        <f aca="false">IF($B2="","",MAX($B$2:B2))</f>
        <v>6683.54</v>
      </c>
      <c r="H2" s="19" t="n">
        <f aca="false">IFERROR((B2-F2)/F2,0)</f>
        <v>1.47538518518519</v>
      </c>
      <c r="I2" s="19" t="n">
        <f aca="false">IFERROR((B2-G2)/G2,0)</f>
        <v>0</v>
      </c>
      <c r="J2" s="6" t="s">
        <v>297</v>
      </c>
      <c r="K2" s="13" t="s">
        <v>298</v>
      </c>
      <c r="L2" s="20" t="n">
        <v>2</v>
      </c>
      <c r="M2" s="20" t="n">
        <v>2</v>
      </c>
      <c r="N2" s="19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19" t="n">
        <f aca="false">IF($B2="","",IF(B2&lt;30000,35%,IF(B2&lt;50000,30%,IF(B2&lt;100000,25%,20%))))</f>
        <v>0.35</v>
      </c>
      <c r="P2" s="21" t="n">
        <f aca="false">IF($A2="","",COUNTIFS(持仓表!$A:$A,$A2,持仓表!$G:$G,"&gt;0"))</f>
        <v>0</v>
      </c>
      <c r="Q2" s="21" t="n">
        <f aca="false">IF($A2="","",COUNTIFS(持仓表!$A:$A,$A2,持仓表!$D:$D,"是",持仓表!$G:$G,"&gt;0"))</f>
        <v>0</v>
      </c>
      <c r="R2" s="21" t="n">
        <f aca="false">IF($A2="","",MAX(0,P2-Q2))</f>
        <v>0</v>
      </c>
      <c r="S2" s="21" t="n">
        <f aca="false">IF($B2="","",IF(B2&lt;50000,3,IF(B2&lt;100000,4,5)))</f>
        <v>3</v>
      </c>
      <c r="T2" s="5" t="str">
        <f aca="false">IF($A2="","",IF(OR(M2&gt;=4,I2&lt;=-8%),"防守",IF(OR(M2&gt;=2,I2&lt;=-5%),"警戒","正常")))</f>
        <v>警戒</v>
      </c>
      <c r="U2" s="5" t="str">
        <f aca="false">IF($A2="","",IF(AND(L2&gt;=3,M2&lt;=2,T2&lt;&gt;"防守"),"是","否"))</f>
        <v>否</v>
      </c>
      <c r="V2" s="5" t="str">
        <f aca="false">IF($A2="","",IF(AND(E2&lt;N2,R2&lt;S2,M2&lt;=2,I2&gt;-15%),"是","否"))</f>
        <v>是</v>
      </c>
      <c r="W2" s="5" t="str">
        <f aca="false">IF($A2="","",IF(OR(M2&gt;=3,I2&lt;=-15%),"是","否"))</f>
        <v>否</v>
      </c>
      <c r="X2" s="18" t="n">
        <f aca="false">IF($A2="","",IFERROR(maxifs(候选池!$AB:$AB,候选池!$A:$A,$A2),0))</f>
        <v>0</v>
      </c>
      <c r="Y2" s="18" t="n">
        <f aca="false">IF($A2="","",IF(OR(M2&gt;=4,I2&lt;=-8%),MAX(0,B2*60%-C2),IF(AND(ISNUMBER(AD2),B2&gt;AD2),IF(B2&lt;30000,0,IF(B2&lt;100000,MAX(0,(B2-AD2)*0.2),MAX(0,(B2-AD2)*0.3))),0)))</f>
        <v>0</v>
      </c>
      <c r="Z2" s="6"/>
      <c r="AA2" s="5" t="n">
        <v>6683.54</v>
      </c>
      <c r="AB2" s="22" t="n">
        <f aca="false">IF($A2="","",IF(B2&lt;30000,0.03,IF(B2&lt;100000,0.02,0.015)))</f>
        <v>0.03</v>
      </c>
      <c r="AC2" s="21" t="n">
        <f aca="false">IF($A2="","",IFERROR(DATEDIF($A$2,$A2,"m"),0))</f>
        <v>0</v>
      </c>
      <c r="AD2" s="18" t="n">
        <f aca="false">IF($A2="","",IF(OR(AA2="",AB2="",AC2=""),"",AA2*POWER(1+AB2,AC2)))</f>
        <v>6683.54</v>
      </c>
      <c r="AE2" s="23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24" t="n">
        <v>0.7073</v>
      </c>
      <c r="AI2" s="1" t="n">
        <v>38</v>
      </c>
      <c r="AJ2" s="24" t="n">
        <v>1</v>
      </c>
      <c r="AK2" s="24" t="n">
        <v>0.0002</v>
      </c>
      <c r="AL2" s="1" t="n">
        <v>0</v>
      </c>
      <c r="AM2" s="24" t="n">
        <v>0</v>
      </c>
      <c r="AN2" s="15" t="s">
        <v>299</v>
      </c>
      <c r="AO2" s="15" t="s">
        <v>300</v>
      </c>
      <c r="AP2" s="15" t="s">
        <v>301</v>
      </c>
      <c r="AQ2" s="25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14" t="s">
        <v>302</v>
      </c>
      <c r="B3" s="26" t="n">
        <v>9520.45</v>
      </c>
      <c r="C3" s="26" t="n">
        <v>0</v>
      </c>
      <c r="D3" s="18" t="n">
        <f aca="false">IF($A3="","",SUMIFS(持仓表!$J:$J,持仓表!$A:$A,$A3))</f>
        <v>0</v>
      </c>
      <c r="E3" s="19" t="n">
        <f aca="false">IFERROR(D3/B3,0)</f>
        <v>0</v>
      </c>
      <c r="F3" s="26" t="n">
        <v>0</v>
      </c>
      <c r="G3" s="18" t="n">
        <f aca="false">IF($B3="","",MAX($B$2:B3))</f>
        <v>9520.45</v>
      </c>
      <c r="H3" s="19" t="n">
        <f aca="false">IFERROR((B3-F3)/F3,0)</f>
        <v>0</v>
      </c>
      <c r="I3" s="19" t="n">
        <f aca="false">IFERROR((B3-G3)/G3,0)</f>
        <v>0</v>
      </c>
      <c r="J3" s="9" t="s">
        <v>303</v>
      </c>
      <c r="K3" s="14" t="s">
        <v>304</v>
      </c>
      <c r="L3" s="27" t="n">
        <v>3</v>
      </c>
      <c r="M3" s="27" t="n">
        <v>1</v>
      </c>
      <c r="N3" s="19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19" t="n">
        <f aca="false">IF($B3="","",IF(B3&lt;30000,35%,IF(B3&lt;50000,30%,IF(B3&lt;100000,25%,20%))))</f>
        <v>0.35</v>
      </c>
      <c r="P3" s="21" t="n">
        <f aca="false">IF($A3="","",COUNTIFS(持仓表!$A:$A,$A3,持仓表!$G:$G,"&gt;0"))</f>
        <v>0</v>
      </c>
      <c r="Q3" s="21" t="n">
        <f aca="false">IF($A3="","",COUNTIFS(持仓表!$A:$A,$A3,持仓表!$D:$D,"是",持仓表!$G:$G,"&gt;0"))</f>
        <v>0</v>
      </c>
      <c r="R3" s="21" t="n">
        <f aca="false">IF($A3="","",MAX(0,P3-Q3))</f>
        <v>0</v>
      </c>
      <c r="S3" s="21" t="n">
        <f aca="false">IF($B3="","",IF(B3&lt;50000,3,IF(B3&lt;100000,4,5)))</f>
        <v>3</v>
      </c>
      <c r="T3" s="5" t="str">
        <f aca="false">IF($A3="","",IF(OR(M3&gt;=4,I3&lt;=-8%),"防守",IF(OR(M3&gt;=2,I3&lt;=-5%),"警戒","正常")))</f>
        <v>正常</v>
      </c>
      <c r="U3" s="5" t="str">
        <f aca="false">IF($A3="","",IF(AND(L3&gt;=3,M3&lt;=2,T3&lt;&gt;"防守"),"是","否"))</f>
        <v>是</v>
      </c>
      <c r="V3" s="5" t="str">
        <f aca="false">IF($A3="","",IF(AND(E3&lt;N3,R3&lt;S3,M3&lt;=2,I3&gt;-15%),"是","否"))</f>
        <v>是</v>
      </c>
      <c r="W3" s="5" t="str">
        <f aca="false">IF($A3="","",IF(OR(M3&gt;=3,I3&lt;=-15%),"是","否"))</f>
        <v>否</v>
      </c>
      <c r="X3" s="18" t="n">
        <f aca="false">IF($A3="","",IFERROR(maxifs(候选池!$AB:$AB,候选池!$A:$A,$A3),0))</f>
        <v>0</v>
      </c>
      <c r="Y3" s="18" t="n">
        <f aca="false">IF($A3="","",IF(OR(M3&gt;=4,I3&lt;=-8%),MAX(0,B3*60%-C3),IF(AND(ISNUMBER(AD3),B3&gt;AD3),IF(B3&lt;30000,0,IF(B3&lt;100000,MAX(0,(B3-AD3)*0.2),MAX(0,(B3-AD3)*0.3))),0)))</f>
        <v>0</v>
      </c>
      <c r="Z3" s="9"/>
      <c r="AA3" s="5" t="n">
        <f aca="false">IF($A3="","",IF($AA$2&lt;&gt;"",$AA$2,""))</f>
        <v>6683.54</v>
      </c>
      <c r="AB3" s="28" t="n">
        <f aca="false">IF($A3="","",IF(B3&lt;30000,0.03,IF(B3&lt;100000,0.02,0.015)))</f>
        <v>0.03</v>
      </c>
      <c r="AC3" s="21" t="n">
        <f aca="false">IF($A3="","",IFERROR(DATEDIF($A$2,$A3,"m"),0))</f>
        <v>0</v>
      </c>
      <c r="AD3" s="18" t="n">
        <f aca="false">IF($A3="","",IF(OR(AA3="",AB3="",AC3=""),"",AA3*POWER(1+AB3,AC3)))</f>
        <v>6683.54</v>
      </c>
      <c r="AE3" s="29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24" t="n">
        <v>0.5625</v>
      </c>
      <c r="AI3" s="1" t="n">
        <v>62</v>
      </c>
      <c r="AJ3" s="24" t="n">
        <v>1</v>
      </c>
      <c r="AK3" s="24" t="n">
        <v>0.2272</v>
      </c>
      <c r="AL3" s="1" t="n">
        <v>0</v>
      </c>
      <c r="AM3" s="24" t="n">
        <v>0</v>
      </c>
      <c r="AN3" s="15" t="s">
        <v>305</v>
      </c>
      <c r="AO3" s="15" t="s">
        <v>306</v>
      </c>
      <c r="AP3" s="15" t="s">
        <v>183</v>
      </c>
      <c r="AQ3" s="25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13" t="s">
        <v>307</v>
      </c>
      <c r="B4" s="17" t="n">
        <v>11454.37</v>
      </c>
      <c r="C4" s="17" t="n">
        <v>0</v>
      </c>
      <c r="D4" s="18" t="n">
        <f aca="false">IF($A4="","",SUMIFS(持仓表!$J:$J,持仓表!$A:$A,$A4))</f>
        <v>0</v>
      </c>
      <c r="E4" s="19" t="n">
        <f aca="false">IFERROR(D4/B4,0)</f>
        <v>0</v>
      </c>
      <c r="F4" s="17" t="n">
        <v>0</v>
      </c>
      <c r="G4" s="18" t="n">
        <f aca="false">IF($B4="","",MAX($B$2:B4))</f>
        <v>11454.37</v>
      </c>
      <c r="H4" s="19" t="n">
        <f aca="false">IFERROR((B4-F4)/F4,0)</f>
        <v>0</v>
      </c>
      <c r="I4" s="19" t="n">
        <f aca="false">IFERROR((B4-G4)/G4,0)</f>
        <v>0</v>
      </c>
      <c r="J4" s="6" t="s">
        <v>308</v>
      </c>
      <c r="K4" s="13" t="s">
        <v>309</v>
      </c>
      <c r="L4" s="20" t="n">
        <v>1</v>
      </c>
      <c r="M4" s="20" t="n">
        <v>3</v>
      </c>
      <c r="N4" s="19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19" t="n">
        <f aca="false">IF($B4="","",IF(B4&lt;30000,35%,IF(B4&lt;50000,30%,IF(B4&lt;100000,25%,20%))))</f>
        <v>0.35</v>
      </c>
      <c r="P4" s="21" t="n">
        <f aca="false">IF($A4="","",COUNTIFS(持仓表!$A:$A,$A4,持仓表!$G:$G,"&gt;0"))</f>
        <v>0</v>
      </c>
      <c r="Q4" s="21" t="n">
        <f aca="false">IF($A4="","",COUNTIFS(持仓表!$A:$A,$A4,持仓表!$D:$D,"是",持仓表!$G:$G,"&gt;0"))</f>
        <v>0</v>
      </c>
      <c r="R4" s="21" t="n">
        <f aca="false">IF($A4="","",MAX(0,P4-Q4))</f>
        <v>0</v>
      </c>
      <c r="S4" s="21" t="n">
        <f aca="false">IF($B4="","",IF(B4&lt;50000,3,IF(B4&lt;100000,4,5)))</f>
        <v>3</v>
      </c>
      <c r="T4" s="5" t="str">
        <f aca="false">IF($A4="","",IF(OR(M4&gt;=4,I4&lt;=-8%),"防守",IF(OR(M4&gt;=2,I4&lt;=-5%),"警戒","正常")))</f>
        <v>警戒</v>
      </c>
      <c r="U4" s="5" t="str">
        <f aca="false">IF($A4="","",IF(AND(L4&gt;=3,M4&lt;=2,T4&lt;&gt;"防守"),"是","否"))</f>
        <v>否</v>
      </c>
      <c r="V4" s="5" t="str">
        <f aca="false">IF($A4="","",IF(AND(E4&lt;N4,R4&lt;S4,M4&lt;=2,I4&gt;-15%),"是","否"))</f>
        <v>否</v>
      </c>
      <c r="W4" s="5" t="str">
        <f aca="false">IF($A4="","",IF(OR(M4&gt;=3,I4&lt;=-15%),"是","否"))</f>
        <v>是</v>
      </c>
      <c r="X4" s="18" t="n">
        <f aca="false">IF($A4="","",IFERROR(maxifs(候选池!$AB:$AB,候选池!$A:$A,$A4),0))</f>
        <v>0</v>
      </c>
      <c r="Y4" s="18" t="n">
        <f aca="false">IF($A4="","",IF(OR(M4&gt;=4,I4&lt;=-8%),MAX(0,B4*60%-C4),IF(AND(ISNUMBER(AD4),B4&gt;AD4),IF(B4&lt;30000,0,IF(B4&lt;100000,MAX(0,(B4-AD4)*0.2),MAX(0,(B4-AD4)*0.3))),0)))</f>
        <v>0</v>
      </c>
      <c r="Z4" s="6"/>
      <c r="AA4" s="5" t="n">
        <f aca="false">IF($A4="","",IF($AA$2&lt;&gt;"",$AA$2,""))</f>
        <v>6683.54</v>
      </c>
      <c r="AB4" s="22" t="n">
        <f aca="false">IF($A4="","",IF(B4&lt;30000,0.03,IF(B4&lt;100000,0.02,0.015)))</f>
        <v>0.03</v>
      </c>
      <c r="AC4" s="21" t="n">
        <f aca="false">IF($A4="","",IFERROR(DATEDIF($A$2,$A4,"m"),0))</f>
        <v>2</v>
      </c>
      <c r="AD4" s="18" t="n">
        <f aca="false">IF($A4="","",IF(OR(AA4="",AB4="",AC4=""),"",AA4*POWER(1+AB4,AC4)))</f>
        <v>7090.567586</v>
      </c>
      <c r="AE4" s="23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24" t="n">
        <v>0.7306</v>
      </c>
      <c r="AI4" s="1" t="n">
        <v>0</v>
      </c>
      <c r="AJ4" s="24" t="n">
        <v>0</v>
      </c>
      <c r="AK4" s="24" t="n">
        <v>0</v>
      </c>
      <c r="AL4" s="1" t="n">
        <v>2</v>
      </c>
      <c r="AM4" s="24" t="n">
        <v>1</v>
      </c>
      <c r="AN4" s="15" t="s">
        <v>305</v>
      </c>
      <c r="AO4" s="15" t="s">
        <v>306</v>
      </c>
      <c r="AP4" s="15" t="s">
        <v>183</v>
      </c>
      <c r="AQ4" s="25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14" t="s">
        <v>310</v>
      </c>
      <c r="B5" s="26" t="n">
        <v>14148.37</v>
      </c>
      <c r="C5" s="26" t="n">
        <v>0</v>
      </c>
      <c r="D5" s="18" t="n">
        <f aca="false">IF($A5="","",SUMIFS(持仓表!$J:$J,持仓表!$A:$A,$A5))</f>
        <v>0</v>
      </c>
      <c r="E5" s="19" t="n">
        <f aca="false">IFERROR(D5/B5,0)</f>
        <v>0</v>
      </c>
      <c r="F5" s="26" t="n">
        <v>0</v>
      </c>
      <c r="G5" s="18" t="n">
        <f aca="false">IF($B5="","",MAX($B$2:B5))</f>
        <v>14148.37</v>
      </c>
      <c r="H5" s="19" t="n">
        <f aca="false">IFERROR((B5-F5)/F5,0)</f>
        <v>0</v>
      </c>
      <c r="I5" s="19" t="n">
        <f aca="false">IFERROR((B5-G5)/G5,0)</f>
        <v>0</v>
      </c>
      <c r="J5" s="9" t="s">
        <v>303</v>
      </c>
      <c r="K5" s="14" t="s">
        <v>304</v>
      </c>
      <c r="L5" s="27" t="n">
        <v>4</v>
      </c>
      <c r="M5" s="27" t="n">
        <v>1</v>
      </c>
      <c r="N5" s="19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19" t="n">
        <f aca="false">IF($B5="","",IF(B5&lt;30000,35%,IF(B5&lt;50000,30%,IF(B5&lt;100000,25%,20%))))</f>
        <v>0.35</v>
      </c>
      <c r="P5" s="21" t="n">
        <f aca="false">IF($A5="","",COUNTIFS(持仓表!$A:$A,$A5,持仓表!$G:$G,"&gt;0"))</f>
        <v>0</v>
      </c>
      <c r="Q5" s="21" t="n">
        <f aca="false">IF($A5="","",COUNTIFS(持仓表!$A:$A,$A5,持仓表!$D:$D,"是",持仓表!$G:$G,"&gt;0"))</f>
        <v>0</v>
      </c>
      <c r="R5" s="21" t="n">
        <f aca="false">IF($A5="","",MAX(0,P5-Q5))</f>
        <v>0</v>
      </c>
      <c r="S5" s="21" t="n">
        <f aca="false">IF($B5="","",IF(B5&lt;50000,3,IF(B5&lt;100000,4,5)))</f>
        <v>3</v>
      </c>
      <c r="T5" s="5" t="str">
        <f aca="false">IF($A5="","",IF(OR(M5&gt;=4,I5&lt;=-8%),"防守",IF(OR(M5&gt;=2,I5&lt;=-5%),"警戒","正常")))</f>
        <v>正常</v>
      </c>
      <c r="U5" s="5" t="str">
        <f aca="false">IF($A5="","",IF(AND(L5&gt;=3,M5&lt;=2,T5&lt;&gt;"防守"),"是","否"))</f>
        <v>是</v>
      </c>
      <c r="V5" s="5" t="str">
        <f aca="false">IF($A5="","",IF(AND(E5&lt;N5,R5&lt;S5,M5&lt;=2,I5&gt;-15%),"是","否"))</f>
        <v>是</v>
      </c>
      <c r="W5" s="5" t="str">
        <f aca="false">IF($A5="","",IF(OR(M5&gt;=3,I5&lt;=-15%),"是","否"))</f>
        <v>否</v>
      </c>
      <c r="X5" s="18" t="n">
        <f aca="false">IF($A5="","",IFERROR(maxifs(候选池!$AB:$AB,候选池!$A:$A,$A5),0))</f>
        <v>0</v>
      </c>
      <c r="Y5" s="18" t="n">
        <f aca="false">IF($A5="","",IF(OR(M5&gt;=4,I5&lt;=-8%),MAX(0,B5*60%-C5),IF(AND(ISNUMBER(AD5),B5&gt;AD5),IF(B5&lt;30000,0,IF(B5&lt;100000,MAX(0,(B5-AD5)*0.2),MAX(0,(B5-AD5)*0.3))),0)))</f>
        <v>0</v>
      </c>
      <c r="Z5" s="9"/>
      <c r="AA5" s="5" t="n">
        <f aca="false">IF($A5="","",IF($AA$2&lt;&gt;"",$AA$2,""))</f>
        <v>6683.54</v>
      </c>
      <c r="AB5" s="28" t="n">
        <f aca="false">IF($A5="","",IF(B5&lt;30000,0.03,IF(B5&lt;100000,0.02,0.015)))</f>
        <v>0.03</v>
      </c>
      <c r="AC5" s="21" t="n">
        <f aca="false">IF($A5="","",IFERROR(DATEDIF($A$2,$A5,"m"),0))</f>
        <v>2</v>
      </c>
      <c r="AD5" s="18" t="n">
        <f aca="false">IF($A5="","",IF(OR(AA5="",AB5="",AC5=""),"",AA5*POWER(1+AB5,AC5)))</f>
        <v>7090.567586</v>
      </c>
      <c r="AE5" s="29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24" t="n">
        <v>0.7543</v>
      </c>
      <c r="AI5" s="1" t="n">
        <v>0</v>
      </c>
      <c r="AJ5" s="24" t="n">
        <v>0</v>
      </c>
      <c r="AK5" s="24" t="n">
        <v>0</v>
      </c>
      <c r="AL5" s="1" t="n">
        <v>0</v>
      </c>
      <c r="AM5" s="24" t="n">
        <v>0</v>
      </c>
      <c r="AN5" s="15" t="s">
        <v>305</v>
      </c>
      <c r="AO5" s="15" t="s">
        <v>306</v>
      </c>
      <c r="AP5" s="15" t="s">
        <v>183</v>
      </c>
      <c r="AQ5" s="25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13" t="s">
        <v>311</v>
      </c>
      <c r="B6" s="17" t="n">
        <v>17086.37</v>
      </c>
      <c r="C6" s="17" t="n">
        <v>0</v>
      </c>
      <c r="D6" s="18" t="n">
        <f aca="false">IF($A6="","",SUMIFS(持仓表!$J:$J,持仓表!$A:$A,$A6))</f>
        <v>0</v>
      </c>
      <c r="E6" s="19" t="n">
        <f aca="false">IFERROR(D6/B6,0)</f>
        <v>0</v>
      </c>
      <c r="F6" s="17" t="n">
        <v>0</v>
      </c>
      <c r="G6" s="18" t="n">
        <f aca="false">IF($B6="","",MAX($B$2:B6))</f>
        <v>17086.37</v>
      </c>
      <c r="H6" s="19" t="n">
        <f aca="false">IFERROR((B6-F6)/F6,0)</f>
        <v>0</v>
      </c>
      <c r="I6" s="19" t="n">
        <f aca="false">IFERROR((B6-G6)/G6,0)</f>
        <v>0</v>
      </c>
      <c r="J6" s="6" t="s">
        <v>303</v>
      </c>
      <c r="K6" s="13" t="s">
        <v>304</v>
      </c>
      <c r="L6" s="20" t="n">
        <v>4</v>
      </c>
      <c r="M6" s="20" t="n">
        <v>1</v>
      </c>
      <c r="N6" s="19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19" t="n">
        <f aca="false">IF($B6="","",IF(B6&lt;30000,35%,IF(B6&lt;50000,30%,IF(B6&lt;100000,25%,20%))))</f>
        <v>0.35</v>
      </c>
      <c r="P6" s="21" t="n">
        <f aca="false">IF($A6="","",COUNTIFS(持仓表!$A:$A,$A6,持仓表!$G:$G,"&gt;0"))</f>
        <v>0</v>
      </c>
      <c r="Q6" s="21" t="n">
        <f aca="false">IF($A6="","",COUNTIFS(持仓表!$A:$A,$A6,持仓表!$D:$D,"是",持仓表!$G:$G,"&gt;0"))</f>
        <v>0</v>
      </c>
      <c r="R6" s="21" t="n">
        <f aca="false">IF($A6="","",MAX(0,P6-Q6))</f>
        <v>0</v>
      </c>
      <c r="S6" s="21" t="n">
        <f aca="false">IF($B6="","",IF(B6&lt;50000,3,IF(B6&lt;100000,4,5)))</f>
        <v>3</v>
      </c>
      <c r="T6" s="5" t="str">
        <f aca="false">IF($A6="","",IF(OR(M6&gt;=4,I6&lt;=-8%),"防守",IF(OR(M6&gt;=2,I6&lt;=-5%),"警戒","正常")))</f>
        <v>正常</v>
      </c>
      <c r="U6" s="5" t="str">
        <f aca="false">IF($A6="","",IF(AND(L6&gt;=3,M6&lt;=2,T6&lt;&gt;"防守"),"是","否"))</f>
        <v>是</v>
      </c>
      <c r="V6" s="5" t="str">
        <f aca="false">IF($A6="","",IF(AND(E6&lt;N6,R6&lt;S6,M6&lt;=2,I6&gt;-15%),"是","否"))</f>
        <v>是</v>
      </c>
      <c r="W6" s="5" t="str">
        <f aca="false">IF($A6="","",IF(OR(M6&gt;=3,I6&lt;=-15%),"是","否"))</f>
        <v>否</v>
      </c>
      <c r="X6" s="18" t="n">
        <f aca="false">IF($A6="","",IFERROR(maxifs(候选池!$AB:$AB,候选池!$A:$A,$A6),0))</f>
        <v>0</v>
      </c>
      <c r="Y6" s="18" t="n">
        <f aca="false">IF($A6="","",IF(OR(M6&gt;=4,I6&lt;=-8%),MAX(0,B6*60%-C6),IF(AND(ISNUMBER(AD6),B6&gt;AD6),IF(B6&lt;30000,0,IF(B6&lt;100000,MAX(0,(B6-AD6)*0.2),MAX(0,(B6-AD6)*0.3))),0)))</f>
        <v>0</v>
      </c>
      <c r="Z6" s="6"/>
      <c r="AA6" s="5" t="n">
        <f aca="false">IF($A6="","",IF($AA$2&lt;&gt;"",$AA$2,""))</f>
        <v>6683.54</v>
      </c>
      <c r="AB6" s="22" t="n">
        <f aca="false">IF($A6="","",IF(B6&lt;30000,0.03,IF(B6&lt;100000,0.02,0.015)))</f>
        <v>0.03</v>
      </c>
      <c r="AC6" s="21" t="n">
        <f aca="false">IF($A6="","",IFERROR(DATEDIF($A$2,$A6,"m"),0))</f>
        <v>4</v>
      </c>
      <c r="AD6" s="18" t="n">
        <f aca="false">IF($A6="","",IF(OR(AA6="",AB6="",AC6=""),"",AA6*POWER(1+AB6,AC6)))</f>
        <v>7522.3831519874</v>
      </c>
      <c r="AE6" s="23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24" t="n">
        <v>0.7849</v>
      </c>
      <c r="AI6" s="1" t="n">
        <v>0</v>
      </c>
      <c r="AJ6" s="24" t="n">
        <v>0</v>
      </c>
      <c r="AK6" s="24" t="n">
        <v>0</v>
      </c>
      <c r="AL6" s="1" t="n">
        <v>0</v>
      </c>
      <c r="AM6" s="24" t="n">
        <v>0</v>
      </c>
      <c r="AN6" s="15" t="s">
        <v>312</v>
      </c>
      <c r="AO6" s="15" t="s">
        <v>313</v>
      </c>
      <c r="AP6" s="15" t="s">
        <v>183</v>
      </c>
      <c r="AQ6" s="25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14" t="s">
        <v>314</v>
      </c>
      <c r="B7" s="26" t="n">
        <v>18504</v>
      </c>
      <c r="C7" s="26" t="n">
        <v>0</v>
      </c>
      <c r="D7" s="18" t="n">
        <f aca="false">IF($A7="","",SUMIFS(持仓表!$J:$J,持仓表!$A:$A,$A7))</f>
        <v>0</v>
      </c>
      <c r="E7" s="19" t="n">
        <f aca="false">IFERROR(D7/B7,0)</f>
        <v>0</v>
      </c>
      <c r="F7" s="26" t="n">
        <v>0</v>
      </c>
      <c r="G7" s="18" t="n">
        <f aca="false">IF($B7="","",MAX($B$2:B7))</f>
        <v>18504</v>
      </c>
      <c r="H7" s="19" t="n">
        <f aca="false">IFERROR((B7-F7)/F7,0)</f>
        <v>0</v>
      </c>
      <c r="I7" s="19" t="n">
        <f aca="false">IFERROR((B7-G7)/G7,0)</f>
        <v>0</v>
      </c>
      <c r="J7" s="9" t="s">
        <v>297</v>
      </c>
      <c r="K7" s="14" t="s">
        <v>298</v>
      </c>
      <c r="L7" s="27" t="n">
        <v>3</v>
      </c>
      <c r="M7" s="27" t="n">
        <v>2</v>
      </c>
      <c r="N7" s="19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19" t="n">
        <f aca="false">IF($B7="","",IF(B7&lt;30000,35%,IF(B7&lt;50000,30%,IF(B7&lt;100000,25%,20%))))</f>
        <v>0.35</v>
      </c>
      <c r="P7" s="21" t="n">
        <f aca="false">IF($A7="","",COUNTIFS(持仓表!$A:$A,$A7,持仓表!$G:$G,"&gt;0"))</f>
        <v>0</v>
      </c>
      <c r="Q7" s="21" t="n">
        <f aca="false">IF($A7="","",COUNTIFS(持仓表!$A:$A,$A7,持仓表!$D:$D,"是",持仓表!$G:$G,"&gt;0"))</f>
        <v>0</v>
      </c>
      <c r="R7" s="21" t="n">
        <f aca="false">IF($A7="","",MAX(0,P7-Q7))</f>
        <v>0</v>
      </c>
      <c r="S7" s="21" t="n">
        <f aca="false">IF($B7="","",IF(B7&lt;50000,3,IF(B7&lt;100000,4,5)))</f>
        <v>3</v>
      </c>
      <c r="T7" s="5" t="str">
        <f aca="false">IF($A7="","",IF(OR(M7&gt;=4,I7&lt;=-8%),"防守",IF(OR(M7&gt;=2,I7&lt;=-5%),"警戒","正常")))</f>
        <v>警戒</v>
      </c>
      <c r="U7" s="5" t="str">
        <f aca="false">IF($A7="","",IF(AND(L7&gt;=3,M7&lt;=2,T7&lt;&gt;"防守"),"是","否"))</f>
        <v>是</v>
      </c>
      <c r="V7" s="5" t="str">
        <f aca="false">IF($A7="","",IF(AND(E7&lt;N7,R7&lt;S7,M7&lt;=2,I7&gt;-15%),"是","否"))</f>
        <v>是</v>
      </c>
      <c r="W7" s="5" t="str">
        <f aca="false">IF($A7="","",IF(OR(M7&gt;=3,I7&lt;=-15%),"是","否"))</f>
        <v>否</v>
      </c>
      <c r="X7" s="18" t="n">
        <f aca="false">IF($A7="","",IFERROR(maxifs(候选池!$AB:$AB,候选池!$A:$A,$A7),0))</f>
        <v>0</v>
      </c>
      <c r="Y7" s="18" t="n">
        <f aca="false">IF($A7="","",IF(OR(M7&gt;=4,I7&lt;=-8%),MAX(0,B7*60%-C7),IF(AND(ISNUMBER(AD7),B7&gt;AD7),IF(B7&lt;30000,0,IF(B7&lt;100000,MAX(0,(B7-AD7)*0.2),MAX(0,(B7-AD7)*0.3))),0)))</f>
        <v>0</v>
      </c>
      <c r="Z7" s="9"/>
      <c r="AA7" s="5" t="n">
        <f aca="false">IF($A7="","",IF($AA$2&lt;&gt;"",$AA$2,""))</f>
        <v>6683.54</v>
      </c>
      <c r="AB7" s="28" t="n">
        <f aca="false">IF($A7="","",IF(B7&lt;30000,0.03,IF(B7&lt;100000,0.02,0.015)))</f>
        <v>0.03</v>
      </c>
      <c r="AC7" s="21" t="n">
        <f aca="false">IF($A7="","",IFERROR(DATEDIF($A$2,$A7,"m"),0))</f>
        <v>4</v>
      </c>
      <c r="AD7" s="18" t="n">
        <f aca="false">IF($A7="","",IF(OR(AA7="",AB7="",AC7=""),"",AA7*POWER(1+AB7,AC7)))</f>
        <v>7522.3831519874</v>
      </c>
      <c r="AE7" s="29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24" t="n">
        <v>0.7012</v>
      </c>
      <c r="AI7" s="1" t="n">
        <v>80</v>
      </c>
      <c r="AJ7" s="24" t="n">
        <v>1</v>
      </c>
      <c r="AK7" s="24" t="n">
        <v>0.3937</v>
      </c>
      <c r="AL7" s="1" t="n">
        <v>0</v>
      </c>
      <c r="AM7" s="24" t="n">
        <v>0</v>
      </c>
      <c r="AN7" s="15" t="s">
        <v>312</v>
      </c>
      <c r="AO7" s="15" t="s">
        <v>313</v>
      </c>
      <c r="AP7" s="15" t="s">
        <v>183</v>
      </c>
      <c r="AQ7" s="25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30" t="n">
        <v>46224</v>
      </c>
      <c r="B8" s="17" t="n">
        <v>20326.12</v>
      </c>
      <c r="C8" s="17" t="n">
        <v>7847.12</v>
      </c>
      <c r="D8" s="18" t="n">
        <f aca="false">IF($A8="","",SUMIFS(持仓表!$J:$J,持仓表!$A:$A,$A8))</f>
        <v>0</v>
      </c>
      <c r="E8" s="19" t="n">
        <f aca="false">IFERROR(D8/B8,0)</f>
        <v>0</v>
      </c>
      <c r="F8" s="17" t="n">
        <v>1309</v>
      </c>
      <c r="G8" s="18" t="n">
        <f aca="false">IF($B8="","",MAX($B$2:B8))</f>
        <v>20326.12</v>
      </c>
      <c r="H8" s="19" t="n">
        <f aca="false">IFERROR((B8-F8)/F8,0)</f>
        <v>14.5279755538579</v>
      </c>
      <c r="I8" s="19" t="n">
        <f aca="false">IFERROR((B8-G8)/G8,0)</f>
        <v>0</v>
      </c>
      <c r="J8" s="6" t="s">
        <v>297</v>
      </c>
      <c r="K8" s="13" t="s">
        <v>298</v>
      </c>
      <c r="L8" s="20" t="n">
        <v>3</v>
      </c>
      <c r="M8" s="20" t="n">
        <v>2</v>
      </c>
      <c r="N8" s="19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19" t="n">
        <f aca="false">IF($B8="","",IF(B8&lt;30000,35%,IF(B8&lt;50000,30%,IF(B8&lt;100000,25%,20%))))</f>
        <v>0.35</v>
      </c>
      <c r="P8" s="21" t="n">
        <f aca="false">IF($A8="","",COUNTIFS(持仓表!$A:$A,$A8,持仓表!$G:$G,"&gt;0"))</f>
        <v>0</v>
      </c>
      <c r="Q8" s="21" t="n">
        <f aca="false">IF($A8="","",COUNTIFS(持仓表!$A:$A,$A8,持仓表!$D:$D,"是",持仓表!$G:$G,"&gt;0"))</f>
        <v>0</v>
      </c>
      <c r="R8" s="21" t="n">
        <f aca="false">IF($A8="","",MAX(0,P8-Q8))</f>
        <v>0</v>
      </c>
      <c r="S8" s="21" t="n">
        <f aca="false">IF($B8="","",IF(B8&lt;50000,3,IF(B8&lt;100000,4,5)))</f>
        <v>3</v>
      </c>
      <c r="T8" s="5" t="str">
        <f aca="false">IF($A8="","",IF(OR(M8&gt;=4,I8&lt;=-8%),"防守",IF(OR(M8&gt;=2,I8&lt;=-5%),"警戒","正常")))</f>
        <v>警戒</v>
      </c>
      <c r="U8" s="5" t="str">
        <f aca="false">IF($A8="","",IF(AND(L8&gt;=3,M8&lt;=2,T8&lt;&gt;"防守"),"是","否"))</f>
        <v>是</v>
      </c>
      <c r="V8" s="5" t="str">
        <f aca="false">IF($A8="","",IF(AND(E8&lt;N8,R8&lt;S8,M8&lt;=2,I8&gt;-15%),"是","否"))</f>
        <v>是</v>
      </c>
      <c r="W8" s="5" t="str">
        <f aca="false">IF($A8="","",IF(OR(M8&gt;=3,I8&lt;=-15%),"是","否"))</f>
        <v>否</v>
      </c>
      <c r="X8" s="18" t="n">
        <f aca="false">IF($A8="","",IFERROR(maxifs(候选池!$AB:$AB,候选池!$A:$A,$A8),0))</f>
        <v>0</v>
      </c>
      <c r="Y8" s="18" t="n">
        <f aca="false">IF($A8="","",IF(OR(M8&gt;=4,I8&lt;=-8%),MAX(0,B8*60%-C8),IF(AND(ISNUMBER(AD8),B8&gt;AD8),IF(B8&lt;30000,0,IF(B8&lt;100000,MAX(0,(B8-AD8)*0.2),MAX(0,(B8-AD8)*0.3))),0)))</f>
        <v>0</v>
      </c>
      <c r="Z8" s="13" t="s">
        <v>315</v>
      </c>
      <c r="AA8" s="5" t="n">
        <f aca="false">IF($A8="","",IF($AA$2&lt;&gt;"",$AA$2,""))</f>
        <v>6683.54</v>
      </c>
      <c r="AB8" s="22" t="n">
        <f aca="false">IF($A8="","",IF(B8&lt;30000,0.03,IF(B8&lt;100000,0.02,0.015)))</f>
        <v>0.03</v>
      </c>
      <c r="AC8" s="21" t="n">
        <f aca="false">IF($A8="","",IFERROR(DATEDIF($A$2,$A8,"m"),0))</f>
        <v>5</v>
      </c>
      <c r="AD8" s="18" t="n">
        <f aca="false">IF($A8="","",IF(OR(AA8="",AB8="",AC8=""),"",AA8*POWER(1+AB8,AC8)))</f>
        <v>7748.05464654702</v>
      </c>
      <c r="AE8" s="23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24" t="n">
        <v>0.3423</v>
      </c>
      <c r="AI8" s="1" t="n">
        <v>5</v>
      </c>
      <c r="AJ8" s="24" t="n">
        <v>1</v>
      </c>
      <c r="AK8" s="24" t="n">
        <v>0.0058</v>
      </c>
      <c r="AL8" s="1" t="n">
        <v>1</v>
      </c>
      <c r="AM8" s="24" t="n">
        <v>0</v>
      </c>
      <c r="AN8" s="15" t="s">
        <v>316</v>
      </c>
      <c r="AO8" s="15" t="s">
        <v>317</v>
      </c>
      <c r="AP8" s="15" t="s">
        <v>183</v>
      </c>
      <c r="AQ8" s="25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31" t="n">
        <v>46225</v>
      </c>
      <c r="B9" s="26" t="n">
        <v>20798.12</v>
      </c>
      <c r="C9" s="26" t="n">
        <v>7847.12</v>
      </c>
      <c r="D9" s="18" t="n">
        <f aca="false">IF($A9="","",SUMIFS(持仓表!$J:$J,持仓表!$A:$A,$A9))</f>
        <v>0</v>
      </c>
      <c r="E9" s="19" t="n">
        <f aca="false">IFERROR(D9/B9,0)</f>
        <v>0</v>
      </c>
      <c r="F9" s="26"/>
      <c r="G9" s="18" t="n">
        <f aca="false">IF($B9="","",MAX($B$2:B9))</f>
        <v>20798.12</v>
      </c>
      <c r="H9" s="19" t="n">
        <f aca="false">IFERROR((B9-F9)/F9,0)</f>
        <v>0</v>
      </c>
      <c r="I9" s="19" t="n">
        <f aca="false">IFERROR((B9-G9)/G9,0)</f>
        <v>0</v>
      </c>
      <c r="J9" s="9"/>
      <c r="K9" s="14"/>
      <c r="L9" s="27"/>
      <c r="M9" s="27"/>
      <c r="N9" s="19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19" t="n">
        <f aca="false">IF($B9="","",IF(B9&lt;30000,35%,IF(B9&lt;50000,30%,IF(B9&lt;100000,25%,20%))))</f>
        <v>0.35</v>
      </c>
      <c r="P9" s="21" t="n">
        <f aca="false">IF($A9="","",COUNTIFS(持仓表!$A:$A,$A9,持仓表!$G:$G,"&gt;0"))</f>
        <v>0</v>
      </c>
      <c r="Q9" s="21" t="n">
        <f aca="false">IF($A9="","",COUNTIFS(持仓表!$A:$A,$A9,持仓表!$D:$D,"是",持仓表!$G:$G,"&gt;0"))</f>
        <v>0</v>
      </c>
      <c r="R9" s="21" t="n">
        <f aca="false">IF($A9="","",MAX(0,P9-Q9))</f>
        <v>0</v>
      </c>
      <c r="S9" s="21" t="n">
        <f aca="false">IF($B9="","",IF(B9&lt;50000,3,IF(B9&lt;100000,4,5)))</f>
        <v>3</v>
      </c>
      <c r="T9" s="5" t="str">
        <f aca="false">IF($A9="","",IF(OR(M9&gt;=4,I9&lt;=-8%),"防守",IF(OR(M9&gt;=2,I9&lt;=-5%),"警戒","正常")))</f>
        <v>正常</v>
      </c>
      <c r="U9" s="5" t="str">
        <f aca="false">IF($A9="","",IF(AND(L9&gt;=3,M9&lt;=2,T9&lt;&gt;"防守"),"是","否"))</f>
        <v>否</v>
      </c>
      <c r="V9" s="5" t="str">
        <f aca="false">IF($A9="","",IF(AND(E9&lt;N9,R9&lt;S9,M9&lt;=2,I9&gt;-15%),"是","否"))</f>
        <v>是</v>
      </c>
      <c r="W9" s="5" t="str">
        <f aca="false">IF($A9="","",IF(OR(M9&gt;=3,I9&lt;=-15%),"是","否"))</f>
        <v>否</v>
      </c>
      <c r="X9" s="18" t="n">
        <f aca="false">IF($A9="","",IFERROR(maxifs(候选池!$AB:$AB,候选池!$A:$A,$A9),0))</f>
        <v>0</v>
      </c>
      <c r="Y9" s="18" t="n">
        <f aca="false">IF($A9="","",IF(OR(M9&gt;=4,I9&lt;=-8%),MAX(0,B9*60%-C9),IF(AND(ISNUMBER(AD9),B9&gt;AD9),IF(B9&lt;30000,0,IF(B9&lt;100000,MAX(0,(B9-AD9)*0.2),MAX(0,(B9-AD9)*0.3))),0)))</f>
        <v>0</v>
      </c>
      <c r="Z9" s="9"/>
      <c r="AA9" s="5" t="n">
        <f aca="false">IF($A9="","",IF($AA$2&lt;&gt;"",$AA$2,""))</f>
        <v>6683.54</v>
      </c>
      <c r="AB9" s="9" t="n">
        <f aca="false">IF($A9="","",IF(B9&lt;30000,0.03,IF(B9&lt;100000,0.02,0.015)))</f>
        <v>0.03</v>
      </c>
      <c r="AC9" s="21" t="n">
        <f aca="false">IF($A9="","",IFERROR(DATEDIF($A$2,$A9,"m"),0))</f>
        <v>5</v>
      </c>
      <c r="AD9" s="18" t="n">
        <f aca="false">IF($A9="","",IF(OR(AA9="",AB9="",AC9=""),"",AA9*POWER(1+AB9,AC9)))</f>
        <v>7748.05464654702</v>
      </c>
      <c r="AE9" s="29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24"/>
      <c r="AJ9" s="24"/>
      <c r="AK9" s="24"/>
      <c r="AM9" s="24"/>
      <c r="AP9" s="15"/>
      <c r="AQ9" s="25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32" t="n">
        <v>46226</v>
      </c>
      <c r="B10" s="17" t="n">
        <v>20959.73</v>
      </c>
      <c r="C10" s="17" t="n">
        <v>10362.73</v>
      </c>
      <c r="D10" s="18" t="n">
        <f aca="false">IF($A10="","",SUMIFS(持仓表!$J:$J,持仓表!$A:$A,$A10))</f>
        <v>0</v>
      </c>
      <c r="E10" s="19" t="n">
        <f aca="false">IFERROR(D10/B10,0)</f>
        <v>0</v>
      </c>
      <c r="F10" s="17"/>
      <c r="G10" s="18" t="n">
        <f aca="false">IF($B10="","",MAX($B$2:B10))</f>
        <v>20959.73</v>
      </c>
      <c r="H10" s="19" t="n">
        <f aca="false">IFERROR((B10-F10)/F10,0)</f>
        <v>0</v>
      </c>
      <c r="I10" s="19" t="n">
        <f aca="false">IFERROR((B10-G10)/G10,0)</f>
        <v>0</v>
      </c>
      <c r="J10" s="6"/>
      <c r="K10" s="13"/>
      <c r="L10" s="20"/>
      <c r="M10" s="20"/>
      <c r="N10" s="19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19" t="n">
        <f aca="false">IF($B10="","",IF(B10&lt;30000,35%,IF(B10&lt;50000,30%,IF(B10&lt;100000,25%,20%))))</f>
        <v>0.35</v>
      </c>
      <c r="P10" s="21" t="n">
        <f aca="false">IF($A10="","",COUNTIFS(持仓表!$A:$A,$A10,持仓表!$G:$G,"&gt;0"))</f>
        <v>0</v>
      </c>
      <c r="Q10" s="21" t="n">
        <f aca="false">IF($A10="","",COUNTIFS(持仓表!$A:$A,$A10,持仓表!$D:$D,"是",持仓表!$G:$G,"&gt;0"))</f>
        <v>0</v>
      </c>
      <c r="R10" s="21" t="n">
        <f aca="false">IF($A10="","",MAX(0,P10-Q10))</f>
        <v>0</v>
      </c>
      <c r="S10" s="21" t="n">
        <f aca="false">IF($B10="","",IF(B10&lt;50000,3,IF(B10&lt;100000,4,5)))</f>
        <v>3</v>
      </c>
      <c r="T10" s="5" t="str">
        <f aca="false">IF($A10="","",IF(OR(M10&gt;=4,I10&lt;=-8%),"防守",IF(OR(M10&gt;=2,I10&lt;=-5%),"警戒","正常")))</f>
        <v>正常</v>
      </c>
      <c r="U10" s="5" t="str">
        <f aca="false">IF($A10="","",IF(AND(L10&gt;=3,M10&lt;=2,T10&lt;&gt;"防守"),"是","否"))</f>
        <v>否</v>
      </c>
      <c r="V10" s="5" t="str">
        <f aca="false">IF($A10="","",IF(AND(E10&lt;N10,R10&lt;S10,M10&lt;=2,I10&gt;-15%),"是","否"))</f>
        <v>是</v>
      </c>
      <c r="W10" s="5" t="str">
        <f aca="false">IF($A10="","",IF(OR(M10&gt;=3,I10&lt;=-15%),"是","否"))</f>
        <v>否</v>
      </c>
      <c r="X10" s="18" t="n">
        <f aca="false">IF($A10="","",IFERROR(maxifs(候选池!$AB:$AB,候选池!$A:$A,$A10),0))</f>
        <v>0</v>
      </c>
      <c r="Y10" s="18" t="n">
        <f aca="false">IF($A10="","",IF(OR(M10&gt;=4,I10&lt;=-8%),MAX(0,B10*60%-C10),IF(AND(ISNUMBER(AD10),B10&gt;AD10),IF(B10&lt;30000,0,IF(B10&lt;100000,MAX(0,(B10-AD10)*0.2),MAX(0,(B10-AD10)*0.3))),0)))</f>
        <v>0</v>
      </c>
      <c r="Z10" s="6"/>
      <c r="AA10" s="5" t="n">
        <f aca="false">IF($A10="","",IF($AA$2&lt;&gt;"",$AA$2,""))</f>
        <v>6683.54</v>
      </c>
      <c r="AB10" s="6" t="n">
        <f aca="false">IF($A10="","",IF(B10&lt;30000,0.03,IF(B10&lt;100000,0.02,0.015)))</f>
        <v>0.03</v>
      </c>
      <c r="AC10" s="21" t="n">
        <f aca="false">IF($A10="","",IFERROR(DATEDIF($A$2,$A10,"m"),0))</f>
        <v>5</v>
      </c>
      <c r="AD10" s="18" t="n">
        <f aca="false">IF($A10="","",IF(OR(AA10="",AB10="",AC10=""),"",AA10*POWER(1+AB10,AC10)))</f>
        <v>7748.05464654702</v>
      </c>
      <c r="AE10" s="23" t="n">
        <f aca="false">IF($A10="","",IF(OR(AD10="",AD10=0),"",B10/AD10-1))</f>
        <v>1.70516032167389</v>
      </c>
      <c r="AG10" s="1" t="str">
        <f aca="false">IF($A10="","",IF(B10&lt;30000,"婴儿",IF(B10&lt;100000,"成长","成熟")))</f>
        <v>婴儿</v>
      </c>
      <c r="AH10" s="24"/>
      <c r="AJ10" s="24"/>
      <c r="AK10" s="24"/>
      <c r="AM10" s="24"/>
      <c r="AP10" s="15"/>
      <c r="AQ10" s="25" t="n">
        <f aca="false">IF($A10="","",B10-$AA$2-SUM($F$2:F10))</f>
        <v>10267.19</v>
      </c>
      <c r="AR10" s="1" t="n">
        <f aca="false">IF($A10="","",30000)</f>
        <v>30000</v>
      </c>
      <c r="AS10" s="1" t="n">
        <f aca="false">IF($A10="","",AR10-B10)</f>
        <v>9040.27</v>
      </c>
      <c r="AT10" s="1" t="n">
        <f aca="false">IF($A10="","",IFERROR(B10/AR10,0))</f>
        <v>0.698657666666667</v>
      </c>
      <c r="AU10" s="1" t="n">
        <f aca="false">IF($A10="","",IFERROR(B10*O10,0))</f>
        <v>7335.9055</v>
      </c>
      <c r="AV10" s="1" t="n">
        <f aca="false">IF($A10="","",IFERROR(C10/B10,0))</f>
        <v>0.494411426101386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31" t="n">
        <v>46226</v>
      </c>
      <c r="B11" s="26" t="n">
        <v>21004.83</v>
      </c>
      <c r="C11" s="26" t="n">
        <v>10362.83</v>
      </c>
      <c r="D11" s="18" t="n">
        <f aca="false">IF($A11="","",SUMIFS(持仓表!$J:$J,持仓表!$A:$A,$A11))</f>
        <v>0</v>
      </c>
      <c r="E11" s="19" t="n">
        <f aca="false">IFERROR(D11/B11,0)</f>
        <v>0</v>
      </c>
      <c r="F11" s="26"/>
      <c r="G11" s="18" t="n">
        <f aca="false">IF($B11="","",MAX($B$2:B11))</f>
        <v>21004.83</v>
      </c>
      <c r="H11" s="19" t="n">
        <f aca="false">IFERROR((B11-F11)/F11,0)</f>
        <v>0</v>
      </c>
      <c r="I11" s="19" t="n">
        <f aca="false">IFERROR((B11-G11)/G11,0)</f>
        <v>0</v>
      </c>
      <c r="J11" s="9"/>
      <c r="K11" s="14"/>
      <c r="L11" s="27"/>
      <c r="M11" s="27"/>
      <c r="N11" s="19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19" t="n">
        <f aca="false">IF($B11="","",IF(B11&lt;30000,35%,IF(B11&lt;50000,30%,IF(B11&lt;100000,25%,20%))))</f>
        <v>0.35</v>
      </c>
      <c r="P11" s="21" t="n">
        <f aca="false">IF($A11="","",COUNTIFS(持仓表!$A:$A,$A11,持仓表!$G:$G,"&gt;0"))</f>
        <v>0</v>
      </c>
      <c r="Q11" s="21" t="n">
        <f aca="false">IF($A11="","",COUNTIFS(持仓表!$A:$A,$A11,持仓表!$D:$D,"是",持仓表!$G:$G,"&gt;0"))</f>
        <v>0</v>
      </c>
      <c r="R11" s="21" t="n">
        <f aca="false">IF($A11="","",MAX(0,P11-Q11))</f>
        <v>0</v>
      </c>
      <c r="S11" s="21" t="n">
        <f aca="false">IF($B11="","",IF(B11&lt;50000,3,IF(B11&lt;100000,4,5)))</f>
        <v>3</v>
      </c>
      <c r="T11" s="5" t="str">
        <f aca="false">IF($A11="","",IF(OR(M11&gt;=4,I11&lt;=-8%),"防守",IF(OR(M11&gt;=2,I11&lt;=-5%),"警戒","正常")))</f>
        <v>正常</v>
      </c>
      <c r="U11" s="5" t="str">
        <f aca="false">IF($A11="","",IF(AND(L11&gt;=3,M11&lt;=2,T11&lt;&gt;"防守"),"是","否"))</f>
        <v>否</v>
      </c>
      <c r="V11" s="5" t="str">
        <f aca="false">IF($A11="","",IF(AND(E11&lt;N11,R11&lt;S11,M11&lt;=2,I11&gt;-15%),"是","否"))</f>
        <v>是</v>
      </c>
      <c r="W11" s="5" t="str">
        <f aca="false">IF($A11="","",IF(OR(M11&gt;=3,I11&lt;=-15%),"是","否"))</f>
        <v>否</v>
      </c>
      <c r="X11" s="18" t="n">
        <f aca="false">IF($A11="","",IFERROR(maxifs(候选池!$AB:$AB,候选池!$A:$A,$A11),0))</f>
        <v>0</v>
      </c>
      <c r="Y11" s="18" t="n">
        <f aca="false">IF($A11="","",IF(OR(M11&gt;=4,I11&lt;=-8%),MAX(0,B11*60%-C11),IF(AND(ISNUMBER(AD11),B11&gt;AD11),IF(B11&lt;30000,0,IF(B11&lt;100000,MAX(0,(B11-AD11)*0.2),MAX(0,(B11-AD11)*0.3))),0)))</f>
        <v>0</v>
      </c>
      <c r="Z11" s="9"/>
      <c r="AA11" s="5" t="n">
        <f aca="false">IF($A11="","",IF($AA$2&lt;&gt;"",$AA$2,""))</f>
        <v>6683.54</v>
      </c>
      <c r="AB11" s="9" t="n">
        <f aca="false">IF($A11="","",IF(B11&lt;30000,0.03,IF(B11&lt;100000,0.02,0.015)))</f>
        <v>0.03</v>
      </c>
      <c r="AC11" s="21" t="n">
        <f aca="false">IF($A11="","",IFERROR(DATEDIF($A$2,$A11,"m"),0))</f>
        <v>5</v>
      </c>
      <c r="AD11" s="18" t="n">
        <f aca="false">IF($A11="","",IF(OR(AA11="",AB11="",AC11=""),"",AA11*POWER(1+AB11,AC11)))</f>
        <v>7748.05464654702</v>
      </c>
      <c r="AE11" s="29" t="n">
        <f aca="false">IF($A11="","",IF(OR(AD11="",AD11=0),"",B11/AD11-1))</f>
        <v>1.7109811376151</v>
      </c>
      <c r="AG11" s="1" t="str">
        <f aca="false">IF($A11="","",IF(B11&lt;30000,"婴儿",IF(B11&lt;100000,"成长","成熟")))</f>
        <v>婴儿</v>
      </c>
      <c r="AH11" s="24"/>
      <c r="AJ11" s="24"/>
      <c r="AK11" s="24"/>
      <c r="AM11" s="24"/>
      <c r="AP11" s="15"/>
      <c r="AQ11" s="25" t="n">
        <f aca="false">IF($A11="","",B11-$AA$2-SUM($F$2:F11))</f>
        <v>10312.29</v>
      </c>
      <c r="AR11" s="1" t="n">
        <f aca="false">IF($A11="","",30000)</f>
        <v>30000</v>
      </c>
      <c r="AS11" s="1" t="n">
        <f aca="false">IF($A11="","",AR11-B11)</f>
        <v>8995.17</v>
      </c>
      <c r="AT11" s="1" t="n">
        <f aca="false">IF($A11="","",IFERROR(B11/AR11,0))</f>
        <v>0.700161</v>
      </c>
      <c r="AU11" s="1" t="n">
        <f aca="false">IF($A11="","",IFERROR(B11*O11,0))</f>
        <v>7351.6905</v>
      </c>
      <c r="AV11" s="1" t="n">
        <f aca="false">IF($A11="","",IFERROR(C11/B11,0))</f>
        <v>0.49335462367465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1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32" t="n">
        <v>46227</v>
      </c>
      <c r="B12" s="17" t="n">
        <v>20842.32</v>
      </c>
      <c r="C12" s="17" t="n">
        <v>12358.32</v>
      </c>
      <c r="D12" s="18" t="n">
        <v>8484</v>
      </c>
      <c r="E12" s="19" t="n">
        <v>0.407056412146057</v>
      </c>
      <c r="F12" s="17" t="n">
        <v>0</v>
      </c>
      <c r="G12" s="18" t="n">
        <f aca="false">IF($B12="","",MAX($B$2:B12))</f>
        <v>21004.83</v>
      </c>
      <c r="H12" s="19" t="n">
        <f aca="false">IFERROR((B12-F12)/F12,0)</f>
        <v>0</v>
      </c>
      <c r="I12" s="19" t="n">
        <f aca="false">IFERROR((B12-G12)/G12,0)</f>
        <v>-0.00773679196641925</v>
      </c>
      <c r="J12" s="6"/>
      <c r="K12" s="13"/>
      <c r="L12" s="20"/>
      <c r="M12" s="20"/>
      <c r="N12" s="19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19" t="n">
        <f aca="false">IF($B12="","",IF(B12&lt;30000,35%,IF(B12&lt;50000,30%,IF(B12&lt;100000,25%,20%))))</f>
        <v>0.35</v>
      </c>
      <c r="P12" s="21" t="n">
        <f aca="false">IF($A12="","",COUNTIFS(持仓表!$A:$A,$A12,持仓表!$G:$G,"&gt;0"))</f>
        <v>7</v>
      </c>
      <c r="Q12" s="21" t="n">
        <f aca="false">IF($A12="","",COUNTIFS(持仓表!$A:$A,$A12,持仓表!$D:$D,"是",持仓表!$G:$G,"&gt;0"))</f>
        <v>1</v>
      </c>
      <c r="R12" s="21" t="n">
        <f aca="false">IF($A12="","",MAX(0,P12-Q12))</f>
        <v>6</v>
      </c>
      <c r="S12" s="21" t="n">
        <f aca="false">IF($B12="","",IF(B12&lt;50000,3,IF(B12&lt;100000,4,5)))</f>
        <v>3</v>
      </c>
      <c r="T12" s="5" t="s">
        <v>318</v>
      </c>
      <c r="U12" s="5" t="str">
        <f aca="false">IF($A12="","",IF(AND(L12&gt;=3,M12&lt;=2,T12&lt;&gt;"防守"),"是","否"))</f>
        <v>否</v>
      </c>
      <c r="V12" s="5" t="s">
        <v>301</v>
      </c>
      <c r="W12" s="5" t="s">
        <v>183</v>
      </c>
      <c r="X12" s="18" t="n">
        <f aca="false">IF($A12="","",IFERROR(maxifs(候选池!$AB:$AB,候选池!$A:$A,$A12),0))</f>
        <v>0</v>
      </c>
      <c r="Y12" s="18" t="n">
        <f aca="false">IF($A12="","",IF(OR(M12&gt;=4,I12&lt;=-8%),MAX(0,B12*60%-C12),IF(AND(ISNUMBER(AD12),B12&gt;AD12),IF(B12&lt;30000,0,IF(B12&lt;100000,MAX(0,(B12-AD12)*0.2),MAX(0,(B12-AD12)*0.3))),0)))</f>
        <v>0</v>
      </c>
      <c r="Z12" s="6"/>
      <c r="AA12" s="5" t="n">
        <f aca="false">IF($A12="","",IF($AA$2&lt;&gt;"",$AA$2,""))</f>
        <v>6683.54</v>
      </c>
      <c r="AB12" s="6" t="n">
        <f aca="false">IF($A12="","",IF(B12&lt;30000,0.03,IF(B12&lt;100000,0.02,0.015)))</f>
        <v>0.03</v>
      </c>
      <c r="AC12" s="21" t="n">
        <f aca="false">IF($A12="","",IFERROR(DATEDIF($A$2,$A12,"m"),0))</f>
        <v>5</v>
      </c>
      <c r="AD12" s="18" t="n">
        <f aca="false">IF($A12="","",IF(OR(AA12="",AB12="",AC12=""),"",AA12*POWER(1+AB12,AC12)))</f>
        <v>7748.05464654702</v>
      </c>
      <c r="AE12" s="23" t="n">
        <f aca="false">IF($A12="","",IF(OR(AD12="",AD12=0),"",B12/AD12-1))</f>
        <v>1.69000684052848</v>
      </c>
      <c r="AG12" s="1" t="str">
        <f aca="false">IF($A12="","",IF(B12&lt;30000,"婴儿",IF(B12&lt;100000,"成长","成熟")))</f>
        <v>婴儿</v>
      </c>
      <c r="AH12" s="24"/>
      <c r="AJ12" s="24"/>
      <c r="AK12" s="24"/>
      <c r="AM12" s="24"/>
      <c r="AP12" s="15"/>
      <c r="AQ12" s="25" t="n">
        <f aca="false">IF($A12="","",B12-$AA$2-SUM($F$2:F12))</f>
        <v>10149.78</v>
      </c>
      <c r="AR12" s="1" t="n">
        <f aca="false">IF($A12="","",30000)</f>
        <v>30000</v>
      </c>
      <c r="AS12" s="1" t="n">
        <f aca="false">IF($A12="","",AR12-B12)</f>
        <v>9157.68</v>
      </c>
      <c r="AT12" s="1" t="n">
        <f aca="false">IF($A12="","",IFERROR(B12/AR12,0))</f>
        <v>0.694744</v>
      </c>
      <c r="AU12" s="1" t="n">
        <f aca="false">IF($A12="","",IFERROR(B12*O12,0))</f>
        <v>7294.812</v>
      </c>
      <c r="AV12" s="1" t="n">
        <f aca="false">IF($A12="","",IFERROR(C12/B12,0))</f>
        <v>0.592943587853943</v>
      </c>
      <c r="AW12" s="1" t="n">
        <f aca="false">IF($A12="","",MAX(0,R12-S12))</f>
        <v>3</v>
      </c>
      <c r="AX12" s="1" t="str">
        <f aca="false">IF($A12="","",IF(AW12&gt;0,"优先降持仓数",IF(C12&lt;=0,"现金不足","允许评估")))</f>
        <v>优先降持仓数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6"/>
      <c r="B13" s="17"/>
      <c r="C13" s="17"/>
      <c r="D13" s="18" t="str">
        <f aca="false">IF($A14="","",SUMIFS(持仓表!$J:$J,持仓表!$A:$A,$A14))</f>
        <v/>
      </c>
      <c r="E13" s="19" t="n">
        <f aca="false">IFERROR(D14/B14,0)</f>
        <v>0</v>
      </c>
      <c r="F13" s="17"/>
      <c r="G13" s="18" t="str">
        <f aca="false">IF($B14="","",MAX($B$2:B14))</f>
        <v/>
      </c>
      <c r="H13" s="19" t="n">
        <f aca="false">IFERROR((B14-F14)/F14,0)</f>
        <v>0</v>
      </c>
      <c r="I13" s="19" t="n">
        <f aca="false">IFERROR((B14-G14)/G14,0)</f>
        <v>0</v>
      </c>
      <c r="J13" s="6"/>
      <c r="K13" s="13"/>
      <c r="L13" s="20"/>
      <c r="M13" s="20"/>
      <c r="N13" s="19" t="str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/>
      </c>
      <c r="O13" s="19" t="str">
        <f aca="false">IF($B14="","",IF(B14&lt;30000,35%,IF(B14&lt;50000,30%,IF(B14&lt;100000,25%,20%))))</f>
        <v/>
      </c>
      <c r="P13" s="21" t="str">
        <f aca="false">IF($A14="","",COUNTIFS(持仓表!$A:$A,$A14,持仓表!$G:$G,"&gt;0"))</f>
        <v/>
      </c>
      <c r="Q13" s="21" t="str">
        <f aca="false">IF($A14="","",COUNTIFS(持仓表!$A:$A,$A14,持仓表!$D:$D,"是",持仓表!$G:$G,"&gt;0"))</f>
        <v/>
      </c>
      <c r="R13" s="21" t="str">
        <f aca="false">IF($A14="","",MAX(0,P14-Q14))</f>
        <v/>
      </c>
      <c r="S13" s="21" t="str">
        <f aca="false">IF($B14="","",IF(B14&lt;50000,3,IF(B14&lt;100000,4,5)))</f>
        <v/>
      </c>
      <c r="T13" s="5" t="str">
        <f aca="false">IF($A14="","",IF(OR(M14&gt;=4,I14&lt;=-8%),"防守",IF(OR(M14&gt;=2,I14&lt;=-5%),"警戒","正常")))</f>
        <v/>
      </c>
      <c r="U13" s="5" t="str">
        <f aca="false">IF($A14="","",IF(AND(L14&gt;=3,M14&lt;=2,T14&lt;&gt;"防守"),"是","否"))</f>
        <v/>
      </c>
      <c r="V13" s="5" t="str">
        <f aca="false">IF($A14="","",IF(AND(E14&lt;N14,R14&lt;S14,M14&lt;=2,I14&gt;-15%),"是","否"))</f>
        <v/>
      </c>
      <c r="W13" s="5" t="str">
        <f aca="false">IF($A14="","",IF(OR(M14&gt;=3,I14&lt;=-15%),"是","否"))</f>
        <v/>
      </c>
      <c r="X13" s="18" t="str">
        <f aca="false">IF($A14="","",IFERROR(maxifs(候选池!$AB:$AB,候选池!$A:$A,$A14),0))</f>
        <v/>
      </c>
      <c r="Y13" s="18" t="str">
        <f aca="false">IF($A14="","",IF(OR(M14&gt;=4,I14&lt;=-8%),MAX(0,B14*60%-C14),IF(AND(ISNUMBER(AD14),B14&gt;AD14),IF(B14&lt;30000,0,IF(B14&lt;100000,MAX(0,(B14-AD14)*0.2),MAX(0,(B14-AD14)*0.3))),0)))</f>
        <v/>
      </c>
      <c r="Z13" s="6"/>
      <c r="AA13" s="5" t="str">
        <f aca="false">IF($A14="","",IF($AA$2&lt;&gt;"",$AA$2,""))</f>
        <v/>
      </c>
      <c r="AB13" s="6" t="str">
        <f aca="false">IF($A14="","",IF(B14&lt;30000,0.03,IF(B14&lt;100000,0.02,0.015)))</f>
        <v/>
      </c>
      <c r="AC13" s="21" t="str">
        <f aca="false">IF($A14="","",IFERROR(DATEDIF($A$2,$A14,"m"),0))</f>
        <v/>
      </c>
      <c r="AD13" s="18" t="str">
        <f aca="false">IF($A14="","",IF(OR(AA14="",AB14="",AC14=""),"",AA14*POWER(1+AB14,AC14)))</f>
        <v/>
      </c>
      <c r="AE13" s="23" t="str">
        <f aca="false">IF($A14="","",IF(OR(AD14="",AD14=0),"",B14/AD14-1))</f>
        <v/>
      </c>
      <c r="AG13" s="1" t="str">
        <f aca="false">IF($A14="","",IF(B14&lt;30000,"婴儿",IF(B14&lt;100000,"成长","成熟")))</f>
        <v/>
      </c>
      <c r="AH13" s="24"/>
      <c r="AJ13" s="24"/>
      <c r="AK13" s="24"/>
      <c r="AM13" s="24"/>
      <c r="AP13" s="15"/>
      <c r="AQ13" s="25" t="str">
        <f aca="false">IF($A14="","",B14-$AA$2-SUM($F$2:F14))</f>
        <v/>
      </c>
      <c r="AR13" s="1" t="str">
        <f aca="false">IF($A13="","",30000)</f>
        <v/>
      </c>
      <c r="AS13" s="1" t="str">
        <f aca="false">IF($A13="","",AR13-B13)</f>
        <v/>
      </c>
      <c r="AT13" s="1" t="str">
        <f aca="false">IF($A13="","",IFERROR(B13/AR13,0))</f>
        <v/>
      </c>
      <c r="AU13" s="1" t="str">
        <f aca="false">IF($A13="","",IFERROR(B13*O13,0))</f>
        <v/>
      </c>
      <c r="AV13" s="1" t="str">
        <f aca="false">IF($A13="","",IFERROR(C13/B13,0))</f>
        <v/>
      </c>
      <c r="AW13" s="1" t="str">
        <f aca="false">IF($A13="","",MAX(0,R13-S13))</f>
        <v/>
      </c>
      <c r="AX13" s="1" t="str">
        <f aca="false">IF($A13="","",IF(AW13&gt;0,"优先降持仓数",IF(C13&lt;=0,"现金不足","允许评估")))</f>
        <v/>
      </c>
      <c r="AY13" s="1" t="str">
        <f aca="false">IF($A13="","",IF(B13&lt;30000,"婴儿阶段: 优先活下来,禁止单票失控,限制持仓数,服务3W目标","幼儿阶段达成"))</f>
        <v/>
      </c>
    </row>
    <row r="14" customFormat="false" ht="15" hidden="false" customHeight="true" outlineLevel="0" collapsed="false">
      <c r="A14" s="9"/>
      <c r="B14" s="26"/>
      <c r="C14" s="26"/>
      <c r="D14" s="18" t="str">
        <f aca="false">IF($A15="","",SUMIFS(持仓表!$J:$J,持仓表!$A:$A,$A15))</f>
        <v/>
      </c>
      <c r="E14" s="19" t="n">
        <f aca="false">IFERROR(D15/B15,0)</f>
        <v>0</v>
      </c>
      <c r="F14" s="26"/>
      <c r="G14" s="18" t="str">
        <f aca="false">IF($B15="","",MAX($B$2:B15))</f>
        <v/>
      </c>
      <c r="H14" s="19" t="n">
        <f aca="false">IFERROR((B15-F15)/F15,0)</f>
        <v>0</v>
      </c>
      <c r="I14" s="19" t="n">
        <f aca="false">IFERROR((B15-G15)/G15,0)</f>
        <v>0</v>
      </c>
      <c r="J14" s="9"/>
      <c r="K14" s="14"/>
      <c r="L14" s="27"/>
      <c r="M14" s="27"/>
      <c r="N14" s="19" t="str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/>
      </c>
      <c r="O14" s="19" t="str">
        <f aca="false">IF($B15="","",IF(B15&lt;30000,35%,IF(B15&lt;50000,30%,IF(B15&lt;100000,25%,20%))))</f>
        <v/>
      </c>
      <c r="P14" s="21" t="str">
        <f aca="false">IF($A15="","",COUNTIFS(持仓表!$A:$A,$A15,持仓表!$G:$G,"&gt;0"))</f>
        <v/>
      </c>
      <c r="Q14" s="21" t="str">
        <f aca="false">IF($A15="","",COUNTIFS(持仓表!$A:$A,$A15,持仓表!$D:$D,"是",持仓表!$G:$G,"&gt;0"))</f>
        <v/>
      </c>
      <c r="R14" s="21" t="str">
        <f aca="false">IF($A15="","",MAX(0,P15-Q15))</f>
        <v/>
      </c>
      <c r="S14" s="21" t="str">
        <f aca="false">IF($B15="","",IF(B15&lt;50000,3,IF(B15&lt;100000,4,5)))</f>
        <v/>
      </c>
      <c r="T14" s="5" t="str">
        <f aca="false">IF($A15="","",IF(OR(M15&gt;=4,I15&lt;=-8%),"防守",IF(OR(M15&gt;=2,I15&lt;=-5%),"警戒","正常")))</f>
        <v/>
      </c>
      <c r="U14" s="5" t="str">
        <f aca="false">IF($A15="","",IF(AND(L15&gt;=3,M15&lt;=2,T15&lt;&gt;"防守"),"是","否"))</f>
        <v/>
      </c>
      <c r="V14" s="5" t="str">
        <f aca="false">IF($A15="","",IF(AND(E15&lt;N15,R15&lt;S15,M15&lt;=2,I15&gt;-15%),"是","否"))</f>
        <v/>
      </c>
      <c r="W14" s="5" t="str">
        <f aca="false">IF($A15="","",IF(OR(M15&gt;=3,I15&lt;=-15%),"是","否"))</f>
        <v/>
      </c>
      <c r="X14" s="18" t="str">
        <f aca="false">IF($A15="","",IFERROR(maxifs(候选池!$AB:$AB,候选池!$A:$A,$A15),0))</f>
        <v/>
      </c>
      <c r="Y14" s="18" t="str">
        <f aca="false">IF($A15="","",IF(OR(M15&gt;=4,I15&lt;=-8%),MAX(0,B15*60%-C15),IF(AND(ISNUMBER(AD15),B15&gt;AD15),IF(B15&lt;30000,0,IF(B15&lt;100000,MAX(0,(B15-AD15)*0.2),MAX(0,(B15-AD15)*0.3))),0)))</f>
        <v/>
      </c>
      <c r="Z14" s="9"/>
      <c r="AA14" s="5" t="str">
        <f aca="false">IF($A15="","",IF($AA$2&lt;&gt;"",$AA$2,""))</f>
        <v/>
      </c>
      <c r="AB14" s="9" t="str">
        <f aca="false">IF($A15="","",IF(B15&lt;30000,0.03,IF(B15&lt;100000,0.02,0.015)))</f>
        <v/>
      </c>
      <c r="AC14" s="21" t="str">
        <f aca="false">IF($A15="","",IFERROR(DATEDIF($A$2,$A15,"m"),0))</f>
        <v/>
      </c>
      <c r="AD14" s="18" t="str">
        <f aca="false">IF($A15="","",IF(OR(AA15="",AB15="",AC15=""),"",AA15*POWER(1+AB15,AC15)))</f>
        <v/>
      </c>
      <c r="AE14" s="29" t="str">
        <f aca="false">IF($A15="","",IF(OR(AD15="",AD15=0),"",B15/AD15-1))</f>
        <v/>
      </c>
      <c r="AG14" s="1" t="str">
        <f aca="false">IF($A15="","",IF(B15&lt;30000,"婴儿",IF(B15&lt;100000,"成长","成熟")))</f>
        <v/>
      </c>
      <c r="AH14" s="24"/>
      <c r="AJ14" s="24"/>
      <c r="AK14" s="24"/>
      <c r="AM14" s="24"/>
      <c r="AP14" s="15"/>
      <c r="AQ14" s="25" t="str">
        <f aca="false">IF($A15="","",B15-$AA$2-SUM($F$2:F15))</f>
        <v/>
      </c>
      <c r="AR14" s="1" t="str">
        <f aca="false">IF($A14="","",30000)</f>
        <v/>
      </c>
      <c r="AS14" s="1" t="str">
        <f aca="false">IF($A14="","",AR14-B14)</f>
        <v/>
      </c>
      <c r="AT14" s="1" t="str">
        <f aca="false">IF($A14="","",IFERROR(B14/AR14,0))</f>
        <v/>
      </c>
      <c r="AU14" s="1" t="str">
        <f aca="false">IF($A14="","",IFERROR(B14*O14,0))</f>
        <v/>
      </c>
      <c r="AV14" s="1" t="str">
        <f aca="false">IF($A14="","",IFERROR(C14/B14,0))</f>
        <v/>
      </c>
      <c r="AW14" s="1" t="str">
        <f aca="false">IF($A14="","",MAX(0,R14-S14))</f>
        <v/>
      </c>
      <c r="AX14" s="1" t="str">
        <f aca="false">IF($A14="","",IF(AW14&gt;0,"优先降持仓数",IF(C14&lt;=0,"现金不足","允许评估")))</f>
        <v/>
      </c>
      <c r="AY14" s="1" t="str">
        <f aca="false">IF($A14="","",IF(B14&lt;30000,"婴儿阶段: 优先活下来,禁止单票失控,限制持仓数,服务3W目标","幼儿阶段达成"))</f>
        <v/>
      </c>
    </row>
    <row r="15" customFormat="false" ht="15" hidden="false" customHeight="true" outlineLevel="0" collapsed="false">
      <c r="A15" s="6"/>
      <c r="B15" s="17"/>
      <c r="C15" s="17"/>
      <c r="D15" s="18" t="str">
        <f aca="false">IF($A16="","",SUMIFS(持仓表!$J:$J,持仓表!$A:$A,$A16))</f>
        <v/>
      </c>
      <c r="E15" s="19" t="n">
        <f aca="false">IFERROR(D16/B16,0)</f>
        <v>0</v>
      </c>
      <c r="F15" s="17"/>
      <c r="G15" s="18" t="str">
        <f aca="false">IF($B16="","",MAX($B$2:B16))</f>
        <v/>
      </c>
      <c r="H15" s="19" t="n">
        <f aca="false">IFERROR((B16-F16)/F16,0)</f>
        <v>0</v>
      </c>
      <c r="I15" s="19" t="n">
        <f aca="false">IFERROR((B16-G16)/G16,0)</f>
        <v>0</v>
      </c>
      <c r="J15" s="6"/>
      <c r="K15" s="13"/>
      <c r="L15" s="20"/>
      <c r="M15" s="20"/>
      <c r="N15" s="19" t="str">
        <f aca="false">IF($B16="","",MIN(70%,IF($I16&lt;=-15%,10%,IF($I16&lt;=-10%,30%,IF($M16&gt;=4,10%,IF($M16&gt;=3,30%,IF($J16="强",IF($K16="A",70%,IF($K16="B",60%,40%)),IF($J16="中性",IF($K16="A",50%,IF($K16="B",40%,25%)),IF($K16="A",30%,IF($K16="B",20%,10%))))))))))</f>
        <v/>
      </c>
      <c r="O15" s="19" t="str">
        <f aca="false">IF($B16="","",IF(B16&lt;30000,35%,IF(B16&lt;50000,30%,IF(B16&lt;100000,25%,20%))))</f>
        <v/>
      </c>
      <c r="P15" s="21" t="str">
        <f aca="false">IF($A16="","",COUNTIFS(持仓表!$A:$A,$A16,持仓表!$G:$G,"&gt;0"))</f>
        <v/>
      </c>
      <c r="Q15" s="21" t="str">
        <f aca="false">IF($A16="","",COUNTIFS(持仓表!$A:$A,$A16,持仓表!$D:$D,"是",持仓表!$G:$G,"&gt;0"))</f>
        <v/>
      </c>
      <c r="R15" s="21" t="str">
        <f aca="false">IF($A16="","",MAX(0,P16-Q16))</f>
        <v/>
      </c>
      <c r="S15" s="21" t="str">
        <f aca="false">IF($B16="","",IF(B16&lt;50000,3,IF(B16&lt;100000,4,5)))</f>
        <v/>
      </c>
      <c r="T15" s="5" t="str">
        <f aca="false">IF($A16="","",IF(OR(M16&gt;=4,I16&lt;=-8%),"防守",IF(OR(M16&gt;=2,I16&lt;=-5%),"警戒","正常")))</f>
        <v/>
      </c>
      <c r="U15" s="5" t="str">
        <f aca="false">IF($A16="","",IF(AND(L16&gt;=3,M16&lt;=2,T16&lt;&gt;"防守"),"是","否"))</f>
        <v/>
      </c>
      <c r="V15" s="5" t="str">
        <f aca="false">IF($A16="","",IF(AND(E16&lt;N16,R16&lt;S16,M16&lt;=2,I16&gt;-15%),"是","否"))</f>
        <v/>
      </c>
      <c r="W15" s="5" t="str">
        <f aca="false">IF($A16="","",IF(OR(M16&gt;=3,I16&lt;=-15%),"是","否"))</f>
        <v/>
      </c>
      <c r="X15" s="18" t="str">
        <f aca="false">IF($A16="","",IFERROR(maxifs(候选池!$AB:$AB,候选池!$A:$A,$A16),0))</f>
        <v/>
      </c>
      <c r="Y15" s="18" t="str">
        <f aca="false">IF($A16="","",IF(OR(M16&gt;=4,I16&lt;=-8%),MAX(0,B16*60%-C16),IF(AND(ISNUMBER(AD16),B16&gt;AD16),IF(B16&lt;30000,0,IF(B16&lt;100000,MAX(0,(B16-AD16)*0.2),MAX(0,(B16-AD16)*0.3))),0)))</f>
        <v/>
      </c>
      <c r="Z15" s="6"/>
      <c r="AA15" s="5" t="str">
        <f aca="false">IF($A16="","",IF($AA$2&lt;&gt;"",$AA$2,""))</f>
        <v/>
      </c>
      <c r="AB15" s="6" t="str">
        <f aca="false">IF($A16="","",IF(B16&lt;30000,0.03,IF(B16&lt;100000,0.02,0.015)))</f>
        <v/>
      </c>
      <c r="AC15" s="21" t="str">
        <f aca="false">IF($A16="","",IFERROR(DATEDIF($A$2,$A16,"m"),0))</f>
        <v/>
      </c>
      <c r="AD15" s="18" t="str">
        <f aca="false">IF($A16="","",IF(OR(AA16="",AB16="",AC16=""),"",AA16*POWER(1+AB16,AC16)))</f>
        <v/>
      </c>
      <c r="AE15" s="23" t="str">
        <f aca="false">IF($A16="","",IF(OR(AD16="",AD16=0),"",B16/AD16-1))</f>
        <v/>
      </c>
      <c r="AG15" s="1" t="str">
        <f aca="false">IF($A16="","",IF(B16&lt;30000,"婴儿",IF(B16&lt;100000,"成长","成熟")))</f>
        <v/>
      </c>
      <c r="AH15" s="24"/>
      <c r="AJ15" s="24"/>
      <c r="AK15" s="24"/>
      <c r="AM15" s="24"/>
      <c r="AP15" s="15"/>
      <c r="AQ15" s="25" t="str">
        <f aca="false">IF($A16="","",B16-$AA$2-SUM($F$2:F16))</f>
        <v/>
      </c>
      <c r="AR15" s="1" t="str">
        <f aca="false">IF($A15="","",30000)</f>
        <v/>
      </c>
      <c r="AS15" s="1" t="str">
        <f aca="false">IF($A15="","",AR15-B15)</f>
        <v/>
      </c>
      <c r="AT15" s="1" t="str">
        <f aca="false">IF($A15="","",IFERROR(B15/AR15,0))</f>
        <v/>
      </c>
      <c r="AU15" s="1" t="str">
        <f aca="false">IF($A15="","",IFERROR(B15*O15,0))</f>
        <v/>
      </c>
      <c r="AV15" s="1" t="str">
        <f aca="false">IF($A15="","",IFERROR(C15/B15,0))</f>
        <v/>
      </c>
      <c r="AW15" s="1" t="str">
        <f aca="false">IF($A15="","",MAX(0,R15-S15))</f>
        <v/>
      </c>
      <c r="AX15" s="1" t="str">
        <f aca="false">IF($A15="","",IF(AW15&gt;0,"优先降持仓数",IF(C15&lt;=0,"现金不足","允许评估")))</f>
        <v/>
      </c>
      <c r="AY15" s="1" t="str">
        <f aca="false">IF($A15="","",IF(B15&lt;30000,"婴儿阶段: 优先活下来,禁止单票失控,限制持仓数,服务3W目标","幼儿阶段达成"))</f>
        <v/>
      </c>
    </row>
    <row r="16" customFormat="false" ht="15" hidden="false" customHeight="true" outlineLevel="0" collapsed="false">
      <c r="A16" s="9"/>
      <c r="B16" s="26"/>
      <c r="C16" s="26"/>
      <c r="D16" s="18" t="str">
        <f aca="false">IF($A17="","",SUMIFS(持仓表!$J:$J,持仓表!$A:$A,$A17))</f>
        <v/>
      </c>
      <c r="E16" s="19" t="n">
        <f aca="false">IFERROR(D17/B17,0)</f>
        <v>0</v>
      </c>
      <c r="F16" s="26"/>
      <c r="G16" s="18" t="str">
        <f aca="false">IF($B17="","",MAX($B$2:B17))</f>
        <v/>
      </c>
      <c r="H16" s="19" t="n">
        <f aca="false">IFERROR((B17-F17)/F17,0)</f>
        <v>0</v>
      </c>
      <c r="I16" s="19" t="n">
        <f aca="false">IFERROR((B17-G17)/G17,0)</f>
        <v>0</v>
      </c>
      <c r="J16" s="9"/>
      <c r="K16" s="14"/>
      <c r="L16" s="27"/>
      <c r="M16" s="27"/>
      <c r="N16" s="19" t="str">
        <f aca="false">IF($B17="","",MIN(70%,IF($I17&lt;=-15%,10%,IF($I17&lt;=-10%,30%,IF($M17&gt;=4,10%,IF($M17&gt;=3,30%,IF($J17="强",IF($K17="A",70%,IF($K17="B",60%,40%)),IF($J17="中性",IF($K17="A",50%,IF($K17="B",40%,25%)),IF($K17="A",30%,IF($K17="B",20%,10%))))))))))</f>
        <v/>
      </c>
      <c r="O16" s="19" t="str">
        <f aca="false">IF($B17="","",IF(B17&lt;30000,35%,IF(B17&lt;50000,30%,IF(B17&lt;100000,25%,20%))))</f>
        <v/>
      </c>
      <c r="P16" s="21" t="str">
        <f aca="false">IF($A17="","",COUNTIFS(持仓表!$A:$A,$A17,持仓表!$G:$G,"&gt;0"))</f>
        <v/>
      </c>
      <c r="Q16" s="21" t="str">
        <f aca="false">IF($A17="","",COUNTIFS(持仓表!$A:$A,$A17,持仓表!$D:$D,"是",持仓表!$G:$G,"&gt;0"))</f>
        <v/>
      </c>
      <c r="R16" s="21" t="str">
        <f aca="false">IF($A17="","",MAX(0,P17-Q17))</f>
        <v/>
      </c>
      <c r="S16" s="21" t="str">
        <f aca="false">IF($B17="","",IF(B17&lt;50000,3,IF(B17&lt;100000,4,5)))</f>
        <v/>
      </c>
      <c r="T16" s="5" t="str">
        <f aca="false">IF($A17="","",IF(OR(M17&gt;=4,I17&lt;=-8%),"防守",IF(OR(M17&gt;=2,I17&lt;=-5%),"警戒","正常")))</f>
        <v/>
      </c>
      <c r="U16" s="5" t="str">
        <f aca="false">IF($A17="","",IF(AND(L17&gt;=3,M17&lt;=2,T17&lt;&gt;"防守"),"是","否"))</f>
        <v/>
      </c>
      <c r="V16" s="5" t="str">
        <f aca="false">IF($A17="","",IF(AND(E17&lt;N17,R17&lt;S17,M17&lt;=2,I17&gt;-15%),"是","否"))</f>
        <v/>
      </c>
      <c r="W16" s="5" t="str">
        <f aca="false">IF($A17="","",IF(OR(M17&gt;=3,I17&lt;=-15%),"是","否"))</f>
        <v/>
      </c>
      <c r="X16" s="18" t="str">
        <f aca="false">IF($A17="","",IFERROR(maxifs(候选池!$AB:$AB,候选池!$A:$A,$A17),0))</f>
        <v/>
      </c>
      <c r="Y16" s="18" t="str">
        <f aca="false">IF($A17="","",IF(OR(M17&gt;=4,I17&lt;=-8%),MAX(0,B17*60%-C17),IF(AND(ISNUMBER(AD17),B17&gt;AD17),IF(B17&lt;30000,0,IF(B17&lt;100000,MAX(0,(B17-AD17)*0.2),MAX(0,(B17-AD17)*0.3))),0)))</f>
        <v/>
      </c>
      <c r="Z16" s="9"/>
      <c r="AA16" s="5" t="str">
        <f aca="false">IF($A17="","",IF($AA$2&lt;&gt;"",$AA$2,""))</f>
        <v/>
      </c>
      <c r="AB16" s="9" t="str">
        <f aca="false">IF($A17="","",IF(B17&lt;30000,0.03,IF(B17&lt;100000,0.02,0.015)))</f>
        <v/>
      </c>
      <c r="AC16" s="21" t="str">
        <f aca="false">IF($A17="","",IFERROR(DATEDIF($A$2,$A17,"m"),0))</f>
        <v/>
      </c>
      <c r="AD16" s="18" t="str">
        <f aca="false">IF($A17="","",IF(OR(AA17="",AB17="",AC17=""),"",AA17*POWER(1+AB17,AC17)))</f>
        <v/>
      </c>
      <c r="AE16" s="29" t="str">
        <f aca="false">IF($A17="","",IF(OR(AD17="",AD17=0),"",B17/AD17-1))</f>
        <v/>
      </c>
      <c r="AG16" s="1" t="str">
        <f aca="false">IF($A17="","",IF(B17&lt;30000,"婴儿",IF(B17&lt;100000,"成长","成熟")))</f>
        <v/>
      </c>
      <c r="AH16" s="24"/>
      <c r="AJ16" s="24"/>
      <c r="AK16" s="24"/>
      <c r="AM16" s="24"/>
      <c r="AP16" s="15"/>
      <c r="AQ16" s="25" t="str">
        <f aca="false">IF($A17="","",B17-$AA$2-SUM($F$2:F17))</f>
        <v/>
      </c>
      <c r="AR16" s="1" t="str">
        <f aca="false">IF($A16="","",30000)</f>
        <v/>
      </c>
      <c r="AS16" s="1" t="str">
        <f aca="false">IF($A16="","",AR16-B16)</f>
        <v/>
      </c>
      <c r="AT16" s="1" t="str">
        <f aca="false">IF($A16="","",IFERROR(B16/AR16,0))</f>
        <v/>
      </c>
      <c r="AU16" s="1" t="str">
        <f aca="false">IF($A16="","",IFERROR(B16*O16,0))</f>
        <v/>
      </c>
      <c r="AV16" s="1" t="str">
        <f aca="false">IF($A16="","",IFERROR(C16/B16,0))</f>
        <v/>
      </c>
      <c r="AW16" s="1" t="str">
        <f aca="false">IF($A16="","",MAX(0,R16-S16))</f>
        <v/>
      </c>
      <c r="AX16" s="1" t="str">
        <f aca="false">IF($A16="","",IF(AW16&gt;0,"优先降持仓数",IF(C16&lt;=0,"现金不足","允许评估")))</f>
        <v/>
      </c>
      <c r="AY16" s="1" t="str">
        <f aca="false">IF($A16="","",IF(B16&lt;30000,"婴儿阶段: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6"/>
      <c r="B17" s="17"/>
      <c r="C17" s="17"/>
      <c r="D17" s="18" t="str">
        <f aca="false">IF($A18="","",SUMIFS(持仓表!$J:$J,持仓表!$A:$A,$A18))</f>
        <v/>
      </c>
      <c r="E17" s="19" t="n">
        <f aca="false">IFERROR(D18/B18,0)</f>
        <v>0</v>
      </c>
      <c r="F17" s="17"/>
      <c r="G17" s="18" t="str">
        <f aca="false">IF($B18="","",MAX($B$2:B18))</f>
        <v/>
      </c>
      <c r="H17" s="19" t="n">
        <f aca="false">IFERROR((B18-F18)/F18,0)</f>
        <v>0</v>
      </c>
      <c r="I17" s="19" t="n">
        <f aca="false">IFERROR((B18-G18)/G18,0)</f>
        <v>0</v>
      </c>
      <c r="J17" s="6"/>
      <c r="K17" s="13"/>
      <c r="L17" s="20"/>
      <c r="M17" s="20"/>
      <c r="N17" s="19" t="str">
        <f aca="false">IF($B18="","",MIN(70%,IF($I18&lt;=-15%,10%,IF($I18&lt;=-10%,30%,IF($M18&gt;=4,10%,IF($M18&gt;=3,30%,IF($J18="强",IF($K18="A",70%,IF($K18="B",60%,40%)),IF($J18="中性",IF($K18="A",50%,IF($K18="B",40%,25%)),IF($K18="A",30%,IF($K18="B",20%,10%))))))))))</f>
        <v/>
      </c>
      <c r="O17" s="19" t="str">
        <f aca="false">IF($B18="","",IF(B18&lt;30000,35%,IF(B18&lt;50000,30%,IF(B18&lt;100000,25%,20%))))</f>
        <v/>
      </c>
      <c r="P17" s="21" t="str">
        <f aca="false">IF($A18="","",COUNTIFS(持仓表!$A:$A,$A18,持仓表!$G:$G,"&gt;0"))</f>
        <v/>
      </c>
      <c r="Q17" s="21" t="str">
        <f aca="false">IF($A18="","",COUNTIFS(持仓表!$A:$A,$A18,持仓表!$D:$D,"是",持仓表!$G:$G,"&gt;0"))</f>
        <v/>
      </c>
      <c r="R17" s="21" t="str">
        <f aca="false">IF($A18="","",MAX(0,P18-Q18))</f>
        <v/>
      </c>
      <c r="S17" s="21" t="str">
        <f aca="false">IF($B18="","",IF(B18&lt;50000,3,IF(B18&lt;100000,4,5)))</f>
        <v/>
      </c>
      <c r="T17" s="5" t="str">
        <f aca="false">IF($A18="","",IF(OR(M18&gt;=4,I18&lt;=-8%),"防守",IF(OR(M18&gt;=2,I18&lt;=-5%),"警戒","正常")))</f>
        <v/>
      </c>
      <c r="U17" s="5" t="str">
        <f aca="false">IF($A18="","",IF(AND(L18&gt;=3,M18&lt;=2,T18&lt;&gt;"防守"),"是","否"))</f>
        <v/>
      </c>
      <c r="V17" s="5" t="str">
        <f aca="false">IF($A18="","",IF(AND(E18&lt;N18,R18&lt;S18,M18&lt;=2,I18&gt;-15%),"是","否"))</f>
        <v/>
      </c>
      <c r="W17" s="5" t="str">
        <f aca="false">IF($A18="","",IF(OR(M18&gt;=3,I18&lt;=-15%),"是","否"))</f>
        <v/>
      </c>
      <c r="X17" s="18" t="str">
        <f aca="false">IF($A18="","",IFERROR(maxifs(候选池!$AB:$AB,候选池!$A:$A,$A18),0))</f>
        <v/>
      </c>
      <c r="Y17" s="18" t="str">
        <f aca="false">IF($A18="","",IF(OR(M18&gt;=4,I18&lt;=-8%),MAX(0,B18*60%-C18),IF(AND(ISNUMBER(AD18),B18&gt;AD18),IF(B18&lt;30000,0,IF(B18&lt;100000,MAX(0,(B18-AD18)*0.2),MAX(0,(B18-AD18)*0.3))),0)))</f>
        <v/>
      </c>
      <c r="Z17" s="6"/>
      <c r="AA17" s="5" t="str">
        <f aca="false">IF($A18="","",IF($AA$2&lt;&gt;"",$AA$2,""))</f>
        <v/>
      </c>
      <c r="AB17" s="6" t="str">
        <f aca="false">IF($A18="","",IF(B18&lt;30000,0.03,IF(B18&lt;100000,0.02,0.015)))</f>
        <v/>
      </c>
      <c r="AC17" s="21" t="str">
        <f aca="false">IF($A18="","",IFERROR(DATEDIF($A$2,$A18,"m"),0))</f>
        <v/>
      </c>
      <c r="AD17" s="18" t="str">
        <f aca="false">IF($A18="","",IF(OR(AA18="",AB18="",AC18=""),"",AA18*POWER(1+AB18,AC18)))</f>
        <v/>
      </c>
      <c r="AE17" s="23" t="str">
        <f aca="false">IF($A18="","",IF(OR(AD18="",AD18=0),"",B18/AD18-1))</f>
        <v/>
      </c>
      <c r="AG17" s="1" t="str">
        <f aca="false">IF($A18="","",IF(B18&lt;30000,"婴儿",IF(B18&lt;100000,"成长","成熟")))</f>
        <v/>
      </c>
      <c r="AH17" s="24"/>
      <c r="AJ17" s="24"/>
      <c r="AK17" s="24"/>
      <c r="AM17" s="24"/>
      <c r="AP17" s="15"/>
      <c r="AQ17" s="25" t="str">
        <f aca="false">IF($A18="","",B18-$AA$2-SUM($F$2:F18))</f>
        <v/>
      </c>
      <c r="AR17" s="1" t="str">
        <f aca="false">IF($A17="","",30000)</f>
        <v/>
      </c>
      <c r="AS17" s="1" t="str">
        <f aca="false">IF($A17="","",AR17-B17)</f>
        <v/>
      </c>
      <c r="AT17" s="1" t="str">
        <f aca="false">IF($A17="","",IFERROR(B17/AR17,0))</f>
        <v/>
      </c>
      <c r="AU17" s="1" t="str">
        <f aca="false">IF($A17="","",IFERROR(B17*O17,0))</f>
        <v/>
      </c>
      <c r="AV17" s="1" t="str">
        <f aca="false">IF($A17="","",IFERROR(C17/B17,0))</f>
        <v/>
      </c>
      <c r="AW17" s="1" t="str">
        <f aca="false">IF($A17="","",MAX(0,R17-S17))</f>
        <v/>
      </c>
      <c r="AX17" s="1" t="str">
        <f aca="false">IF($A17="","",IF(AW17&gt;0,"优先降持仓数",IF(C17&lt;=0,"现金不足","允许评估")))</f>
        <v/>
      </c>
      <c r="AY17" s="1" t="str">
        <f aca="false">IF($A17="","",IF(B17&lt;30000,"婴儿阶段: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9"/>
      <c r="B18" s="26"/>
      <c r="C18" s="26"/>
      <c r="D18" s="18" t="str">
        <f aca="false">IF($A19="","",SUMIFS(持仓表!$J:$J,持仓表!$A:$A,$A19))</f>
        <v/>
      </c>
      <c r="E18" s="19" t="n">
        <f aca="false">IFERROR(D19/B19,0)</f>
        <v>0</v>
      </c>
      <c r="F18" s="26"/>
      <c r="G18" s="18" t="str">
        <f aca="false">IF($B19="","",MAX($B$2:B19))</f>
        <v/>
      </c>
      <c r="H18" s="19" t="n">
        <f aca="false">IFERROR((B19-F19)/F19,0)</f>
        <v>0</v>
      </c>
      <c r="I18" s="19" t="n">
        <f aca="false">IFERROR((B19-G19)/G19,0)</f>
        <v>0</v>
      </c>
      <c r="J18" s="9"/>
      <c r="K18" s="14"/>
      <c r="L18" s="27"/>
      <c r="M18" s="27"/>
      <c r="N18" s="19" t="str">
        <f aca="false">IF($B19="","",MIN(70%,IF($I19&lt;=-15%,10%,IF($I19&lt;=-10%,30%,IF($M19&gt;=4,10%,IF($M19&gt;=3,30%,IF($J19="强",IF($K19="A",70%,IF($K19="B",60%,40%)),IF($J19="中性",IF($K19="A",50%,IF($K19="B",40%,25%)),IF($K19="A",30%,IF($K19="B",20%,10%))))))))))</f>
        <v/>
      </c>
      <c r="O18" s="19" t="str">
        <f aca="false">IF($B19="","",IF(B19&lt;30000,35%,IF(B19&lt;50000,30%,IF(B19&lt;100000,25%,20%))))</f>
        <v/>
      </c>
      <c r="P18" s="21" t="str">
        <f aca="false">IF($A19="","",COUNTIFS(持仓表!$A:$A,$A19,持仓表!$G:$G,"&gt;0"))</f>
        <v/>
      </c>
      <c r="Q18" s="21" t="str">
        <f aca="false">IF($A19="","",COUNTIFS(持仓表!$A:$A,$A19,持仓表!$D:$D,"是",持仓表!$G:$G,"&gt;0"))</f>
        <v/>
      </c>
      <c r="R18" s="21" t="str">
        <f aca="false">IF($A19="","",MAX(0,P19-Q19))</f>
        <v/>
      </c>
      <c r="S18" s="21" t="str">
        <f aca="false">IF($B19="","",IF(B19&lt;50000,3,IF(B19&lt;100000,4,5)))</f>
        <v/>
      </c>
      <c r="T18" s="5" t="str">
        <f aca="false">IF($A19="","",IF(OR(M19&gt;=4,I19&lt;=-8%),"防守",IF(OR(M19&gt;=2,I19&lt;=-5%),"警戒","正常")))</f>
        <v/>
      </c>
      <c r="U18" s="5" t="str">
        <f aca="false">IF($A19="","",IF(AND(L19&gt;=3,M19&lt;=2,T19&lt;&gt;"防守"),"是","否"))</f>
        <v/>
      </c>
      <c r="V18" s="5" t="str">
        <f aca="false">IF($A19="","",IF(AND(E19&lt;N19,R19&lt;S19,M19&lt;=2,I19&gt;-15%),"是","否"))</f>
        <v/>
      </c>
      <c r="W18" s="5" t="str">
        <f aca="false">IF($A19="","",IF(OR(M19&gt;=3,I19&lt;=-15%),"是","否"))</f>
        <v/>
      </c>
      <c r="X18" s="18" t="str">
        <f aca="false">IF($A19="","",IFERROR(maxifs(候选池!$AB:$AB,候选池!$A:$A,$A19),0))</f>
        <v/>
      </c>
      <c r="Y18" s="18" t="str">
        <f aca="false">IF($A19="","",IF(OR(M19&gt;=4,I19&lt;=-8%),MAX(0,B19*60%-C19),IF(AND(ISNUMBER(AD19),B19&gt;AD19),IF(B19&lt;30000,0,IF(B19&lt;100000,MAX(0,(B19-AD19)*0.2),MAX(0,(B19-AD19)*0.3))),0)))</f>
        <v/>
      </c>
      <c r="Z18" s="9"/>
      <c r="AA18" s="5" t="str">
        <f aca="false">IF($A19="","",IF($AA$2&lt;&gt;"",$AA$2,""))</f>
        <v/>
      </c>
      <c r="AB18" s="9" t="str">
        <f aca="false">IF($A19="","",IF(B19&lt;30000,0.03,IF(B19&lt;100000,0.02,0.015)))</f>
        <v/>
      </c>
      <c r="AC18" s="21" t="str">
        <f aca="false">IF($A19="","",IFERROR(DATEDIF($A$2,$A19,"m"),0))</f>
        <v/>
      </c>
      <c r="AD18" s="18" t="str">
        <f aca="false">IF($A19="","",IF(OR(AA19="",AB19="",AC19=""),"",AA19*POWER(1+AB19,AC19)))</f>
        <v/>
      </c>
      <c r="AE18" s="29" t="str">
        <f aca="false">IF($A19="","",IF(OR(AD19="",AD19=0),"",B19/AD19-1))</f>
        <v/>
      </c>
      <c r="AG18" s="1" t="str">
        <f aca="false">IF($A19="","",IF(B19&lt;30000,"婴儿",IF(B19&lt;100000,"成长","成熟")))</f>
        <v/>
      </c>
      <c r="AH18" s="24"/>
      <c r="AJ18" s="24"/>
      <c r="AK18" s="24"/>
      <c r="AM18" s="24"/>
      <c r="AP18" s="15"/>
      <c r="AQ18" s="25" t="str">
        <f aca="false">IF($A19="","",B19-$AA$2-SUM($F$2:F19))</f>
        <v/>
      </c>
      <c r="AR18" s="1" t="str">
        <f aca="false">IF($A18="","",30000)</f>
        <v/>
      </c>
      <c r="AS18" s="1" t="str">
        <f aca="false">IF($A18="","",AR18-B18)</f>
        <v/>
      </c>
      <c r="AT18" s="1" t="str">
        <f aca="false">IF($A18="","",IFERROR(B18/AR18,0))</f>
        <v/>
      </c>
      <c r="AU18" s="1" t="str">
        <f aca="false">IF($A18="","",IFERROR(B18*O18,0))</f>
        <v/>
      </c>
      <c r="AV18" s="1" t="str">
        <f aca="false">IF($A18="","",IFERROR(C18/B18,0))</f>
        <v/>
      </c>
      <c r="AW18" s="1" t="str">
        <f aca="false">IF($A18="","",MAX(0,R18-S18))</f>
        <v/>
      </c>
      <c r="AX18" s="1" t="str">
        <f aca="false">IF($A18="","",IF(AW18&gt;0,"优先降持仓数",IF(C18&lt;=0,"现金不足","允许评估")))</f>
        <v/>
      </c>
      <c r="AY18" s="1" t="str">
        <f aca="false">IF($A18="","",IF(B18&lt;30000,"婴儿阶段: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6"/>
      <c r="B19" s="17"/>
      <c r="C19" s="17"/>
      <c r="D19" s="18" t="str">
        <f aca="false">IF($A20="","",SUMIFS(持仓表!$J:$J,持仓表!$A:$A,$A20))</f>
        <v/>
      </c>
      <c r="E19" s="19" t="n">
        <f aca="false">IFERROR(D20/B20,0)</f>
        <v>0</v>
      </c>
      <c r="F19" s="17"/>
      <c r="G19" s="18" t="str">
        <f aca="false">IF($B20="","",MAX($B$2:B20))</f>
        <v/>
      </c>
      <c r="H19" s="19" t="n">
        <f aca="false">IFERROR((B20-F20)/F20,0)</f>
        <v>0</v>
      </c>
      <c r="I19" s="19" t="n">
        <f aca="false">IFERROR((B20-G20)/G20,0)</f>
        <v>0</v>
      </c>
      <c r="J19" s="6"/>
      <c r="K19" s="13"/>
      <c r="L19" s="20"/>
      <c r="M19" s="20"/>
      <c r="N19" s="19" t="str">
        <f aca="false">IF($B20="","",MIN(70%,IF($I20&lt;=-15%,10%,IF($I20&lt;=-10%,30%,IF($M20&gt;=4,10%,IF($M20&gt;=3,30%,IF($J20="强",IF($K20="A",70%,IF($K20="B",60%,40%)),IF($J20="中性",IF($K20="A",50%,IF($K20="B",40%,25%)),IF($K20="A",30%,IF($K20="B",20%,10%))))))))))</f>
        <v/>
      </c>
      <c r="O19" s="19" t="str">
        <f aca="false">IF($B20="","",IF(B20&lt;30000,35%,IF(B20&lt;50000,30%,IF(B20&lt;100000,25%,20%))))</f>
        <v/>
      </c>
      <c r="P19" s="21" t="str">
        <f aca="false">IF($A20="","",COUNTIFS(持仓表!$A:$A,$A20,持仓表!$G:$G,"&gt;0"))</f>
        <v/>
      </c>
      <c r="Q19" s="21" t="str">
        <f aca="false">IF($A20="","",COUNTIFS(持仓表!$A:$A,$A20,持仓表!$D:$D,"是",持仓表!$G:$G,"&gt;0"))</f>
        <v/>
      </c>
      <c r="R19" s="21" t="str">
        <f aca="false">IF($A20="","",MAX(0,P20-Q20))</f>
        <v/>
      </c>
      <c r="S19" s="21" t="str">
        <f aca="false">IF($B20="","",IF(B20&lt;50000,3,IF(B20&lt;100000,4,5)))</f>
        <v/>
      </c>
      <c r="T19" s="5" t="str">
        <f aca="false">IF($A20="","",IF(OR(M20&gt;=4,I20&lt;=-8%),"防守",IF(OR(M20&gt;=2,I20&lt;=-5%),"警戒","正常")))</f>
        <v/>
      </c>
      <c r="U19" s="5" t="str">
        <f aca="false">IF($A20="","",IF(AND(L20&gt;=3,M20&lt;=2,T20&lt;&gt;"防守"),"是","否"))</f>
        <v/>
      </c>
      <c r="V19" s="5" t="str">
        <f aca="false">IF($A20="","",IF(AND(E20&lt;N20,R20&lt;S20,M20&lt;=2,I20&gt;-15%),"是","否"))</f>
        <v/>
      </c>
      <c r="W19" s="5" t="str">
        <f aca="false">IF($A20="","",IF(OR(M20&gt;=3,I20&lt;=-15%),"是","否"))</f>
        <v/>
      </c>
      <c r="X19" s="18" t="str">
        <f aca="false">IF($A20="","",IFERROR(maxifs(候选池!$AB:$AB,候选池!$A:$A,$A20),0))</f>
        <v/>
      </c>
      <c r="Y19" s="18" t="str">
        <f aca="false">IF($A20="","",IF(OR(M20&gt;=4,I20&lt;=-8%),MAX(0,B20*60%-C20),IF(AND(ISNUMBER(AD20),B20&gt;AD20),IF(B20&lt;30000,0,IF(B20&lt;100000,MAX(0,(B20-AD20)*0.2),MAX(0,(B20-AD20)*0.3))),0)))</f>
        <v/>
      </c>
      <c r="Z19" s="6"/>
      <c r="AA19" s="5" t="str">
        <f aca="false">IF($A20="","",IF($AA$2&lt;&gt;"",$AA$2,""))</f>
        <v/>
      </c>
      <c r="AB19" s="6" t="str">
        <f aca="false">IF($A20="","",IF(B20&lt;30000,0.03,IF(B20&lt;100000,0.02,0.015)))</f>
        <v/>
      </c>
      <c r="AC19" s="21" t="str">
        <f aca="false">IF($A20="","",IFERROR(DATEDIF($A$2,$A20,"m"),0))</f>
        <v/>
      </c>
      <c r="AD19" s="18" t="str">
        <f aca="false">IF($A20="","",IF(OR(AA20="",AB20="",AC20=""),"",AA20*POWER(1+AB20,AC20)))</f>
        <v/>
      </c>
      <c r="AE19" s="23" t="str">
        <f aca="false">IF($A20="","",IF(OR(AD20="",AD20=0),"",B20/AD20-1))</f>
        <v/>
      </c>
      <c r="AG19" s="1" t="str">
        <f aca="false">IF($A20="","",IF(B20&lt;30000,"婴儿",IF(B20&lt;100000,"成长","成熟")))</f>
        <v/>
      </c>
      <c r="AH19" s="24"/>
      <c r="AJ19" s="24"/>
      <c r="AK19" s="24"/>
      <c r="AM19" s="24"/>
      <c r="AP19" s="15"/>
      <c r="AQ19" s="25" t="str">
        <f aca="false">IF($A20="","",B20-$AA$2-SUM($F$2:F20))</f>
        <v/>
      </c>
      <c r="AR19" s="1" t="str">
        <f aca="false">IF($A19="","",30000)</f>
        <v/>
      </c>
      <c r="AS19" s="1" t="str">
        <f aca="false">IF($A19="","",AR19-B19)</f>
        <v/>
      </c>
      <c r="AT19" s="1" t="str">
        <f aca="false">IF($A19="","",IFERROR(B19/AR19,0))</f>
        <v/>
      </c>
      <c r="AU19" s="1" t="str">
        <f aca="false">IF($A19="","",IFERROR(B19*O19,0))</f>
        <v/>
      </c>
      <c r="AV19" s="1" t="str">
        <f aca="false">IF($A19="","",IFERROR(C19/B19,0))</f>
        <v/>
      </c>
      <c r="AW19" s="1" t="str">
        <f aca="false">IF($A19="","",MAX(0,R19-S19))</f>
        <v/>
      </c>
      <c r="AX19" s="1" t="str">
        <f aca="false">IF($A19="","",IF(AW19&gt;0,"优先降持仓数",IF(C19&lt;=0,"现金不足","允许评估")))</f>
        <v/>
      </c>
      <c r="AY19" s="1" t="str">
        <f aca="false">IF($A19="","",IF(B19&lt;30000,"婴儿阶段: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9"/>
      <c r="B20" s="26"/>
      <c r="C20" s="26"/>
      <c r="D20" s="18" t="str">
        <f aca="false">IF($A21="","",SUMIFS(持仓表!$J:$J,持仓表!$A:$A,$A21))</f>
        <v/>
      </c>
      <c r="E20" s="19" t="n">
        <f aca="false">IFERROR(D21/B21,0)</f>
        <v>0</v>
      </c>
      <c r="F20" s="26"/>
      <c r="G20" s="18" t="str">
        <f aca="false">IF($B21="","",MAX($B$2:B21))</f>
        <v/>
      </c>
      <c r="H20" s="19" t="n">
        <f aca="false">IFERROR((B21-F21)/F21,0)</f>
        <v>0</v>
      </c>
      <c r="I20" s="19" t="n">
        <f aca="false">IFERROR((B21-G21)/G21,0)</f>
        <v>0</v>
      </c>
      <c r="J20" s="9"/>
      <c r="K20" s="14"/>
      <c r="L20" s="27"/>
      <c r="M20" s="27"/>
      <c r="N20" s="19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20" s="19" t="str">
        <f aca="false">IF($B21="","",IF(B21&lt;30000,35%,IF(B21&lt;50000,30%,IF(B21&lt;100000,25%,20%))))</f>
        <v/>
      </c>
      <c r="P20" s="21" t="str">
        <f aca="false">IF($A21="","",COUNTIFS(持仓表!$A:$A,$A21,持仓表!$G:$G,"&gt;0"))</f>
        <v/>
      </c>
      <c r="Q20" s="21" t="str">
        <f aca="false">IF($A21="","",COUNTIFS(持仓表!$A:$A,$A21,持仓表!$D:$D,"是",持仓表!$G:$G,"&gt;0"))</f>
        <v/>
      </c>
      <c r="R20" s="21" t="str">
        <f aca="false">IF($A21="","",MAX(0,P21-Q21))</f>
        <v/>
      </c>
      <c r="S20" s="21" t="str">
        <f aca="false">IF($B21="","",IF(B21&lt;50000,3,IF(B21&lt;100000,4,5)))</f>
        <v/>
      </c>
      <c r="T20" s="5" t="str">
        <f aca="false">IF($A21="","",IF(OR(M21&gt;=4,I21&lt;=-8%),"防守",IF(OR(M21&gt;=2,I21&lt;=-5%),"警戒","正常")))</f>
        <v/>
      </c>
      <c r="U20" s="5" t="str">
        <f aca="false">IF($A21="","",IF(AND(L21&gt;=3,M21&lt;=2,T21&lt;&gt;"防守"),"是","否"))</f>
        <v/>
      </c>
      <c r="V20" s="5" t="str">
        <f aca="false">IF($A21="","",IF(AND(E21&lt;N21,R21&lt;S21,M21&lt;=2,I21&gt;-15%),"是","否"))</f>
        <v/>
      </c>
      <c r="W20" s="5" t="str">
        <f aca="false">IF($A21="","",IF(OR(M21&gt;=3,I21&lt;=-15%),"是","否"))</f>
        <v/>
      </c>
      <c r="X20" s="18" t="str">
        <f aca="false">IF($A21="","",IFERROR(maxifs(候选池!$AB:$AB,候选池!$A:$A,$A21),0))</f>
        <v/>
      </c>
      <c r="Y20" s="18" t="str">
        <f aca="false">IF($A21="","",IF(OR(M21&gt;=4,I21&lt;=-8%),MAX(0,B21*60%-C21),IF(AND(ISNUMBER(AD21),B21&gt;AD21),IF(B21&lt;30000,0,IF(B21&lt;100000,MAX(0,(B21-AD21)*0.2),MAX(0,(B21-AD21)*0.3))),0)))</f>
        <v/>
      </c>
      <c r="Z20" s="9"/>
      <c r="AA20" s="5" t="str">
        <f aca="false">IF($A21="","",IF($AA$2&lt;&gt;"",$AA$2,""))</f>
        <v/>
      </c>
      <c r="AB20" s="9" t="str">
        <f aca="false">IF($A21="","",IF(B21&lt;30000,0.03,IF(B21&lt;100000,0.02,0.015)))</f>
        <v/>
      </c>
      <c r="AC20" s="21" t="str">
        <f aca="false">IF($A21="","",IFERROR(DATEDIF($A$2,$A21,"m"),0))</f>
        <v/>
      </c>
      <c r="AD20" s="18" t="str">
        <f aca="false">IF($A21="","",IF(OR(AA21="",AB21="",AC21=""),"",AA21*POWER(1+AB21,AC21)))</f>
        <v/>
      </c>
      <c r="AE20" s="29" t="str">
        <f aca="false">IF($A21="","",IF(OR(AD21="",AD21=0),"",B21/AD21-1))</f>
        <v/>
      </c>
      <c r="AG20" s="1" t="str">
        <f aca="false">IF($A21="","",IF(B21&lt;30000,"婴儿",IF(B21&lt;100000,"成长","成熟")))</f>
        <v/>
      </c>
      <c r="AH20" s="24"/>
      <c r="AJ20" s="24"/>
      <c r="AK20" s="24"/>
      <c r="AM20" s="24"/>
      <c r="AP20" s="15"/>
      <c r="AQ20" s="25" t="str">
        <f aca="false">IF($A21="","",B21-$AA$2-SUM($F$2:F21))</f>
        <v/>
      </c>
      <c r="AR20" s="1" t="str">
        <f aca="false">IF($A20="","",30000)</f>
        <v/>
      </c>
      <c r="AS20" s="1" t="str">
        <f aca="false">IF($A20="","",AR20-B20)</f>
        <v/>
      </c>
      <c r="AT20" s="1" t="str">
        <f aca="false">IF($A20="","",IFERROR(B20/AR20,0))</f>
        <v/>
      </c>
      <c r="AU20" s="1" t="str">
        <f aca="false">IF($A20="","",IFERROR(B20*O20,0))</f>
        <v/>
      </c>
      <c r="AV20" s="1" t="str">
        <f aca="false">IF($A20="","",IFERROR(C20/B20,0))</f>
        <v/>
      </c>
      <c r="AW20" s="1" t="str">
        <f aca="false">IF($A20="","",MAX(0,R20-S20))</f>
        <v/>
      </c>
      <c r="AX20" s="1" t="str">
        <f aca="false">IF($A20="","",IF(AW20&gt;0,"优先降持仓数",IF(C20&lt;=0,"现金不足","允许评估")))</f>
        <v/>
      </c>
      <c r="AY20" s="1" t="str">
        <f aca="false">IF($A20="","",IF(B20&lt;30000,"婴儿阶段: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6"/>
      <c r="B21" s="17"/>
      <c r="C21" s="17"/>
      <c r="D21" s="18" t="str">
        <f aca="false">IF($A22="","",SUMIFS(持仓表!$J:$J,持仓表!$A:$A,$A22))</f>
        <v/>
      </c>
      <c r="E21" s="19" t="n">
        <f aca="false">IFERROR(D22/B22,0)</f>
        <v>0</v>
      </c>
      <c r="F21" s="17"/>
      <c r="G21" s="18" t="str">
        <f aca="false">IF($B22="","",MAX($B$2:B22))</f>
        <v/>
      </c>
      <c r="H21" s="19" t="n">
        <f aca="false">IFERROR((B22-F22)/F22,0)</f>
        <v>0</v>
      </c>
      <c r="I21" s="19" t="n">
        <f aca="false">IFERROR((B22-G22)/G22,0)</f>
        <v>0</v>
      </c>
      <c r="J21" s="6"/>
      <c r="K21" s="13"/>
      <c r="L21" s="20"/>
      <c r="M21" s="20"/>
      <c r="N21" s="19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21" s="19" t="str">
        <f aca="false">IF($B22="","",IF(B22&lt;30000,35%,IF(B22&lt;50000,30%,IF(B22&lt;100000,25%,20%))))</f>
        <v/>
      </c>
      <c r="P21" s="21" t="str">
        <f aca="false">IF($A22="","",COUNTIFS(持仓表!$A:$A,$A22,持仓表!$G:$G,"&gt;0"))</f>
        <v/>
      </c>
      <c r="Q21" s="21" t="str">
        <f aca="false">IF($A22="","",COUNTIFS(持仓表!$A:$A,$A22,持仓表!$D:$D,"是",持仓表!$G:$G,"&gt;0"))</f>
        <v/>
      </c>
      <c r="R21" s="21" t="str">
        <f aca="false">IF($A22="","",MAX(0,P22-Q22))</f>
        <v/>
      </c>
      <c r="S21" s="21" t="str">
        <f aca="false">IF($B22="","",IF(B22&lt;50000,3,IF(B22&lt;100000,4,5)))</f>
        <v/>
      </c>
      <c r="T21" s="5" t="str">
        <f aca="false">IF($A22="","",IF(OR(M22&gt;=4,I22&lt;=-8%),"防守",IF(OR(M22&gt;=2,I22&lt;=-5%),"警戒","正常")))</f>
        <v/>
      </c>
      <c r="U21" s="5" t="str">
        <f aca="false">IF($A22="","",IF(AND(L22&gt;=3,M22&lt;=2,T22&lt;&gt;"防守"),"是","否"))</f>
        <v/>
      </c>
      <c r="V21" s="5" t="str">
        <f aca="false">IF($A22="","",IF(AND(E22&lt;N22,R22&lt;S22,M22&lt;=2,I22&gt;-15%),"是","否"))</f>
        <v/>
      </c>
      <c r="W21" s="5" t="str">
        <f aca="false">IF($A22="","",IF(OR(M22&gt;=3,I22&lt;=-15%),"是","否"))</f>
        <v/>
      </c>
      <c r="X21" s="18" t="str">
        <f aca="false">IF($A22="","",IFERROR(maxifs(候选池!$AB:$AB,候选池!$A:$A,$A22),0))</f>
        <v/>
      </c>
      <c r="Y21" s="18" t="str">
        <f aca="false">IF($A22="","",IF(OR(M22&gt;=4,I22&lt;=-8%),MAX(0,B22*60%-C22),IF(AND(ISNUMBER(AD22),B22&gt;AD22),IF(B22&lt;30000,0,IF(B22&lt;100000,MAX(0,(B22-AD22)*0.2),MAX(0,(B22-AD22)*0.3))),0)))</f>
        <v/>
      </c>
      <c r="Z21" s="6"/>
      <c r="AA21" s="5" t="str">
        <f aca="false">IF($A22="","",IF($AA$2&lt;&gt;"",$AA$2,""))</f>
        <v/>
      </c>
      <c r="AB21" s="6" t="str">
        <f aca="false">IF($A22="","",IF(B22&lt;30000,0.03,IF(B22&lt;100000,0.02,0.015)))</f>
        <v/>
      </c>
      <c r="AC21" s="21" t="str">
        <f aca="false">IF($A22="","",IFERROR(DATEDIF($A$2,$A22,"m"),0))</f>
        <v/>
      </c>
      <c r="AD21" s="18" t="str">
        <f aca="false">IF($A22="","",IF(OR(AA22="",AB22="",AC22=""),"",AA22*POWER(1+AB22,AC22)))</f>
        <v/>
      </c>
      <c r="AE21" s="23" t="str">
        <f aca="false">IF($A22="","",IF(OR(AD22="",AD22=0),"",B22/AD22-1))</f>
        <v/>
      </c>
      <c r="AG21" s="1" t="str">
        <f aca="false">IF($A22="","",IF(B22&lt;30000,"婴儿",IF(B22&lt;100000,"成长","成熟")))</f>
        <v/>
      </c>
      <c r="AH21" s="24"/>
      <c r="AJ21" s="24"/>
      <c r="AK21" s="24"/>
      <c r="AM21" s="24"/>
      <c r="AP21" s="15"/>
      <c r="AQ21" s="25" t="str">
        <f aca="false">IF($A22="","",B22-$AA$2-SUM($F$2:F22))</f>
        <v/>
      </c>
      <c r="AR21" s="1" t="str">
        <f aca="false">IF($A21="","",30000)</f>
        <v/>
      </c>
      <c r="AS21" s="1" t="str">
        <f aca="false">IF($A21="","",AR21-B21)</f>
        <v/>
      </c>
      <c r="AT21" s="1" t="str">
        <f aca="false">IF($A21="","",IFERROR(B21/AR21,0))</f>
        <v/>
      </c>
      <c r="AU21" s="1" t="str">
        <f aca="false">IF($A21="","",IFERROR(B21*O21,0))</f>
        <v/>
      </c>
      <c r="AV21" s="1" t="str">
        <f aca="false">IF($A21="","",IFERROR(C21/B21,0))</f>
        <v/>
      </c>
      <c r="AW21" s="1" t="str">
        <f aca="false">IF($A21="","",MAX(0,R21-S21))</f>
        <v/>
      </c>
      <c r="AX21" s="1" t="str">
        <f aca="false">IF($A21="","",IF(AW21&gt;0,"优先降持仓数",IF(C21&lt;=0,"现金不足","允许评估")))</f>
        <v/>
      </c>
      <c r="AY21" s="1" t="str">
        <f aca="false">IF($A21="","",IF(B21&lt;30000,"婴儿阶段: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9"/>
      <c r="B22" s="26"/>
      <c r="C22" s="26"/>
      <c r="D22" s="18" t="str">
        <f aca="false">IF($A23="","",SUMIFS(持仓表!$J:$J,持仓表!$A:$A,$A23))</f>
        <v/>
      </c>
      <c r="E22" s="19" t="n">
        <f aca="false">IFERROR(D23/B23,0)</f>
        <v>0</v>
      </c>
      <c r="F22" s="26"/>
      <c r="G22" s="18" t="str">
        <f aca="false">IF($B23="","",MAX($B$2:B23))</f>
        <v/>
      </c>
      <c r="H22" s="19" t="n">
        <f aca="false">IFERROR((B23-F23)/F23,0)</f>
        <v>0</v>
      </c>
      <c r="I22" s="19" t="n">
        <f aca="false">IFERROR((B23-G23)/G23,0)</f>
        <v>0</v>
      </c>
      <c r="J22" s="9"/>
      <c r="K22" s="14"/>
      <c r="L22" s="27"/>
      <c r="M22" s="27"/>
      <c r="N22" s="19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22" s="19" t="str">
        <f aca="false">IF($B23="","",IF(B23&lt;30000,35%,IF(B23&lt;50000,30%,IF(B23&lt;100000,25%,20%))))</f>
        <v/>
      </c>
      <c r="P22" s="21" t="str">
        <f aca="false">IF($A23="","",COUNTIFS(持仓表!$A:$A,$A23,持仓表!$G:$G,"&gt;0"))</f>
        <v/>
      </c>
      <c r="Q22" s="21" t="str">
        <f aca="false">IF($A23="","",COUNTIFS(持仓表!$A:$A,$A23,持仓表!$D:$D,"是",持仓表!$G:$G,"&gt;0"))</f>
        <v/>
      </c>
      <c r="R22" s="21" t="str">
        <f aca="false">IF($A23="","",MAX(0,P23-Q23))</f>
        <v/>
      </c>
      <c r="S22" s="21" t="str">
        <f aca="false">IF($B23="","",IF(B23&lt;50000,3,IF(B23&lt;100000,4,5)))</f>
        <v/>
      </c>
      <c r="T22" s="5" t="str">
        <f aca="false">IF($A23="","",IF(OR(M23&gt;=4,I23&lt;=-8%),"防守",IF(OR(M23&gt;=2,I23&lt;=-5%),"警戒","正常")))</f>
        <v/>
      </c>
      <c r="U22" s="5" t="str">
        <f aca="false">IF($A23="","",IF(AND(L23&gt;=3,M23&lt;=2,T23&lt;&gt;"防守"),"是","否"))</f>
        <v/>
      </c>
      <c r="V22" s="5" t="str">
        <f aca="false">IF($A23="","",IF(AND(E23&lt;N23,R23&lt;S23,M23&lt;=2,I23&gt;-15%),"是","否"))</f>
        <v/>
      </c>
      <c r="W22" s="5" t="str">
        <f aca="false">IF($A23="","",IF(OR(M23&gt;=3,I23&lt;=-15%),"是","否"))</f>
        <v/>
      </c>
      <c r="X22" s="18" t="str">
        <f aca="false">IF($A23="","",IFERROR(maxifs(候选池!$AB:$AB,候选池!$A:$A,$A23),0))</f>
        <v/>
      </c>
      <c r="Y22" s="18" t="str">
        <f aca="false">IF($A23="","",IF(OR(M23&gt;=4,I23&lt;=-8%),MAX(0,B23*60%-C23),IF(AND(ISNUMBER(AD23),B23&gt;AD23),IF(B23&lt;30000,0,IF(B23&lt;100000,MAX(0,(B23-AD23)*0.2),MAX(0,(B23-AD23)*0.3))),0)))</f>
        <v/>
      </c>
      <c r="Z22" s="9"/>
      <c r="AA22" s="5" t="str">
        <f aca="false">IF($A23="","",IF($AA$2&lt;&gt;"",$AA$2,""))</f>
        <v/>
      </c>
      <c r="AB22" s="9" t="str">
        <f aca="false">IF($A23="","",IF(B23&lt;30000,0.03,IF(B23&lt;100000,0.02,0.015)))</f>
        <v/>
      </c>
      <c r="AC22" s="21" t="str">
        <f aca="false">IF($A23="","",IFERROR(DATEDIF($A$2,$A23,"m"),0))</f>
        <v/>
      </c>
      <c r="AD22" s="18" t="str">
        <f aca="false">IF($A23="","",IF(OR(AA23="",AB23="",AC23=""),"",AA23*POWER(1+AB23,AC23)))</f>
        <v/>
      </c>
      <c r="AE22" s="29" t="str">
        <f aca="false">IF($A23="","",IF(OR(AD23="",AD23=0),"",B23/AD23-1))</f>
        <v/>
      </c>
      <c r="AG22" s="1" t="str">
        <f aca="false">IF($A23="","",IF(B23&lt;30000,"婴儿",IF(B23&lt;100000,"成长","成熟")))</f>
        <v/>
      </c>
      <c r="AH22" s="24"/>
      <c r="AJ22" s="24"/>
      <c r="AK22" s="24"/>
      <c r="AM22" s="24"/>
      <c r="AP22" s="15"/>
      <c r="AQ22" s="25" t="str">
        <f aca="false">IF($A23="","",B23-$AA$2-SUM($F$2:F23))</f>
        <v/>
      </c>
      <c r="AR22" s="1" t="str">
        <f aca="false">IF($A22="","",30000)</f>
        <v/>
      </c>
      <c r="AS22" s="1" t="str">
        <f aca="false">IF($A22="","",AR22-B22)</f>
        <v/>
      </c>
      <c r="AT22" s="1" t="str">
        <f aca="false">IF($A22="","",IFERROR(B22/AR22,0))</f>
        <v/>
      </c>
      <c r="AU22" s="1" t="str">
        <f aca="false">IF($A22="","",IFERROR(B22*O22,0))</f>
        <v/>
      </c>
      <c r="AV22" s="1" t="str">
        <f aca="false">IF($A22="","",IFERROR(C22/B22,0))</f>
        <v/>
      </c>
      <c r="AW22" s="1" t="str">
        <f aca="false">IF($A22="","",MAX(0,R22-S22))</f>
        <v/>
      </c>
      <c r="AX22" s="1" t="str">
        <f aca="false">IF($A22="","",IF(AW22&gt;0,"优先降持仓数",IF(C22&lt;=0,"现金不足","允许评估")))</f>
        <v/>
      </c>
      <c r="AY22" s="1" t="str">
        <f aca="false">IF($A22="","",IF(B22&lt;30000,"婴儿阶段: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6"/>
      <c r="B23" s="17"/>
      <c r="C23" s="17"/>
      <c r="D23" s="18" t="str">
        <f aca="false">IF($A24="","",SUMIFS(持仓表!$J:$J,持仓表!$A:$A,$A24))</f>
        <v/>
      </c>
      <c r="E23" s="19" t="n">
        <f aca="false">IFERROR(D24/B24,0)</f>
        <v>0</v>
      </c>
      <c r="F23" s="17"/>
      <c r="G23" s="18" t="str">
        <f aca="false">IF($B24="","",MAX($B$2:B24))</f>
        <v/>
      </c>
      <c r="H23" s="19" t="n">
        <f aca="false">IFERROR((B24-F24)/F24,0)</f>
        <v>0</v>
      </c>
      <c r="I23" s="19" t="n">
        <f aca="false">IFERROR((B24-G24)/G24,0)</f>
        <v>0</v>
      </c>
      <c r="J23" s="6"/>
      <c r="K23" s="13"/>
      <c r="L23" s="20"/>
      <c r="M23" s="20"/>
      <c r="N23" s="19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23" s="19" t="str">
        <f aca="false">IF($B24="","",IF(B24&lt;30000,35%,IF(B24&lt;50000,30%,IF(B24&lt;100000,25%,20%))))</f>
        <v/>
      </c>
      <c r="P23" s="21" t="str">
        <f aca="false">IF($A24="","",COUNTIFS(持仓表!$A:$A,$A24,持仓表!$G:$G,"&gt;0"))</f>
        <v/>
      </c>
      <c r="Q23" s="21" t="str">
        <f aca="false">IF($A24="","",COUNTIFS(持仓表!$A:$A,$A24,持仓表!$D:$D,"是",持仓表!$G:$G,"&gt;0"))</f>
        <v/>
      </c>
      <c r="R23" s="21" t="str">
        <f aca="false">IF($A24="","",MAX(0,P24-Q24))</f>
        <v/>
      </c>
      <c r="S23" s="21" t="str">
        <f aca="false">IF($B24="","",IF(B24&lt;50000,3,IF(B24&lt;100000,4,5)))</f>
        <v/>
      </c>
      <c r="T23" s="5" t="str">
        <f aca="false">IF($A24="","",IF(OR(M24&gt;=4,I24&lt;=-8%),"防守",IF(OR(M24&gt;=2,I24&lt;=-5%),"警戒","正常")))</f>
        <v/>
      </c>
      <c r="U23" s="5" t="str">
        <f aca="false">IF($A24="","",IF(AND(L24&gt;=3,M24&lt;=2,T24&lt;&gt;"防守"),"是","否"))</f>
        <v/>
      </c>
      <c r="V23" s="5" t="str">
        <f aca="false">IF($A24="","",IF(AND(E24&lt;N24,R24&lt;S24,M24&lt;=2,I24&gt;-15%),"是","否"))</f>
        <v/>
      </c>
      <c r="W23" s="5" t="str">
        <f aca="false">IF($A24="","",IF(OR(M24&gt;=3,I24&lt;=-15%),"是","否"))</f>
        <v/>
      </c>
      <c r="X23" s="18" t="str">
        <f aca="false">IF($A24="","",IFERROR(maxifs(候选池!$AB:$AB,候选池!$A:$A,$A24),0))</f>
        <v/>
      </c>
      <c r="Y23" s="18" t="str">
        <f aca="false">IF($A24="","",IF(OR(M24&gt;=4,I24&lt;=-8%),MAX(0,B24*60%-C24),IF(AND(ISNUMBER(AD24),B24&gt;AD24),IF(B24&lt;30000,0,IF(B24&lt;100000,MAX(0,(B24-AD24)*0.2),MAX(0,(B24-AD24)*0.3))),0)))</f>
        <v/>
      </c>
      <c r="Z23" s="6"/>
      <c r="AA23" s="5" t="str">
        <f aca="false">IF($A24="","",IF($AA$2&lt;&gt;"",$AA$2,""))</f>
        <v/>
      </c>
      <c r="AB23" s="6" t="str">
        <f aca="false">IF($A24="","",IF(B24&lt;30000,0.03,IF(B24&lt;100000,0.02,0.015)))</f>
        <v/>
      </c>
      <c r="AC23" s="21" t="str">
        <f aca="false">IF($A24="","",IFERROR(DATEDIF($A$2,$A24,"m"),0))</f>
        <v/>
      </c>
      <c r="AD23" s="18" t="str">
        <f aca="false">IF($A24="","",IF(OR(AA24="",AB24="",AC24=""),"",AA24*POWER(1+AB24,AC24)))</f>
        <v/>
      </c>
      <c r="AE23" s="23" t="str">
        <f aca="false">IF($A24="","",IF(OR(AD24="",AD24=0),"",B24/AD24-1))</f>
        <v/>
      </c>
      <c r="AG23" s="1" t="str">
        <f aca="false">IF($A24="","",IF(B24&lt;30000,"婴儿",IF(B24&lt;100000,"成长","成熟")))</f>
        <v/>
      </c>
      <c r="AH23" s="24"/>
      <c r="AJ23" s="24"/>
      <c r="AK23" s="24"/>
      <c r="AM23" s="24"/>
      <c r="AP23" s="15"/>
      <c r="AQ23" s="25" t="str">
        <f aca="false">IF($A24="","",B24-$AA$2-SUM($F$2:F24))</f>
        <v/>
      </c>
      <c r="AR23" s="1" t="str">
        <f aca="false">IF($A23="","",30000)</f>
        <v/>
      </c>
      <c r="AS23" s="1" t="str">
        <f aca="false">IF($A23="","",AR23-B23)</f>
        <v/>
      </c>
      <c r="AT23" s="1" t="str">
        <f aca="false">IF($A23="","",IFERROR(B23/AR23,0))</f>
        <v/>
      </c>
      <c r="AU23" s="1" t="str">
        <f aca="false">IF($A23="","",IFERROR(B23*O23,0))</f>
        <v/>
      </c>
      <c r="AV23" s="1" t="str">
        <f aca="false">IF($A23="","",IFERROR(C23/B23,0))</f>
        <v/>
      </c>
      <c r="AW23" s="1" t="str">
        <f aca="false">IF($A23="","",MAX(0,R23-S23))</f>
        <v/>
      </c>
      <c r="AX23" s="1" t="str">
        <f aca="false">IF($A23="","",IF(AW23&gt;0,"优先降持仓数",IF(C23&lt;=0,"现金不足","允许评估")))</f>
        <v/>
      </c>
      <c r="AY23" s="1" t="str">
        <f aca="false">IF($A23="","",IF(B23&lt;30000,"婴儿阶段: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9"/>
      <c r="B24" s="26"/>
      <c r="C24" s="26"/>
      <c r="D24" s="18" t="str">
        <f aca="false">IF($A25="","",SUMIFS(持仓表!$J:$J,持仓表!$A:$A,$A25))</f>
        <v/>
      </c>
      <c r="E24" s="19" t="n">
        <f aca="false">IFERROR(D25/B25,0)</f>
        <v>0</v>
      </c>
      <c r="F24" s="26"/>
      <c r="G24" s="18" t="str">
        <f aca="false">IF($B25="","",MAX($B$2:B25))</f>
        <v/>
      </c>
      <c r="H24" s="19" t="n">
        <f aca="false">IFERROR((B25-F25)/F25,0)</f>
        <v>0</v>
      </c>
      <c r="I24" s="19" t="n">
        <f aca="false">IFERROR((B25-G25)/G25,0)</f>
        <v>0</v>
      </c>
      <c r="J24" s="9"/>
      <c r="K24" s="14"/>
      <c r="L24" s="27"/>
      <c r="M24" s="27"/>
      <c r="N24" s="19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4" s="19" t="str">
        <f aca="false">IF($B25="","",IF(B25&lt;30000,35%,IF(B25&lt;50000,30%,IF(B25&lt;100000,25%,20%))))</f>
        <v/>
      </c>
      <c r="P24" s="21" t="str">
        <f aca="false">IF($A25="","",COUNTIFS(持仓表!$A:$A,$A25,持仓表!$G:$G,"&gt;0"))</f>
        <v/>
      </c>
      <c r="Q24" s="21" t="str">
        <f aca="false">IF($A25="","",COUNTIFS(持仓表!$A:$A,$A25,持仓表!$D:$D,"是",持仓表!$G:$G,"&gt;0"))</f>
        <v/>
      </c>
      <c r="R24" s="21" t="str">
        <f aca="false">IF($A25="","",MAX(0,P25-Q25))</f>
        <v/>
      </c>
      <c r="S24" s="21" t="str">
        <f aca="false">IF($B25="","",IF(B25&lt;50000,3,IF(B25&lt;100000,4,5)))</f>
        <v/>
      </c>
      <c r="T24" s="5" t="str">
        <f aca="false">IF($A25="","",IF(OR(M25&gt;=4,I25&lt;=-8%),"防守",IF(OR(M25&gt;=2,I25&lt;=-5%),"警戒","正常")))</f>
        <v/>
      </c>
      <c r="U24" s="5" t="str">
        <f aca="false">IF($A25="","",IF(AND(L25&gt;=3,M25&lt;=2,T25&lt;&gt;"防守"),"是","否"))</f>
        <v/>
      </c>
      <c r="V24" s="5" t="str">
        <f aca="false">IF($A25="","",IF(AND(E25&lt;N25,R25&lt;S25,M25&lt;=2,I25&gt;-15%),"是","否"))</f>
        <v/>
      </c>
      <c r="W24" s="5" t="str">
        <f aca="false">IF($A25="","",IF(OR(M25&gt;=3,I25&lt;=-15%),"是","否"))</f>
        <v/>
      </c>
      <c r="X24" s="18" t="str">
        <f aca="false">IF($A25="","",IFERROR(maxifs(候选池!$AB:$AB,候选池!$A:$A,$A25),0))</f>
        <v/>
      </c>
      <c r="Y24" s="18" t="str">
        <f aca="false">IF($A25="","",IF(OR(M25&gt;=4,I25&lt;=-8%),MAX(0,B25*60%-C25),IF(AND(ISNUMBER(AD25),B25&gt;AD25),IF(B25&lt;30000,0,IF(B25&lt;100000,MAX(0,(B25-AD25)*0.2),MAX(0,(B25-AD25)*0.3))),0)))</f>
        <v/>
      </c>
      <c r="Z24" s="9"/>
      <c r="AA24" s="5" t="str">
        <f aca="false">IF($A25="","",IF($AA$2&lt;&gt;"",$AA$2,""))</f>
        <v/>
      </c>
      <c r="AB24" s="9" t="str">
        <f aca="false">IF($A25="","",IF(B25&lt;30000,0.03,IF(B25&lt;100000,0.02,0.015)))</f>
        <v/>
      </c>
      <c r="AC24" s="21" t="str">
        <f aca="false">IF($A25="","",IFERROR(DATEDIF($A$2,$A25,"m"),0))</f>
        <v/>
      </c>
      <c r="AD24" s="18" t="str">
        <f aca="false">IF($A25="","",IF(OR(AA25="",AB25="",AC25=""),"",AA25*POWER(1+AB25,AC25)))</f>
        <v/>
      </c>
      <c r="AE24" s="29" t="str">
        <f aca="false">IF($A25="","",IF(OR(AD25="",AD25=0),"",B25/AD25-1))</f>
        <v/>
      </c>
      <c r="AG24" s="1" t="str">
        <f aca="false">IF($A25="","",IF(B25&lt;30000,"婴儿",IF(B25&lt;100000,"成长","成熟")))</f>
        <v/>
      </c>
      <c r="AH24" s="24"/>
      <c r="AJ24" s="24"/>
      <c r="AK24" s="24"/>
      <c r="AM24" s="24"/>
      <c r="AP24" s="15"/>
      <c r="AQ24" s="25" t="str">
        <f aca="false">IF($A25="","",B25-$AA$2-SUM($F$2:F25))</f>
        <v/>
      </c>
      <c r="AR24" s="1" t="str">
        <f aca="false">IF($A24="","",30000)</f>
        <v/>
      </c>
      <c r="AS24" s="1" t="str">
        <f aca="false">IF($A24="","",AR24-B24)</f>
        <v/>
      </c>
      <c r="AT24" s="1" t="str">
        <f aca="false">IF($A24="","",IFERROR(B24/AR24,0))</f>
        <v/>
      </c>
      <c r="AU24" s="1" t="str">
        <f aca="false">IF($A24="","",IFERROR(B24*O24,0))</f>
        <v/>
      </c>
      <c r="AV24" s="1" t="str">
        <f aca="false">IF($A24="","",IFERROR(C24/B24,0))</f>
        <v/>
      </c>
      <c r="AW24" s="1" t="str">
        <f aca="false">IF($A24="","",MAX(0,R24-S24))</f>
        <v/>
      </c>
      <c r="AX24" s="1" t="str">
        <f aca="false">IF($A24="","",IF(AW24&gt;0,"优先降持仓数",IF(C24&lt;=0,"现金不足","允许评估")))</f>
        <v/>
      </c>
      <c r="AY24" s="1" t="str">
        <f aca="false">IF($A24="","",IF(B24&lt;30000,"婴儿阶段: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6"/>
      <c r="B25" s="17"/>
      <c r="C25" s="17"/>
      <c r="D25" s="18" t="str">
        <f aca="false">IF($A26="","",SUMIFS(持仓表!$J:$J,持仓表!$A:$A,$A26))</f>
        <v/>
      </c>
      <c r="E25" s="19" t="n">
        <f aca="false">IFERROR(D26/B26,0)</f>
        <v>0</v>
      </c>
      <c r="F25" s="17"/>
      <c r="G25" s="18" t="str">
        <f aca="false">IF($B26="","",MAX($B$2:B26))</f>
        <v/>
      </c>
      <c r="H25" s="19" t="n">
        <f aca="false">IFERROR((B26-F26)/F26,0)</f>
        <v>0</v>
      </c>
      <c r="I25" s="19" t="n">
        <f aca="false">IFERROR((B26-G26)/G26,0)</f>
        <v>0</v>
      </c>
      <c r="J25" s="6"/>
      <c r="K25" s="13"/>
      <c r="L25" s="20"/>
      <c r="M25" s="20"/>
      <c r="N25" s="19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5" s="19" t="str">
        <f aca="false">IF($B26="","",IF(B26&lt;30000,35%,IF(B26&lt;50000,30%,IF(B26&lt;100000,25%,20%))))</f>
        <v/>
      </c>
      <c r="P25" s="21" t="str">
        <f aca="false">IF($A26="","",COUNTIFS(持仓表!$A:$A,$A26,持仓表!$G:$G,"&gt;0"))</f>
        <v/>
      </c>
      <c r="Q25" s="21" t="str">
        <f aca="false">IF($A26="","",COUNTIFS(持仓表!$A:$A,$A26,持仓表!$D:$D,"是",持仓表!$G:$G,"&gt;0"))</f>
        <v/>
      </c>
      <c r="R25" s="21" t="str">
        <f aca="false">IF($A26="","",MAX(0,P26-Q26))</f>
        <v/>
      </c>
      <c r="S25" s="21" t="str">
        <f aca="false">IF($B26="","",IF(B26&lt;50000,3,IF(B26&lt;100000,4,5)))</f>
        <v/>
      </c>
      <c r="T25" s="5" t="str">
        <f aca="false">IF($A26="","",IF(OR(M26&gt;=4,I26&lt;=-8%),"防守",IF(OR(M26&gt;=2,I26&lt;=-5%),"警戒","正常")))</f>
        <v/>
      </c>
      <c r="U25" s="5" t="str">
        <f aca="false">IF($A26="","",IF(AND(L26&gt;=3,M26&lt;=2,T26&lt;&gt;"防守"),"是","否"))</f>
        <v/>
      </c>
      <c r="V25" s="5" t="str">
        <f aca="false">IF($A26="","",IF(AND(E26&lt;N26,R26&lt;S26,M26&lt;=2,I26&gt;-15%),"是","否"))</f>
        <v/>
      </c>
      <c r="W25" s="5" t="str">
        <f aca="false">IF($A26="","",IF(OR(M26&gt;=3,I26&lt;=-15%),"是","否"))</f>
        <v/>
      </c>
      <c r="X25" s="18" t="str">
        <f aca="false">IF($A26="","",IFERROR(maxifs(候选池!$AB:$AB,候选池!$A:$A,$A26),0))</f>
        <v/>
      </c>
      <c r="Y25" s="18" t="str">
        <f aca="false">IF($A26="","",IF(OR(M26&gt;=4,I26&lt;=-8%),MAX(0,B26*60%-C26),IF(AND(ISNUMBER(AD26),B26&gt;AD26),IF(B26&lt;30000,0,IF(B26&lt;100000,MAX(0,(B26-AD26)*0.2),MAX(0,(B26-AD26)*0.3))),0)))</f>
        <v/>
      </c>
      <c r="Z25" s="6"/>
      <c r="AA25" s="5" t="str">
        <f aca="false">IF($A26="","",IF($AA$2&lt;&gt;"",$AA$2,""))</f>
        <v/>
      </c>
      <c r="AB25" s="6" t="str">
        <f aca="false">IF($A26="","",IF(B26&lt;30000,0.03,IF(B26&lt;100000,0.02,0.015)))</f>
        <v/>
      </c>
      <c r="AC25" s="21" t="str">
        <f aca="false">IF($A26="","",IFERROR(DATEDIF($A$2,$A26,"m"),0))</f>
        <v/>
      </c>
      <c r="AD25" s="18" t="str">
        <f aca="false">IF($A26="","",IF(OR(AA26="",AB26="",AC26=""),"",AA26*POWER(1+AB26,AC26)))</f>
        <v/>
      </c>
      <c r="AE25" s="23" t="str">
        <f aca="false">IF($A26="","",IF(OR(AD26="",AD26=0),"",B26/AD26-1))</f>
        <v/>
      </c>
      <c r="AG25" s="1" t="str">
        <f aca="false">IF($A26="","",IF(B26&lt;30000,"婴儿",IF(B26&lt;100000,"成长","成熟")))</f>
        <v/>
      </c>
      <c r="AH25" s="24"/>
      <c r="AJ25" s="24"/>
      <c r="AK25" s="24"/>
      <c r="AM25" s="24"/>
      <c r="AP25" s="15"/>
      <c r="AQ25" s="25" t="str">
        <f aca="false">IF($A26="","",B26-$AA$2-SUM($F$2:F26))</f>
        <v/>
      </c>
      <c r="AR25" s="1" t="str">
        <f aca="false">IF($A25="","",30000)</f>
        <v/>
      </c>
      <c r="AS25" s="1" t="str">
        <f aca="false">IF($A25="","",AR25-B25)</f>
        <v/>
      </c>
      <c r="AT25" s="1" t="str">
        <f aca="false">IF($A25="","",IFERROR(B25/AR25,0))</f>
        <v/>
      </c>
      <c r="AU25" s="1" t="str">
        <f aca="false">IF($A25="","",IFERROR(B25*O25,0))</f>
        <v/>
      </c>
      <c r="AV25" s="1" t="str">
        <f aca="false">IF($A25="","",IFERROR(C25/B25,0))</f>
        <v/>
      </c>
      <c r="AW25" s="1" t="str">
        <f aca="false">IF($A25="","",MAX(0,R25-S25))</f>
        <v/>
      </c>
      <c r="AX25" s="1" t="str">
        <f aca="false">IF($A25="","",IF(AW25&gt;0,"优先降持仓数",IF(C25&lt;=0,"现金不足","允许评估")))</f>
        <v/>
      </c>
      <c r="AY25" s="1" t="str">
        <f aca="false">IF($A25="","",IF(B25&lt;30000,"婴儿阶段: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9"/>
      <c r="B26" s="26"/>
      <c r="C26" s="26"/>
      <c r="D26" s="18" t="str">
        <f aca="false">IF($A27="","",SUMIFS(持仓表!$J:$J,持仓表!$A:$A,$A27))</f>
        <v/>
      </c>
      <c r="E26" s="19" t="n">
        <f aca="false">IFERROR(D27/B27,0)</f>
        <v>0</v>
      </c>
      <c r="F26" s="26"/>
      <c r="G26" s="18" t="str">
        <f aca="false">IF($B27="","",MAX($B$2:B27))</f>
        <v/>
      </c>
      <c r="H26" s="19" t="n">
        <f aca="false">IFERROR((B27-F27)/F27,0)</f>
        <v>0</v>
      </c>
      <c r="I26" s="19" t="n">
        <f aca="false">IFERROR((B27-G27)/G27,0)</f>
        <v>0</v>
      </c>
      <c r="J26" s="9"/>
      <c r="K26" s="14"/>
      <c r="L26" s="27"/>
      <c r="M26" s="27"/>
      <c r="N26" s="19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6" s="19" t="str">
        <f aca="false">IF($B27="","",IF(B27&lt;30000,35%,IF(B27&lt;50000,30%,IF(B27&lt;100000,25%,20%))))</f>
        <v/>
      </c>
      <c r="P26" s="21" t="str">
        <f aca="false">IF($A27="","",COUNTIFS(持仓表!$A:$A,$A27,持仓表!$G:$G,"&gt;0"))</f>
        <v/>
      </c>
      <c r="Q26" s="21" t="str">
        <f aca="false">IF($A27="","",COUNTIFS(持仓表!$A:$A,$A27,持仓表!$D:$D,"是",持仓表!$G:$G,"&gt;0"))</f>
        <v/>
      </c>
      <c r="R26" s="21" t="str">
        <f aca="false">IF($A27="","",MAX(0,P27-Q27))</f>
        <v/>
      </c>
      <c r="S26" s="21" t="str">
        <f aca="false">IF($B27="","",IF(B27&lt;50000,3,IF(B27&lt;100000,4,5)))</f>
        <v/>
      </c>
      <c r="T26" s="5" t="str">
        <f aca="false">IF($A27="","",IF(OR(M27&gt;=4,I27&lt;=-8%),"防守",IF(OR(M27&gt;=2,I27&lt;=-5%),"警戒","正常")))</f>
        <v/>
      </c>
      <c r="U26" s="5" t="str">
        <f aca="false">IF($A27="","",IF(AND(L27&gt;=3,M27&lt;=2,T27&lt;&gt;"防守"),"是","否"))</f>
        <v/>
      </c>
      <c r="V26" s="5" t="str">
        <f aca="false">IF($A27="","",IF(AND(E27&lt;N27,R27&lt;S27,M27&lt;=2,I27&gt;-15%),"是","否"))</f>
        <v/>
      </c>
      <c r="W26" s="5" t="str">
        <f aca="false">IF($A27="","",IF(OR(M27&gt;=3,I27&lt;=-15%),"是","否"))</f>
        <v/>
      </c>
      <c r="X26" s="18" t="str">
        <f aca="false">IF($A27="","",IFERROR(maxifs(候选池!$AB:$AB,候选池!$A:$A,$A27),0))</f>
        <v/>
      </c>
      <c r="Y26" s="18" t="str">
        <f aca="false">IF($A27="","",IF(OR(M27&gt;=4,I27&lt;=-8%),MAX(0,B27*60%-C27),IF(AND(ISNUMBER(AD27),B27&gt;AD27),IF(B27&lt;30000,0,IF(B27&lt;100000,MAX(0,(B27-AD27)*0.2),MAX(0,(B27-AD27)*0.3))),0)))</f>
        <v/>
      </c>
      <c r="Z26" s="9"/>
      <c r="AA26" s="5" t="str">
        <f aca="false">IF($A27="","",IF($AA$2&lt;&gt;"",$AA$2,""))</f>
        <v/>
      </c>
      <c r="AB26" s="9" t="str">
        <f aca="false">IF($A27="","",IF(B27&lt;30000,0.03,IF(B27&lt;100000,0.02,0.015)))</f>
        <v/>
      </c>
      <c r="AC26" s="21" t="str">
        <f aca="false">IF($A27="","",IFERROR(DATEDIF($A$2,$A27,"m"),0))</f>
        <v/>
      </c>
      <c r="AD26" s="18" t="str">
        <f aca="false">IF($A27="","",IF(OR(AA27="",AB27="",AC27=""),"",AA27*POWER(1+AB27,AC27)))</f>
        <v/>
      </c>
      <c r="AE26" s="29" t="str">
        <f aca="false">IF($A27="","",IF(OR(AD27="",AD27=0),"",B27/AD27-1))</f>
        <v/>
      </c>
      <c r="AG26" s="1" t="str">
        <f aca="false">IF($A27="","",IF(B27&lt;30000,"婴儿",IF(B27&lt;100000,"成长","成熟")))</f>
        <v/>
      </c>
      <c r="AH26" s="24"/>
      <c r="AJ26" s="24"/>
      <c r="AK26" s="24"/>
      <c r="AM26" s="24"/>
      <c r="AP26" s="15"/>
      <c r="AQ26" s="25" t="str">
        <f aca="false">IF($A27="","",B27-$AA$2-SUM($F$2:F27))</f>
        <v/>
      </c>
      <c r="AR26" s="1" t="str">
        <f aca="false">IF($A26="","",30000)</f>
        <v/>
      </c>
      <c r="AS26" s="1" t="str">
        <f aca="false">IF($A26="","",AR26-B26)</f>
        <v/>
      </c>
      <c r="AT26" s="1" t="str">
        <f aca="false">IF($A26="","",IFERROR(B26/AR26,0))</f>
        <v/>
      </c>
      <c r="AU26" s="1" t="str">
        <f aca="false">IF($A26="","",IFERROR(B26*O26,0))</f>
        <v/>
      </c>
      <c r="AV26" s="1" t="str">
        <f aca="false">IF($A26="","",IFERROR(C26/B26,0))</f>
        <v/>
      </c>
      <c r="AW26" s="1" t="str">
        <f aca="false">IF($A26="","",MAX(0,R26-S26))</f>
        <v/>
      </c>
      <c r="AX26" s="1" t="str">
        <f aca="false">IF($A26="","",IF(AW26&gt;0,"优先降持仓数",IF(C26&lt;=0,"现金不足","允许评估")))</f>
        <v/>
      </c>
      <c r="AY26" s="1" t="str">
        <f aca="false">IF($A26="","",IF(B26&lt;30000,"婴儿阶段: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6"/>
      <c r="B27" s="17"/>
      <c r="C27" s="17"/>
      <c r="D27" s="18" t="str">
        <f aca="false">IF($A28="","",SUMIFS(持仓表!$J:$J,持仓表!$A:$A,$A28))</f>
        <v/>
      </c>
      <c r="E27" s="19" t="n">
        <f aca="false">IFERROR(D28/B28,0)</f>
        <v>0</v>
      </c>
      <c r="F27" s="17"/>
      <c r="G27" s="18" t="str">
        <f aca="false">IF($B28="","",MAX($B$2:B28))</f>
        <v/>
      </c>
      <c r="H27" s="19" t="n">
        <f aca="false">IFERROR((B28-F28)/F28,0)</f>
        <v>0</v>
      </c>
      <c r="I27" s="19" t="n">
        <f aca="false">IFERROR((B28-G28)/G28,0)</f>
        <v>0</v>
      </c>
      <c r="J27" s="6"/>
      <c r="K27" s="13"/>
      <c r="L27" s="20"/>
      <c r="M27" s="20"/>
      <c r="N27" s="19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7" s="19" t="str">
        <f aca="false">IF($B28="","",IF(B28&lt;30000,35%,IF(B28&lt;50000,30%,IF(B28&lt;100000,25%,20%))))</f>
        <v/>
      </c>
      <c r="P27" s="21" t="str">
        <f aca="false">IF($A28="","",COUNTIFS(持仓表!$A:$A,$A28,持仓表!$G:$G,"&gt;0"))</f>
        <v/>
      </c>
      <c r="Q27" s="21" t="str">
        <f aca="false">IF($A28="","",COUNTIFS(持仓表!$A:$A,$A28,持仓表!$D:$D,"是",持仓表!$G:$G,"&gt;0"))</f>
        <v/>
      </c>
      <c r="R27" s="21" t="str">
        <f aca="false">IF($A28="","",MAX(0,P28-Q28))</f>
        <v/>
      </c>
      <c r="S27" s="21" t="str">
        <f aca="false">IF($B28="","",IF(B28&lt;50000,3,IF(B28&lt;100000,4,5)))</f>
        <v/>
      </c>
      <c r="T27" s="5" t="str">
        <f aca="false">IF($A28="","",IF(OR(M28&gt;=4,I28&lt;=-8%),"防守",IF(OR(M28&gt;=2,I28&lt;=-5%),"警戒","正常")))</f>
        <v/>
      </c>
      <c r="U27" s="5" t="str">
        <f aca="false">IF($A28="","",IF(AND(L28&gt;=3,M28&lt;=2,T28&lt;&gt;"防守"),"是","否"))</f>
        <v/>
      </c>
      <c r="V27" s="5" t="str">
        <f aca="false">IF($A28="","",IF(AND(E28&lt;N28,R28&lt;S28,M28&lt;=2,I28&gt;-15%),"是","否"))</f>
        <v/>
      </c>
      <c r="W27" s="5" t="str">
        <f aca="false">IF($A28="","",IF(OR(M28&gt;=3,I28&lt;=-15%),"是","否"))</f>
        <v/>
      </c>
      <c r="X27" s="18" t="str">
        <f aca="false">IF($A28="","",IFERROR(maxifs(候选池!$AB:$AB,候选池!$A:$A,$A28),0))</f>
        <v/>
      </c>
      <c r="Y27" s="18" t="str">
        <f aca="false">IF($A28="","",IF(OR(M28&gt;=4,I28&lt;=-8%),MAX(0,B28*60%-C28),IF(AND(ISNUMBER(AD28),B28&gt;AD28),IF(B28&lt;30000,0,IF(B28&lt;100000,MAX(0,(B28-AD28)*0.2),MAX(0,(B28-AD28)*0.3))),0)))</f>
        <v/>
      </c>
      <c r="Z27" s="6"/>
      <c r="AA27" s="5" t="str">
        <f aca="false">IF($A28="","",IF($AA$2&lt;&gt;"",$AA$2,""))</f>
        <v/>
      </c>
      <c r="AB27" s="6" t="str">
        <f aca="false">IF($A28="","",IF(B28&lt;30000,0.03,IF(B28&lt;100000,0.02,0.015)))</f>
        <v/>
      </c>
      <c r="AC27" s="21" t="str">
        <f aca="false">IF($A28="","",IFERROR(DATEDIF($A$2,$A28,"m"),0))</f>
        <v/>
      </c>
      <c r="AD27" s="18" t="str">
        <f aca="false">IF($A28="","",IF(OR(AA28="",AB28="",AC28=""),"",AA28*POWER(1+AB28,AC28)))</f>
        <v/>
      </c>
      <c r="AE27" s="23" t="str">
        <f aca="false">IF($A28="","",IF(OR(AD28="",AD28=0),"",B28/AD28-1))</f>
        <v/>
      </c>
      <c r="AG27" s="1" t="str">
        <f aca="false">IF($A28="","",IF(B28&lt;30000,"婴儿",IF(B28&lt;100000,"成长","成熟")))</f>
        <v/>
      </c>
      <c r="AH27" s="24"/>
      <c r="AJ27" s="24"/>
      <c r="AK27" s="24"/>
      <c r="AM27" s="24"/>
      <c r="AP27" s="15"/>
      <c r="AQ27" s="25" t="str">
        <f aca="false">IF($A28="","",B28-$AA$2-SUM($F$2:F28))</f>
        <v/>
      </c>
      <c r="AR27" s="1" t="str">
        <f aca="false">IF($A27="","",30000)</f>
        <v/>
      </c>
      <c r="AS27" s="1" t="str">
        <f aca="false">IF($A27="","",AR27-B27)</f>
        <v/>
      </c>
      <c r="AT27" s="1" t="str">
        <f aca="false">IF($A27="","",IFERROR(B27/AR27,0))</f>
        <v/>
      </c>
      <c r="AU27" s="1" t="str">
        <f aca="false">IF($A27="","",IFERROR(B27*O27,0))</f>
        <v/>
      </c>
      <c r="AV27" s="1" t="str">
        <f aca="false">IF($A27="","",IFERROR(C27/B27,0))</f>
        <v/>
      </c>
      <c r="AW27" s="1" t="str">
        <f aca="false">IF($A27="","",MAX(0,R27-S27))</f>
        <v/>
      </c>
      <c r="AX27" s="1" t="str">
        <f aca="false">IF($A27="","",IF(AW27&gt;0,"优先降持仓数",IF(C27&lt;=0,"现金不足","允许评估")))</f>
        <v/>
      </c>
      <c r="AY27" s="1" t="str">
        <f aca="false">IF($A27="","",IF(B27&lt;30000,"婴儿阶段: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9"/>
      <c r="B28" s="26"/>
      <c r="C28" s="26"/>
      <c r="D28" s="18" t="str">
        <f aca="false">IF($A29="","",SUMIFS(持仓表!$J:$J,持仓表!$A:$A,$A29))</f>
        <v/>
      </c>
      <c r="E28" s="19" t="n">
        <f aca="false">IFERROR(D29/B29,0)</f>
        <v>0</v>
      </c>
      <c r="F28" s="26"/>
      <c r="G28" s="18" t="str">
        <f aca="false">IF($B29="","",MAX($B$2:B29))</f>
        <v/>
      </c>
      <c r="H28" s="19" t="n">
        <f aca="false">IFERROR((B29-F29)/F29,0)</f>
        <v>0</v>
      </c>
      <c r="I28" s="19" t="n">
        <f aca="false">IFERROR((B29-G29)/G29,0)</f>
        <v>0</v>
      </c>
      <c r="J28" s="9"/>
      <c r="K28" s="14"/>
      <c r="L28" s="27"/>
      <c r="M28" s="27"/>
      <c r="N28" s="19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8" s="19" t="str">
        <f aca="false">IF($B29="","",IF(B29&lt;30000,35%,IF(B29&lt;50000,30%,IF(B29&lt;100000,25%,20%))))</f>
        <v/>
      </c>
      <c r="P28" s="21" t="str">
        <f aca="false">IF($A29="","",COUNTIFS(持仓表!$A:$A,$A29,持仓表!$G:$G,"&gt;0"))</f>
        <v/>
      </c>
      <c r="Q28" s="21" t="str">
        <f aca="false">IF($A29="","",COUNTIFS(持仓表!$A:$A,$A29,持仓表!$D:$D,"是",持仓表!$G:$G,"&gt;0"))</f>
        <v/>
      </c>
      <c r="R28" s="21" t="str">
        <f aca="false">IF($A29="","",MAX(0,P29-Q29))</f>
        <v/>
      </c>
      <c r="S28" s="21" t="str">
        <f aca="false">IF($B29="","",IF(B29&lt;50000,3,IF(B29&lt;100000,4,5)))</f>
        <v/>
      </c>
      <c r="T28" s="5" t="str">
        <f aca="false">IF($A29="","",IF(OR(M29&gt;=4,I29&lt;=-8%),"防守",IF(OR(M29&gt;=2,I29&lt;=-5%),"警戒","正常")))</f>
        <v/>
      </c>
      <c r="U28" s="5" t="str">
        <f aca="false">IF($A29="","",IF(AND(L29&gt;=3,M29&lt;=2,T29&lt;&gt;"防守"),"是","否"))</f>
        <v/>
      </c>
      <c r="V28" s="5" t="str">
        <f aca="false">IF($A29="","",IF(AND(E29&lt;N29,R29&lt;S29,M29&lt;=2,I29&gt;-15%),"是","否"))</f>
        <v/>
      </c>
      <c r="W28" s="5" t="str">
        <f aca="false">IF($A29="","",IF(OR(M29&gt;=3,I29&lt;=-15%),"是","否"))</f>
        <v/>
      </c>
      <c r="X28" s="18" t="str">
        <f aca="false">IF($A29="","",IFERROR(maxifs(候选池!$AB:$AB,候选池!$A:$A,$A29),0))</f>
        <v/>
      </c>
      <c r="Y28" s="18" t="str">
        <f aca="false">IF($A29="","",IF(OR(M29&gt;=4,I29&lt;=-8%),MAX(0,B29*60%-C29),IF(AND(ISNUMBER(AD29),B29&gt;AD29),IF(B29&lt;30000,0,IF(B29&lt;100000,MAX(0,(B29-AD29)*0.2),MAX(0,(B29-AD29)*0.3))),0)))</f>
        <v/>
      </c>
      <c r="Z28" s="9"/>
      <c r="AA28" s="5" t="str">
        <f aca="false">IF($A29="","",IF($AA$2&lt;&gt;"",$AA$2,""))</f>
        <v/>
      </c>
      <c r="AB28" s="9" t="str">
        <f aca="false">IF($A29="","",IF(B29&lt;30000,0.03,IF(B29&lt;100000,0.02,0.015)))</f>
        <v/>
      </c>
      <c r="AC28" s="21" t="str">
        <f aca="false">IF($A29="","",IFERROR(DATEDIF($A$2,$A29,"m"),0))</f>
        <v/>
      </c>
      <c r="AD28" s="18" t="str">
        <f aca="false">IF($A29="","",IF(OR(AA29="",AB29="",AC29=""),"",AA29*POWER(1+AB29,AC29)))</f>
        <v/>
      </c>
      <c r="AE28" s="29" t="str">
        <f aca="false">IF($A29="","",IF(OR(AD29="",AD29=0),"",B29/AD29-1))</f>
        <v/>
      </c>
      <c r="AG28" s="1" t="str">
        <f aca="false">IF($A29="","",IF(B29&lt;30000,"婴儿",IF(B29&lt;100000,"成长","成熟")))</f>
        <v/>
      </c>
      <c r="AH28" s="24"/>
      <c r="AJ28" s="24"/>
      <c r="AK28" s="24"/>
      <c r="AM28" s="24"/>
      <c r="AP28" s="15"/>
      <c r="AQ28" s="25" t="str">
        <f aca="false">IF($A29="","",B29-$AA$2-SUM($F$2:F29))</f>
        <v/>
      </c>
      <c r="AR28" s="1" t="str">
        <f aca="false">IF($A28="","",30000)</f>
        <v/>
      </c>
      <c r="AS28" s="1" t="str">
        <f aca="false">IF($A28="","",AR28-B28)</f>
        <v/>
      </c>
      <c r="AT28" s="1" t="str">
        <f aca="false">IF($A28="","",IFERROR(B28/AR28,0))</f>
        <v/>
      </c>
      <c r="AU28" s="1" t="str">
        <f aca="false">IF($A28="","",IFERROR(B28*O28,0))</f>
        <v/>
      </c>
      <c r="AV28" s="1" t="str">
        <f aca="false">IF($A28="","",IFERROR(C28/B28,0))</f>
        <v/>
      </c>
      <c r="AW28" s="1" t="str">
        <f aca="false">IF($A28="","",MAX(0,R28-S28))</f>
        <v/>
      </c>
      <c r="AX28" s="1" t="str">
        <f aca="false">IF($A28="","",IF(AW28&gt;0,"优先降持仓数",IF(C28&lt;=0,"现金不足","允许评估")))</f>
        <v/>
      </c>
      <c r="AY28" s="1" t="str">
        <f aca="false">IF($A28="","",IF(B28&lt;30000,"婴儿阶段: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6"/>
      <c r="B29" s="17"/>
      <c r="C29" s="17"/>
      <c r="D29" s="18" t="str">
        <f aca="false">IF($A30="","",SUMIFS(持仓表!$J:$J,持仓表!$A:$A,$A30))</f>
        <v/>
      </c>
      <c r="E29" s="19" t="n">
        <f aca="false">IFERROR(D30/B30,0)</f>
        <v>0</v>
      </c>
      <c r="F29" s="17"/>
      <c r="G29" s="18" t="str">
        <f aca="false">IF($B30="","",MAX($B$2:B30))</f>
        <v/>
      </c>
      <c r="H29" s="19" t="n">
        <f aca="false">IFERROR((B30-F30)/F30,0)</f>
        <v>0</v>
      </c>
      <c r="I29" s="19" t="n">
        <f aca="false">IFERROR((B30-G30)/G30,0)</f>
        <v>0</v>
      </c>
      <c r="J29" s="6"/>
      <c r="K29" s="13"/>
      <c r="L29" s="20"/>
      <c r="M29" s="20"/>
      <c r="N29" s="19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9" s="19" t="str">
        <f aca="false">IF($B30="","",IF(B30&lt;30000,35%,IF(B30&lt;50000,30%,IF(B30&lt;100000,25%,20%))))</f>
        <v/>
      </c>
      <c r="P29" s="21" t="str">
        <f aca="false">IF($A30="","",COUNTIFS(持仓表!$A:$A,$A30,持仓表!$G:$G,"&gt;0"))</f>
        <v/>
      </c>
      <c r="Q29" s="21" t="str">
        <f aca="false">IF($A30="","",COUNTIFS(持仓表!$A:$A,$A30,持仓表!$D:$D,"是",持仓表!$G:$G,"&gt;0"))</f>
        <v/>
      </c>
      <c r="R29" s="21" t="str">
        <f aca="false">IF($A30="","",MAX(0,P30-Q30))</f>
        <v/>
      </c>
      <c r="S29" s="21" t="str">
        <f aca="false">IF($B30="","",IF(B30&lt;50000,3,IF(B30&lt;100000,4,5)))</f>
        <v/>
      </c>
      <c r="T29" s="5" t="str">
        <f aca="false">IF($A30="","",IF(OR(M30&gt;=4,I30&lt;=-8%),"防守",IF(OR(M30&gt;=2,I30&lt;=-5%),"警戒","正常")))</f>
        <v/>
      </c>
      <c r="U29" s="5" t="str">
        <f aca="false">IF($A30="","",IF(AND(L30&gt;=3,M30&lt;=2,T30&lt;&gt;"防守"),"是","否"))</f>
        <v/>
      </c>
      <c r="V29" s="5" t="str">
        <f aca="false">IF($A30="","",IF(AND(E30&lt;N30,R30&lt;S30,M30&lt;=2,I30&gt;-15%),"是","否"))</f>
        <v/>
      </c>
      <c r="W29" s="5" t="str">
        <f aca="false">IF($A30="","",IF(OR(M30&gt;=3,I30&lt;=-15%),"是","否"))</f>
        <v/>
      </c>
      <c r="X29" s="18" t="str">
        <f aca="false">IF($A30="","",IFERROR(maxifs(候选池!$AB:$AB,候选池!$A:$A,$A30),0))</f>
        <v/>
      </c>
      <c r="Y29" s="18" t="str">
        <f aca="false">IF($A30="","",IF(OR(M30&gt;=4,I30&lt;=-8%),MAX(0,B30*60%-C30),IF(AND(ISNUMBER(AD30),B30&gt;AD30),IF(B30&lt;30000,0,IF(B30&lt;100000,MAX(0,(B30-AD30)*0.2),MAX(0,(B30-AD30)*0.3))),0)))</f>
        <v/>
      </c>
      <c r="Z29" s="6"/>
      <c r="AA29" s="5" t="str">
        <f aca="false">IF($A30="","",IF($AA$2&lt;&gt;"",$AA$2,""))</f>
        <v/>
      </c>
      <c r="AB29" s="6" t="str">
        <f aca="false">IF($A30="","",IF(B30&lt;30000,0.03,IF(B30&lt;100000,0.02,0.015)))</f>
        <v/>
      </c>
      <c r="AC29" s="21" t="str">
        <f aca="false">IF($A30="","",IFERROR(DATEDIF($A$2,$A30,"m"),0))</f>
        <v/>
      </c>
      <c r="AD29" s="18" t="str">
        <f aca="false">IF($A30="","",IF(OR(AA30="",AB30="",AC30=""),"",AA30*POWER(1+AB30,AC30)))</f>
        <v/>
      </c>
      <c r="AE29" s="23" t="str">
        <f aca="false">IF($A30="","",IF(OR(AD30="",AD30=0),"",B30/AD30-1))</f>
        <v/>
      </c>
      <c r="AG29" s="1" t="str">
        <f aca="false">IF($A30="","",IF(B30&lt;30000,"婴儿",IF(B30&lt;100000,"成长","成熟")))</f>
        <v/>
      </c>
      <c r="AH29" s="24"/>
      <c r="AJ29" s="24"/>
      <c r="AK29" s="24"/>
      <c r="AM29" s="24"/>
      <c r="AP29" s="15"/>
      <c r="AQ29" s="25" t="str">
        <f aca="false">IF($A30="","",B30-$AA$2-SUM($F$2:F30))</f>
        <v/>
      </c>
      <c r="AR29" s="1" t="str">
        <f aca="false">IF($A29="","",30000)</f>
        <v/>
      </c>
      <c r="AS29" s="1" t="str">
        <f aca="false">IF($A29="","",AR29-B29)</f>
        <v/>
      </c>
      <c r="AT29" s="1" t="str">
        <f aca="false">IF($A29="","",IFERROR(B29/AR29,0))</f>
        <v/>
      </c>
      <c r="AU29" s="1" t="str">
        <f aca="false">IF($A29="","",IFERROR(B29*O29,0))</f>
        <v/>
      </c>
      <c r="AV29" s="1" t="str">
        <f aca="false">IF($A29="","",IFERROR(C29/B29,0))</f>
        <v/>
      </c>
      <c r="AW29" s="1" t="str">
        <f aca="false">IF($A29="","",MAX(0,R29-S29))</f>
        <v/>
      </c>
      <c r="AX29" s="1" t="str">
        <f aca="false">IF($A29="","",IF(AW29&gt;0,"优先降持仓数",IF(C29&lt;=0,"现金不足","允许评估")))</f>
        <v/>
      </c>
      <c r="AY29" s="1" t="str">
        <f aca="false">IF($A29="","",IF(B29&lt;30000,"婴儿阶段: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9"/>
      <c r="B30" s="26"/>
      <c r="C30" s="26"/>
      <c r="D30" s="18" t="str">
        <f aca="false">IF($A31="","",SUMIFS(持仓表!$J:$J,持仓表!$A:$A,$A31))</f>
        <v/>
      </c>
      <c r="E30" s="19" t="n">
        <f aca="false">IFERROR(D31/B31,0)</f>
        <v>0</v>
      </c>
      <c r="F30" s="26"/>
      <c r="G30" s="18" t="str">
        <f aca="false">IF($B31="","",MAX($B$2:B31))</f>
        <v/>
      </c>
      <c r="H30" s="19" t="n">
        <f aca="false">IFERROR((B31-F31)/F31,0)</f>
        <v>0</v>
      </c>
      <c r="I30" s="19" t="n">
        <f aca="false">IFERROR((B31-G31)/G31,0)</f>
        <v>0</v>
      </c>
      <c r="J30" s="9"/>
      <c r="K30" s="14"/>
      <c r="L30" s="27"/>
      <c r="M30" s="27"/>
      <c r="N30" s="19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30" s="19" t="str">
        <f aca="false">IF($B31="","",IF(B31&lt;30000,35%,IF(B31&lt;50000,30%,IF(B31&lt;100000,25%,20%))))</f>
        <v/>
      </c>
      <c r="P30" s="21" t="str">
        <f aca="false">IF($A31="","",COUNTIFS(持仓表!$A:$A,$A31,持仓表!$G:$G,"&gt;0"))</f>
        <v/>
      </c>
      <c r="Q30" s="21" t="str">
        <f aca="false">IF($A31="","",COUNTIFS(持仓表!$A:$A,$A31,持仓表!$D:$D,"是",持仓表!$G:$G,"&gt;0"))</f>
        <v/>
      </c>
      <c r="R30" s="21" t="str">
        <f aca="false">IF($A31="","",MAX(0,P31-Q31))</f>
        <v/>
      </c>
      <c r="S30" s="21" t="str">
        <f aca="false">IF($B31="","",IF(B31&lt;50000,3,IF(B31&lt;100000,4,5)))</f>
        <v/>
      </c>
      <c r="T30" s="5" t="str">
        <f aca="false">IF($A31="","",IF(OR(M31&gt;=4,I31&lt;=-8%),"防守",IF(OR(M31&gt;=2,I31&lt;=-5%),"警戒","正常")))</f>
        <v/>
      </c>
      <c r="U30" s="5" t="str">
        <f aca="false">IF($A31="","",IF(AND(L31&gt;=3,M31&lt;=2,T31&lt;&gt;"防守"),"是","否"))</f>
        <v/>
      </c>
      <c r="V30" s="5" t="str">
        <f aca="false">IF($A31="","",IF(AND(E31&lt;N31,R31&lt;S31,M31&lt;=2,I31&gt;-15%),"是","否"))</f>
        <v/>
      </c>
      <c r="W30" s="5" t="str">
        <f aca="false">IF($A31="","",IF(OR(M31&gt;=3,I31&lt;=-15%),"是","否"))</f>
        <v/>
      </c>
      <c r="X30" s="18" t="str">
        <f aca="false">IF($A31="","",IFERROR(maxifs(候选池!$AB:$AB,候选池!$A:$A,$A31),0))</f>
        <v/>
      </c>
      <c r="Y30" s="18" t="str">
        <f aca="false">IF($A31="","",IF(OR(M31&gt;=4,I31&lt;=-8%),MAX(0,B31*60%-C31),IF(AND(ISNUMBER(AD31),B31&gt;AD31),IF(B31&lt;30000,0,IF(B31&lt;100000,MAX(0,(B31-AD31)*0.2),MAX(0,(B31-AD31)*0.3))),0)))</f>
        <v/>
      </c>
      <c r="Z30" s="9"/>
      <c r="AA30" s="5" t="str">
        <f aca="false">IF($A31="","",IF($AA$2&lt;&gt;"",$AA$2,""))</f>
        <v/>
      </c>
      <c r="AB30" s="9" t="str">
        <f aca="false">IF($A31="","",IF(B31&lt;30000,0.03,IF(B31&lt;100000,0.02,0.015)))</f>
        <v/>
      </c>
      <c r="AC30" s="21" t="str">
        <f aca="false">IF($A31="","",IFERROR(DATEDIF($A$2,$A31,"m"),0))</f>
        <v/>
      </c>
      <c r="AD30" s="18" t="str">
        <f aca="false">IF($A31="","",IF(OR(AA31="",AB31="",AC31=""),"",AA31*POWER(1+AB31,AC31)))</f>
        <v/>
      </c>
      <c r="AE30" s="29" t="str">
        <f aca="false">IF($A31="","",IF(OR(AD31="",AD31=0),"",B31/AD31-1))</f>
        <v/>
      </c>
      <c r="AG30" s="1" t="str">
        <f aca="false">IF($A31="","",IF(B31&lt;30000,"婴儿",IF(B31&lt;100000,"成长","成熟")))</f>
        <v/>
      </c>
      <c r="AH30" s="24"/>
      <c r="AJ30" s="24"/>
      <c r="AK30" s="24"/>
      <c r="AM30" s="24"/>
      <c r="AP30" s="15"/>
      <c r="AQ30" s="25" t="str">
        <f aca="false">IF($A31="","",B31-$AA$2-SUM($F$2:F31))</f>
        <v/>
      </c>
      <c r="AR30" s="1" t="str">
        <f aca="false">IF($A30="","",30000)</f>
        <v/>
      </c>
      <c r="AS30" s="1" t="str">
        <f aca="false">IF($A30="","",AR30-B30)</f>
        <v/>
      </c>
      <c r="AT30" s="1" t="str">
        <f aca="false">IF($A30="","",IFERROR(B30/AR30,0))</f>
        <v/>
      </c>
      <c r="AU30" s="1" t="str">
        <f aca="false">IF($A30="","",IFERROR(B30*O30,0))</f>
        <v/>
      </c>
      <c r="AV30" s="1" t="str">
        <f aca="false">IF($A30="","",IFERROR(C30/B30,0))</f>
        <v/>
      </c>
      <c r="AW30" s="1" t="str">
        <f aca="false">IF($A30="","",MAX(0,R30-S30))</f>
        <v/>
      </c>
      <c r="AX30" s="1" t="str">
        <f aca="false">IF($A30="","",IF(AW30&gt;0,"优先降持仓数",IF(C30&lt;=0,"现金不足","允许评估")))</f>
        <v/>
      </c>
      <c r="AY30" s="1" t="str">
        <f aca="false">IF($A30="","",IF(B30&lt;30000,"婴儿阶段: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6"/>
      <c r="B31" s="17"/>
      <c r="C31" s="17"/>
      <c r="D31" s="18" t="str">
        <f aca="false">IF($A32="","",SUMIFS(持仓表!$J:$J,持仓表!$A:$A,$A32))</f>
        <v/>
      </c>
      <c r="E31" s="19" t="n">
        <f aca="false">IFERROR(D32/B32,0)</f>
        <v>0</v>
      </c>
      <c r="F31" s="17"/>
      <c r="G31" s="18" t="str">
        <f aca="false">IF($B32="","",MAX($B$2:B32))</f>
        <v/>
      </c>
      <c r="H31" s="19" t="n">
        <f aca="false">IFERROR((B32-F32)/F32,0)</f>
        <v>0</v>
      </c>
      <c r="I31" s="19" t="n">
        <f aca="false">IFERROR((B32-G32)/G32,0)</f>
        <v>0</v>
      </c>
      <c r="J31" s="6"/>
      <c r="K31" s="13"/>
      <c r="L31" s="20"/>
      <c r="M31" s="20"/>
      <c r="N31" s="19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31" s="19" t="str">
        <f aca="false">IF($B32="","",IF(B32&lt;30000,35%,IF(B32&lt;50000,30%,IF(B32&lt;100000,25%,20%))))</f>
        <v/>
      </c>
      <c r="P31" s="21" t="str">
        <f aca="false">IF($A32="","",COUNTIFS(持仓表!$A:$A,$A32,持仓表!$G:$G,"&gt;0"))</f>
        <v/>
      </c>
      <c r="Q31" s="21" t="str">
        <f aca="false">IF($A32="","",COUNTIFS(持仓表!$A:$A,$A32,持仓表!$D:$D,"是",持仓表!$G:$G,"&gt;0"))</f>
        <v/>
      </c>
      <c r="R31" s="21" t="str">
        <f aca="false">IF($A32="","",MAX(0,P32-Q32))</f>
        <v/>
      </c>
      <c r="S31" s="21" t="str">
        <f aca="false">IF($B32="","",IF(B32&lt;50000,3,IF(B32&lt;100000,4,5)))</f>
        <v/>
      </c>
      <c r="T31" s="5" t="str">
        <f aca="false">IF($A32="","",IF(OR(M32&gt;=4,I32&lt;=-8%),"防守",IF(OR(M32&gt;=2,I32&lt;=-5%),"警戒","正常")))</f>
        <v/>
      </c>
      <c r="U31" s="5" t="str">
        <f aca="false">IF($A32="","",IF(AND(L32&gt;=3,M32&lt;=2,T32&lt;&gt;"防守"),"是","否"))</f>
        <v/>
      </c>
      <c r="V31" s="5" t="str">
        <f aca="false">IF($A32="","",IF(AND(E32&lt;N32,R32&lt;S32,M32&lt;=2,I32&gt;-15%),"是","否"))</f>
        <v/>
      </c>
      <c r="W31" s="5" t="str">
        <f aca="false">IF($A32="","",IF(OR(M32&gt;=3,I32&lt;=-15%),"是","否"))</f>
        <v/>
      </c>
      <c r="X31" s="18" t="str">
        <f aca="false">IF($A32="","",IFERROR(maxifs(候选池!$AB:$AB,候选池!$A:$A,$A32),0))</f>
        <v/>
      </c>
      <c r="Y31" s="18" t="str">
        <f aca="false">IF($A32="","",IF(OR(M32&gt;=4,I32&lt;=-8%),MAX(0,B32*60%-C32),IF(AND(ISNUMBER(AD32),B32&gt;AD32),IF(B32&lt;30000,0,IF(B32&lt;100000,MAX(0,(B32-AD32)*0.2),MAX(0,(B32-AD32)*0.3))),0)))</f>
        <v/>
      </c>
      <c r="Z31" s="6"/>
      <c r="AA31" s="5" t="str">
        <f aca="false">IF($A32="","",IF($AA$2&lt;&gt;"",$AA$2,""))</f>
        <v/>
      </c>
      <c r="AB31" s="6" t="str">
        <f aca="false">IF($A32="","",IF(B32&lt;30000,0.03,IF(B32&lt;100000,0.02,0.015)))</f>
        <v/>
      </c>
      <c r="AC31" s="21" t="str">
        <f aca="false">IF($A32="","",IFERROR(DATEDIF($A$2,$A32,"m"),0))</f>
        <v/>
      </c>
      <c r="AD31" s="18" t="str">
        <f aca="false">IF($A32="","",IF(OR(AA32="",AB32="",AC32=""),"",AA32*POWER(1+AB32,AC32)))</f>
        <v/>
      </c>
      <c r="AE31" s="23" t="str">
        <f aca="false">IF($A32="","",IF(OR(AD32="",AD32=0),"",B32/AD32-1))</f>
        <v/>
      </c>
      <c r="AG31" s="1" t="str">
        <f aca="false">IF($A32="","",IF(B32&lt;30000,"婴儿",IF(B32&lt;100000,"成长","成熟")))</f>
        <v/>
      </c>
      <c r="AH31" s="24"/>
      <c r="AJ31" s="24"/>
      <c r="AK31" s="24"/>
      <c r="AM31" s="24"/>
      <c r="AP31" s="15"/>
      <c r="AQ31" s="25" t="str">
        <f aca="false">IF($A32="","",B32-$AA$2-SUM($F$2:F32))</f>
        <v/>
      </c>
      <c r="AR31" s="1" t="str">
        <f aca="false">IF($A31="","",30000)</f>
        <v/>
      </c>
      <c r="AS31" s="1" t="str">
        <f aca="false">IF($A31="","",AR31-B31)</f>
        <v/>
      </c>
      <c r="AT31" s="1" t="str">
        <f aca="false">IF($A31="","",IFERROR(B31/AR31,0))</f>
        <v/>
      </c>
      <c r="AU31" s="1" t="str">
        <f aca="false">IF($A31="","",IFERROR(B31*O31,0))</f>
        <v/>
      </c>
      <c r="AV31" s="1" t="str">
        <f aca="false">IF($A31="","",IFERROR(C31/B31,0))</f>
        <v/>
      </c>
      <c r="AW31" s="1" t="str">
        <f aca="false">IF($A31="","",MAX(0,R31-S31))</f>
        <v/>
      </c>
      <c r="AX31" s="1" t="str">
        <f aca="false">IF($A31="","",IF(AW31&gt;0,"优先降持仓数",IF(C31&lt;=0,"现金不足","允许评估")))</f>
        <v/>
      </c>
      <c r="AY31" s="1" t="str">
        <f aca="false">IF($A31="","",IF(B31&lt;30000,"婴儿阶段: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9"/>
      <c r="B32" s="26"/>
      <c r="C32" s="26"/>
      <c r="D32" s="18" t="str">
        <f aca="false">IF($A33="","",SUMIFS(持仓表!$J:$J,持仓表!$A:$A,$A33))</f>
        <v/>
      </c>
      <c r="E32" s="19" t="n">
        <f aca="false">IFERROR(D33/B33,0)</f>
        <v>0</v>
      </c>
      <c r="F32" s="26"/>
      <c r="G32" s="18" t="str">
        <f aca="false">IF($B33="","",MAX($B$2:B33))</f>
        <v/>
      </c>
      <c r="H32" s="19" t="n">
        <f aca="false">IFERROR((B33-F33)/F33,0)</f>
        <v>0</v>
      </c>
      <c r="I32" s="19" t="n">
        <f aca="false">IFERROR((B33-G33)/G33,0)</f>
        <v>0</v>
      </c>
      <c r="J32" s="9"/>
      <c r="K32" s="14"/>
      <c r="L32" s="27"/>
      <c r="M32" s="27"/>
      <c r="N32" s="19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32" s="19" t="str">
        <f aca="false">IF($B33="","",IF(B33&lt;30000,35%,IF(B33&lt;50000,30%,IF(B33&lt;100000,25%,20%))))</f>
        <v/>
      </c>
      <c r="P32" s="21" t="str">
        <f aca="false">IF($A33="","",COUNTIFS(持仓表!$A:$A,$A33,持仓表!$G:$G,"&gt;0"))</f>
        <v/>
      </c>
      <c r="Q32" s="21" t="str">
        <f aca="false">IF($A33="","",COUNTIFS(持仓表!$A:$A,$A33,持仓表!$D:$D,"是",持仓表!$G:$G,"&gt;0"))</f>
        <v/>
      </c>
      <c r="R32" s="21" t="str">
        <f aca="false">IF($A33="","",MAX(0,P33-Q33))</f>
        <v/>
      </c>
      <c r="S32" s="21" t="str">
        <f aca="false">IF($B33="","",IF(B33&lt;50000,3,IF(B33&lt;100000,4,5)))</f>
        <v/>
      </c>
      <c r="T32" s="5" t="str">
        <f aca="false">IF($A33="","",IF(OR(M33&gt;=4,I33&lt;=-8%),"防守",IF(OR(M33&gt;=2,I33&lt;=-5%),"警戒","正常")))</f>
        <v/>
      </c>
      <c r="U32" s="5" t="str">
        <f aca="false">IF($A33="","",IF(AND(L33&gt;=3,M33&lt;=2,T33&lt;&gt;"防守"),"是","否"))</f>
        <v/>
      </c>
      <c r="V32" s="5" t="str">
        <f aca="false">IF($A33="","",IF(AND(E33&lt;N33,R33&lt;S33,M33&lt;=2,I33&gt;-15%),"是","否"))</f>
        <v/>
      </c>
      <c r="W32" s="5" t="str">
        <f aca="false">IF($A33="","",IF(OR(M33&gt;=3,I33&lt;=-15%),"是","否"))</f>
        <v/>
      </c>
      <c r="X32" s="18" t="str">
        <f aca="false">IF($A33="","",IFERROR(maxifs(候选池!$AB:$AB,候选池!$A:$A,$A33),0))</f>
        <v/>
      </c>
      <c r="Y32" s="18" t="str">
        <f aca="false">IF($A33="","",IF(OR(M33&gt;=4,I33&lt;=-8%),MAX(0,B33*60%-C33),IF(AND(ISNUMBER(AD33),B33&gt;AD33),IF(B33&lt;30000,0,IF(B33&lt;100000,MAX(0,(B33-AD33)*0.2),MAX(0,(B33-AD33)*0.3))),0)))</f>
        <v/>
      </c>
      <c r="Z32" s="9"/>
      <c r="AA32" s="5" t="str">
        <f aca="false">IF($A33="","",IF($AA$2&lt;&gt;"",$AA$2,""))</f>
        <v/>
      </c>
      <c r="AB32" s="9" t="str">
        <f aca="false">IF($A33="","",IF(B33&lt;30000,0.03,IF(B33&lt;100000,0.02,0.015)))</f>
        <v/>
      </c>
      <c r="AC32" s="21" t="str">
        <f aca="false">IF($A33="","",IFERROR(DATEDIF($A$2,$A33,"m"),0))</f>
        <v/>
      </c>
      <c r="AD32" s="18" t="str">
        <f aca="false">IF($A33="","",IF(OR(AA33="",AB33="",AC33=""),"",AA33*POWER(1+AB33,AC33)))</f>
        <v/>
      </c>
      <c r="AE32" s="29" t="str">
        <f aca="false">IF($A33="","",IF(OR(AD33="",AD33=0),"",B33/AD33-1))</f>
        <v/>
      </c>
      <c r="AG32" s="1" t="str">
        <f aca="false">IF($A33="","",IF(B33&lt;30000,"婴儿",IF(B33&lt;100000,"成长","成熟")))</f>
        <v/>
      </c>
      <c r="AH32" s="24"/>
      <c r="AJ32" s="24"/>
      <c r="AK32" s="24"/>
      <c r="AM32" s="24"/>
      <c r="AP32" s="15"/>
      <c r="AQ32" s="25" t="str">
        <f aca="false">IF($A33="","",B33-$AA$2-SUM($F$2:F33))</f>
        <v/>
      </c>
      <c r="AR32" s="1" t="str">
        <f aca="false">IF($A32="","",30000)</f>
        <v/>
      </c>
      <c r="AS32" s="1" t="str">
        <f aca="false">IF($A32="","",AR32-B32)</f>
        <v/>
      </c>
      <c r="AT32" s="1" t="str">
        <f aca="false">IF($A32="","",IFERROR(B32/AR32,0))</f>
        <v/>
      </c>
      <c r="AU32" s="1" t="str">
        <f aca="false">IF($A32="","",IFERROR(B32*O32,0))</f>
        <v/>
      </c>
      <c r="AV32" s="1" t="str">
        <f aca="false">IF($A32="","",IFERROR(C32/B32,0))</f>
        <v/>
      </c>
      <c r="AW32" s="1" t="str">
        <f aca="false">IF($A32="","",MAX(0,R32-S32))</f>
        <v/>
      </c>
      <c r="AX32" s="1" t="str">
        <f aca="false">IF($A32="","",IF(AW32&gt;0,"优先降持仓数",IF(C32&lt;=0,"现金不足","允许评估")))</f>
        <v/>
      </c>
      <c r="AY32" s="1" t="str">
        <f aca="false">IF($A32="","",IF(B32&lt;30000,"婴儿阶段: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6"/>
      <c r="B33" s="17"/>
      <c r="C33" s="17"/>
      <c r="D33" s="18" t="str">
        <f aca="false">IF($A34="","",SUMIFS(持仓表!$J:$J,持仓表!$A:$A,$A34))</f>
        <v/>
      </c>
      <c r="E33" s="19" t="n">
        <f aca="false">IFERROR(D34/B34,0)</f>
        <v>0</v>
      </c>
      <c r="F33" s="17"/>
      <c r="G33" s="18" t="str">
        <f aca="false">IF($B34="","",MAX($B$2:B34))</f>
        <v/>
      </c>
      <c r="H33" s="19" t="n">
        <f aca="false">IFERROR((B34-F34)/F34,0)</f>
        <v>0</v>
      </c>
      <c r="I33" s="19" t="n">
        <f aca="false">IFERROR((B34-G34)/G34,0)</f>
        <v>0</v>
      </c>
      <c r="J33" s="6"/>
      <c r="K33" s="13"/>
      <c r="L33" s="20"/>
      <c r="M33" s="20"/>
      <c r="N33" s="19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33" s="19" t="str">
        <f aca="false">IF($B34="","",IF(B34&lt;30000,35%,IF(B34&lt;50000,30%,IF(B34&lt;100000,25%,20%))))</f>
        <v/>
      </c>
      <c r="P33" s="21" t="str">
        <f aca="false">IF($A34="","",COUNTIFS(持仓表!$A:$A,$A34,持仓表!$G:$G,"&gt;0"))</f>
        <v/>
      </c>
      <c r="Q33" s="21" t="str">
        <f aca="false">IF($A34="","",COUNTIFS(持仓表!$A:$A,$A34,持仓表!$D:$D,"是",持仓表!$G:$G,"&gt;0"))</f>
        <v/>
      </c>
      <c r="R33" s="21" t="str">
        <f aca="false">IF($A34="","",MAX(0,P34-Q34))</f>
        <v/>
      </c>
      <c r="S33" s="21" t="str">
        <f aca="false">IF($B34="","",IF(B34&lt;50000,3,IF(B34&lt;100000,4,5)))</f>
        <v/>
      </c>
      <c r="T33" s="5" t="str">
        <f aca="false">IF($A34="","",IF(OR(M34&gt;=4,I34&lt;=-8%),"防守",IF(OR(M34&gt;=2,I34&lt;=-5%),"警戒","正常")))</f>
        <v/>
      </c>
      <c r="U33" s="5" t="str">
        <f aca="false">IF($A34="","",IF(AND(L34&gt;=3,M34&lt;=2,T34&lt;&gt;"防守"),"是","否"))</f>
        <v/>
      </c>
      <c r="V33" s="5" t="str">
        <f aca="false">IF($A34="","",IF(AND(E34&lt;N34,R34&lt;S34,M34&lt;=2,I34&gt;-15%),"是","否"))</f>
        <v/>
      </c>
      <c r="W33" s="5" t="str">
        <f aca="false">IF($A34="","",IF(OR(M34&gt;=3,I34&lt;=-15%),"是","否"))</f>
        <v/>
      </c>
      <c r="X33" s="18" t="str">
        <f aca="false">IF($A34="","",IFERROR(maxifs(候选池!$AB:$AB,候选池!$A:$A,$A34),0))</f>
        <v/>
      </c>
      <c r="Y33" s="18" t="str">
        <f aca="false">IF($A34="","",IF(OR(M34&gt;=4,I34&lt;=-8%),MAX(0,B34*60%-C34),IF(AND(ISNUMBER(AD34),B34&gt;AD34),IF(B34&lt;30000,0,IF(B34&lt;100000,MAX(0,(B34-AD34)*0.2),MAX(0,(B34-AD34)*0.3))),0)))</f>
        <v/>
      </c>
      <c r="Z33" s="6"/>
      <c r="AA33" s="5" t="str">
        <f aca="false">IF($A34="","",IF($AA$2&lt;&gt;"",$AA$2,""))</f>
        <v/>
      </c>
      <c r="AB33" s="6" t="str">
        <f aca="false">IF($A34="","",IF(B34&lt;30000,0.03,IF(B34&lt;100000,0.02,0.015)))</f>
        <v/>
      </c>
      <c r="AC33" s="21" t="str">
        <f aca="false">IF($A34="","",IFERROR(DATEDIF($A$2,$A34,"m"),0))</f>
        <v/>
      </c>
      <c r="AD33" s="18" t="str">
        <f aca="false">IF($A34="","",IF(OR(AA34="",AB34="",AC34=""),"",AA34*POWER(1+AB34,AC34)))</f>
        <v/>
      </c>
      <c r="AE33" s="23" t="str">
        <f aca="false">IF($A34="","",IF(OR(AD34="",AD34=0),"",B34/AD34-1))</f>
        <v/>
      </c>
      <c r="AG33" s="1" t="str">
        <f aca="false">IF($A34="","",IF(B34&lt;30000,"婴儿",IF(B34&lt;100000,"成长","成熟")))</f>
        <v/>
      </c>
      <c r="AH33" s="24"/>
      <c r="AJ33" s="24"/>
      <c r="AK33" s="24"/>
      <c r="AM33" s="24"/>
      <c r="AP33" s="15"/>
      <c r="AQ33" s="25" t="str">
        <f aca="false">IF($A34="","",B34-$AA$2-SUM($F$2:F34))</f>
        <v/>
      </c>
      <c r="AR33" s="1" t="str">
        <f aca="false">IF($A33="","",30000)</f>
        <v/>
      </c>
      <c r="AS33" s="1" t="str">
        <f aca="false">IF($A33="","",AR33-B33)</f>
        <v/>
      </c>
      <c r="AT33" s="1" t="str">
        <f aca="false">IF($A33="","",IFERROR(B33/AR33,0))</f>
        <v/>
      </c>
      <c r="AU33" s="1" t="str">
        <f aca="false">IF($A33="","",IFERROR(B33*O33,0))</f>
        <v/>
      </c>
      <c r="AV33" s="1" t="str">
        <f aca="false">IF($A33="","",IFERROR(C33/B33,0))</f>
        <v/>
      </c>
      <c r="AW33" s="1" t="str">
        <f aca="false">IF($A33="","",MAX(0,R33-S33))</f>
        <v/>
      </c>
      <c r="AX33" s="1" t="str">
        <f aca="false">IF($A33="","",IF(AW33&gt;0,"优先降持仓数",IF(C33&lt;=0,"现金不足","允许评估")))</f>
        <v/>
      </c>
      <c r="AY33" s="1" t="str">
        <f aca="false">IF($A33="","",IF(B33&lt;30000,"婴儿阶段: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9"/>
      <c r="B34" s="26"/>
      <c r="C34" s="26"/>
      <c r="D34" s="18" t="str">
        <f aca="false">IF($A35="","",SUMIFS(持仓表!$J:$J,持仓表!$A:$A,$A35))</f>
        <v/>
      </c>
      <c r="E34" s="19" t="n">
        <f aca="false">IFERROR(D35/B35,0)</f>
        <v>0</v>
      </c>
      <c r="F34" s="26"/>
      <c r="G34" s="18" t="str">
        <f aca="false">IF($B35="","",MAX($B$2:B35))</f>
        <v/>
      </c>
      <c r="H34" s="19" t="n">
        <f aca="false">IFERROR((B35-F35)/F35,0)</f>
        <v>0</v>
      </c>
      <c r="I34" s="19" t="n">
        <f aca="false">IFERROR((B35-G35)/G35,0)</f>
        <v>0</v>
      </c>
      <c r="J34" s="9"/>
      <c r="K34" s="14"/>
      <c r="L34" s="27"/>
      <c r="M34" s="27"/>
      <c r="N34" s="19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4" s="19" t="str">
        <f aca="false">IF($B35="","",IF(B35&lt;30000,35%,IF(B35&lt;50000,30%,IF(B35&lt;100000,25%,20%))))</f>
        <v/>
      </c>
      <c r="P34" s="21" t="str">
        <f aca="false">IF($A35="","",COUNTIFS(持仓表!$A:$A,$A35,持仓表!$G:$G,"&gt;0"))</f>
        <v/>
      </c>
      <c r="Q34" s="21" t="str">
        <f aca="false">IF($A35="","",COUNTIFS(持仓表!$A:$A,$A35,持仓表!$D:$D,"是",持仓表!$G:$G,"&gt;0"))</f>
        <v/>
      </c>
      <c r="R34" s="21" t="str">
        <f aca="false">IF($A35="","",MAX(0,P35-Q35))</f>
        <v/>
      </c>
      <c r="S34" s="21" t="str">
        <f aca="false">IF($B35="","",IF(B35&lt;50000,3,IF(B35&lt;100000,4,5)))</f>
        <v/>
      </c>
      <c r="T34" s="5" t="str">
        <f aca="false">IF($A35="","",IF(OR(M35&gt;=4,I35&lt;=-8%),"防守",IF(OR(M35&gt;=2,I35&lt;=-5%),"警戒","正常")))</f>
        <v/>
      </c>
      <c r="U34" s="5" t="str">
        <f aca="false">IF($A35="","",IF(AND(L35&gt;=3,M35&lt;=2,T35&lt;&gt;"防守"),"是","否"))</f>
        <v/>
      </c>
      <c r="V34" s="5" t="str">
        <f aca="false">IF($A35="","",IF(AND(E35&lt;N35,R35&lt;S35,M35&lt;=2,I35&gt;-15%),"是","否"))</f>
        <v/>
      </c>
      <c r="W34" s="5" t="str">
        <f aca="false">IF($A35="","",IF(OR(M35&gt;=3,I35&lt;=-15%),"是","否"))</f>
        <v/>
      </c>
      <c r="X34" s="18" t="str">
        <f aca="false">IF($A35="","",IFERROR(maxifs(候选池!$AB:$AB,候选池!$A:$A,$A35),0))</f>
        <v/>
      </c>
      <c r="Y34" s="18" t="str">
        <f aca="false">IF($A35="","",IF(OR(M35&gt;=4,I35&lt;=-8%),MAX(0,B35*60%-C35),IF(AND(ISNUMBER(AD35),B35&gt;AD35),IF(B35&lt;30000,0,IF(B35&lt;100000,MAX(0,(B35-AD35)*0.2),MAX(0,(B35-AD35)*0.3))),0)))</f>
        <v/>
      </c>
      <c r="Z34" s="9"/>
      <c r="AA34" s="5" t="str">
        <f aca="false">IF($A35="","",IF($AA$2&lt;&gt;"",$AA$2,""))</f>
        <v/>
      </c>
      <c r="AB34" s="9" t="str">
        <f aca="false">IF($A35="","",IF(B35&lt;30000,0.03,IF(B35&lt;100000,0.02,0.015)))</f>
        <v/>
      </c>
      <c r="AC34" s="21" t="str">
        <f aca="false">IF($A35="","",IFERROR(DATEDIF($A$2,$A35,"m"),0))</f>
        <v/>
      </c>
      <c r="AD34" s="18" t="str">
        <f aca="false">IF($A35="","",IF(OR(AA35="",AB35="",AC35=""),"",AA35*POWER(1+AB35,AC35)))</f>
        <v/>
      </c>
      <c r="AE34" s="29" t="str">
        <f aca="false">IF($A35="","",IF(OR(AD35="",AD35=0),"",B35/AD35-1))</f>
        <v/>
      </c>
      <c r="AG34" s="1" t="str">
        <f aca="false">IF($A35="","",IF(B35&lt;30000,"婴儿",IF(B35&lt;100000,"成长","成熟")))</f>
        <v/>
      </c>
      <c r="AH34" s="24"/>
      <c r="AJ34" s="24"/>
      <c r="AK34" s="24"/>
      <c r="AM34" s="24"/>
      <c r="AP34" s="15"/>
      <c r="AQ34" s="25" t="str">
        <f aca="false">IF($A35="","",B35-$AA$2-SUM($F$2:F35))</f>
        <v/>
      </c>
      <c r="AR34" s="1" t="str">
        <f aca="false">IF($A34="","",30000)</f>
        <v/>
      </c>
      <c r="AS34" s="1" t="str">
        <f aca="false">IF($A34="","",AR34-B34)</f>
        <v/>
      </c>
      <c r="AT34" s="1" t="str">
        <f aca="false">IF($A34="","",IFERROR(B34/AR34,0))</f>
        <v/>
      </c>
      <c r="AU34" s="1" t="str">
        <f aca="false">IF($A34="","",IFERROR(B34*O34,0))</f>
        <v/>
      </c>
      <c r="AV34" s="1" t="str">
        <f aca="false">IF($A34="","",IFERROR(C34/B34,0))</f>
        <v/>
      </c>
      <c r="AW34" s="1" t="str">
        <f aca="false">IF($A34="","",MAX(0,R34-S34))</f>
        <v/>
      </c>
      <c r="AX34" s="1" t="str">
        <f aca="false">IF($A34="","",IF(AW34&gt;0,"优先降持仓数",IF(C34&lt;=0,"现金不足","允许评估")))</f>
        <v/>
      </c>
      <c r="AY34" s="1" t="str">
        <f aca="false">IF($A34="","",IF(B34&lt;30000,"婴儿阶段: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6"/>
      <c r="B35" s="17"/>
      <c r="C35" s="17"/>
      <c r="D35" s="18" t="str">
        <f aca="false">IF($A36="","",SUMIFS(持仓表!$J:$J,持仓表!$A:$A,$A36))</f>
        <v/>
      </c>
      <c r="E35" s="19" t="n">
        <f aca="false">IFERROR(D36/B36,0)</f>
        <v>0</v>
      </c>
      <c r="F35" s="17"/>
      <c r="G35" s="18" t="str">
        <f aca="false">IF($B36="","",MAX($B$2:B36))</f>
        <v/>
      </c>
      <c r="H35" s="19" t="n">
        <f aca="false">IFERROR((B36-F36)/F36,0)</f>
        <v>0</v>
      </c>
      <c r="I35" s="19" t="n">
        <f aca="false">IFERROR((B36-G36)/G36,0)</f>
        <v>0</v>
      </c>
      <c r="J35" s="6"/>
      <c r="K35" s="13"/>
      <c r="L35" s="20"/>
      <c r="M35" s="20"/>
      <c r="N35" s="19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5" s="19" t="str">
        <f aca="false">IF($B36="","",IF(B36&lt;30000,35%,IF(B36&lt;50000,30%,IF(B36&lt;100000,25%,20%))))</f>
        <v/>
      </c>
      <c r="P35" s="21" t="str">
        <f aca="false">IF($A36="","",COUNTIFS(持仓表!$A:$A,$A36,持仓表!$G:$G,"&gt;0"))</f>
        <v/>
      </c>
      <c r="Q35" s="21" t="str">
        <f aca="false">IF($A36="","",COUNTIFS(持仓表!$A:$A,$A36,持仓表!$D:$D,"是",持仓表!$G:$G,"&gt;0"))</f>
        <v/>
      </c>
      <c r="R35" s="21" t="str">
        <f aca="false">IF($A36="","",MAX(0,P36-Q36))</f>
        <v/>
      </c>
      <c r="S35" s="21" t="str">
        <f aca="false">IF($B36="","",IF(B36&lt;50000,3,IF(B36&lt;100000,4,5)))</f>
        <v/>
      </c>
      <c r="T35" s="5" t="str">
        <f aca="false">IF($A36="","",IF(OR(M36&gt;=4,I36&lt;=-8%),"防守",IF(OR(M36&gt;=2,I36&lt;=-5%),"警戒","正常")))</f>
        <v/>
      </c>
      <c r="U35" s="5" t="str">
        <f aca="false">IF($A36="","",IF(AND(L36&gt;=3,M36&lt;=2,T36&lt;&gt;"防守"),"是","否"))</f>
        <v/>
      </c>
      <c r="V35" s="5" t="str">
        <f aca="false">IF($A36="","",IF(AND(E36&lt;N36,R36&lt;S36,M36&lt;=2,I36&gt;-15%),"是","否"))</f>
        <v/>
      </c>
      <c r="W35" s="5" t="str">
        <f aca="false">IF($A36="","",IF(OR(M36&gt;=3,I36&lt;=-15%),"是","否"))</f>
        <v/>
      </c>
      <c r="X35" s="18" t="str">
        <f aca="false">IF($A36="","",IFERROR(maxifs(候选池!$AB:$AB,候选池!$A:$A,$A36),0))</f>
        <v/>
      </c>
      <c r="Y35" s="18" t="str">
        <f aca="false">IF($A36="","",IF(OR(M36&gt;=4,I36&lt;=-8%),MAX(0,B36*60%-C36),IF(AND(ISNUMBER(AD36),B36&gt;AD36),IF(B36&lt;30000,0,IF(B36&lt;100000,MAX(0,(B36-AD36)*0.2),MAX(0,(B36-AD36)*0.3))),0)))</f>
        <v/>
      </c>
      <c r="Z35" s="6"/>
      <c r="AA35" s="5" t="str">
        <f aca="false">IF($A36="","",IF($AA$2&lt;&gt;"",$AA$2,""))</f>
        <v/>
      </c>
      <c r="AB35" s="6" t="str">
        <f aca="false">IF($A36="","",IF(B36&lt;30000,0.03,IF(B36&lt;100000,0.02,0.015)))</f>
        <v/>
      </c>
      <c r="AC35" s="21" t="str">
        <f aca="false">IF($A36="","",IFERROR(DATEDIF($A$2,$A36,"m"),0))</f>
        <v/>
      </c>
      <c r="AD35" s="18" t="str">
        <f aca="false">IF($A36="","",IF(OR(AA36="",AB36="",AC36=""),"",AA36*POWER(1+AB36,AC36)))</f>
        <v/>
      </c>
      <c r="AE35" s="23" t="str">
        <f aca="false">IF($A36="","",IF(OR(AD36="",AD36=0),"",B36/AD36-1))</f>
        <v/>
      </c>
      <c r="AG35" s="1" t="str">
        <f aca="false">IF($A36="","",IF(B36&lt;30000,"婴儿",IF(B36&lt;100000,"成长","成熟")))</f>
        <v/>
      </c>
      <c r="AH35" s="24"/>
      <c r="AJ35" s="24"/>
      <c r="AK35" s="24"/>
      <c r="AM35" s="24"/>
      <c r="AP35" s="15"/>
      <c r="AQ35" s="25" t="str">
        <f aca="false">IF($A36="","",B36-$AA$2-SUM($F$2:F36))</f>
        <v/>
      </c>
      <c r="AR35" s="1" t="str">
        <f aca="false">IF($A35="","",30000)</f>
        <v/>
      </c>
      <c r="AS35" s="1" t="str">
        <f aca="false">IF($A35="","",AR35-B35)</f>
        <v/>
      </c>
      <c r="AT35" s="1" t="str">
        <f aca="false">IF($A35="","",IFERROR(B35/AR35,0))</f>
        <v/>
      </c>
      <c r="AU35" s="1" t="str">
        <f aca="false">IF($A35="","",IFERROR(B35*O35,0))</f>
        <v/>
      </c>
      <c r="AV35" s="1" t="str">
        <f aca="false">IF($A35="","",IFERROR(C35/B35,0))</f>
        <v/>
      </c>
      <c r="AW35" s="1" t="str">
        <f aca="false">IF($A35="","",MAX(0,R35-S35))</f>
        <v/>
      </c>
      <c r="AX35" s="1" t="str">
        <f aca="false">IF($A35="","",IF(AW35&gt;0,"优先降持仓数",IF(C35&lt;=0,"现金不足","允许评估")))</f>
        <v/>
      </c>
      <c r="AY35" s="1" t="str">
        <f aca="false">IF($A35="","",IF(B35&lt;30000,"婴儿阶段: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9"/>
      <c r="B36" s="26"/>
      <c r="C36" s="26"/>
      <c r="D36" s="18" t="str">
        <f aca="false">IF($A37="","",SUMIFS(持仓表!$J:$J,持仓表!$A:$A,$A37))</f>
        <v/>
      </c>
      <c r="E36" s="19" t="n">
        <f aca="false">IFERROR(D37/B37,0)</f>
        <v>0</v>
      </c>
      <c r="F36" s="26"/>
      <c r="G36" s="18" t="str">
        <f aca="false">IF($B37="","",MAX($B$2:B37))</f>
        <v/>
      </c>
      <c r="H36" s="19" t="n">
        <f aca="false">IFERROR((B37-F37)/F37,0)</f>
        <v>0</v>
      </c>
      <c r="I36" s="19" t="n">
        <f aca="false">IFERROR((B37-G37)/G37,0)</f>
        <v>0</v>
      </c>
      <c r="J36" s="9"/>
      <c r="K36" s="14"/>
      <c r="L36" s="27"/>
      <c r="M36" s="27"/>
      <c r="N36" s="19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6" s="19" t="str">
        <f aca="false">IF($B37="","",IF(B37&lt;30000,35%,IF(B37&lt;50000,30%,IF(B37&lt;100000,25%,20%))))</f>
        <v/>
      </c>
      <c r="P36" s="21" t="str">
        <f aca="false">IF($A37="","",COUNTIFS(持仓表!$A:$A,$A37,持仓表!$G:$G,"&gt;0"))</f>
        <v/>
      </c>
      <c r="Q36" s="21" t="str">
        <f aca="false">IF($A37="","",COUNTIFS(持仓表!$A:$A,$A37,持仓表!$D:$D,"是",持仓表!$G:$G,"&gt;0"))</f>
        <v/>
      </c>
      <c r="R36" s="21" t="str">
        <f aca="false">IF($A37="","",MAX(0,P37-Q37))</f>
        <v/>
      </c>
      <c r="S36" s="21" t="str">
        <f aca="false">IF($B37="","",IF(B37&lt;50000,3,IF(B37&lt;100000,4,5)))</f>
        <v/>
      </c>
      <c r="T36" s="5" t="str">
        <f aca="false">IF($A37="","",IF(OR(M37&gt;=4,I37&lt;=-8%),"防守",IF(OR(M37&gt;=2,I37&lt;=-5%),"警戒","正常")))</f>
        <v/>
      </c>
      <c r="U36" s="5" t="str">
        <f aca="false">IF($A37="","",IF(AND(L37&gt;=3,M37&lt;=2,T37&lt;&gt;"防守"),"是","否"))</f>
        <v/>
      </c>
      <c r="V36" s="5" t="str">
        <f aca="false">IF($A37="","",IF(AND(E37&lt;N37,R37&lt;S37,M37&lt;=2,I37&gt;-15%),"是","否"))</f>
        <v/>
      </c>
      <c r="W36" s="5" t="str">
        <f aca="false">IF($A37="","",IF(OR(M37&gt;=3,I37&lt;=-15%),"是","否"))</f>
        <v/>
      </c>
      <c r="X36" s="18" t="str">
        <f aca="false">IF($A37="","",IFERROR(maxifs(候选池!$AB:$AB,候选池!$A:$A,$A37),0))</f>
        <v/>
      </c>
      <c r="Y36" s="18" t="str">
        <f aca="false">IF($A37="","",IF(OR(M37&gt;=4,I37&lt;=-8%),MAX(0,B37*60%-C37),IF(AND(ISNUMBER(AD37),B37&gt;AD37),IF(B37&lt;30000,0,IF(B37&lt;100000,MAX(0,(B37-AD37)*0.2),MAX(0,(B37-AD37)*0.3))),0)))</f>
        <v/>
      </c>
      <c r="Z36" s="9"/>
      <c r="AA36" s="5" t="str">
        <f aca="false">IF($A37="","",IF($AA$2&lt;&gt;"",$AA$2,""))</f>
        <v/>
      </c>
      <c r="AB36" s="9" t="str">
        <f aca="false">IF($A37="","",IF(B37&lt;30000,0.03,IF(B37&lt;100000,0.02,0.015)))</f>
        <v/>
      </c>
      <c r="AC36" s="21" t="str">
        <f aca="false">IF($A37="","",IFERROR(DATEDIF($A$2,$A37,"m"),0))</f>
        <v/>
      </c>
      <c r="AD36" s="18" t="str">
        <f aca="false">IF($A37="","",IF(OR(AA37="",AB37="",AC37=""),"",AA37*POWER(1+AB37,AC37)))</f>
        <v/>
      </c>
      <c r="AE36" s="29" t="str">
        <f aca="false">IF($A37="","",IF(OR(AD37="",AD37=0),"",B37/AD37-1))</f>
        <v/>
      </c>
      <c r="AG36" s="1" t="str">
        <f aca="false">IF($A37="","",IF(B37&lt;30000,"婴儿",IF(B37&lt;100000,"成长","成熟")))</f>
        <v/>
      </c>
      <c r="AH36" s="24"/>
      <c r="AJ36" s="24"/>
      <c r="AK36" s="24"/>
      <c r="AM36" s="24"/>
      <c r="AP36" s="15"/>
      <c r="AQ36" s="25" t="str">
        <f aca="false">IF($A37="","",B37-$AA$2-SUM($F$2:F37))</f>
        <v/>
      </c>
      <c r="AR36" s="1" t="str">
        <f aca="false">IF($A36="","",30000)</f>
        <v/>
      </c>
      <c r="AS36" s="1" t="str">
        <f aca="false">IF($A36="","",AR36-B36)</f>
        <v/>
      </c>
      <c r="AT36" s="1" t="str">
        <f aca="false">IF($A36="","",IFERROR(B36/AR36,0))</f>
        <v/>
      </c>
      <c r="AU36" s="1" t="str">
        <f aca="false">IF($A36="","",IFERROR(B36*O36,0))</f>
        <v/>
      </c>
      <c r="AV36" s="1" t="str">
        <f aca="false">IF($A36="","",IFERROR(C36/B36,0))</f>
        <v/>
      </c>
      <c r="AW36" s="1" t="str">
        <f aca="false">IF($A36="","",MAX(0,R36-S36))</f>
        <v/>
      </c>
      <c r="AX36" s="1" t="str">
        <f aca="false">IF($A36="","",IF(AW36&gt;0,"优先降持仓数",IF(C36&lt;=0,"现金不足","允许评估")))</f>
        <v/>
      </c>
      <c r="AY36" s="1" t="str">
        <f aca="false">IF($A36="","",IF(B36&lt;30000,"婴儿阶段: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6"/>
      <c r="B37" s="17"/>
      <c r="C37" s="17"/>
      <c r="D37" s="18" t="str">
        <f aca="false">IF($A38="","",SUMIFS(持仓表!$J:$J,持仓表!$A:$A,$A38))</f>
        <v/>
      </c>
      <c r="E37" s="19" t="n">
        <f aca="false">IFERROR(D38/B38,0)</f>
        <v>0</v>
      </c>
      <c r="F37" s="17"/>
      <c r="G37" s="18" t="str">
        <f aca="false">IF($B38="","",MAX($B$2:B38))</f>
        <v/>
      </c>
      <c r="H37" s="19" t="n">
        <f aca="false">IFERROR((B38-F38)/F38,0)</f>
        <v>0</v>
      </c>
      <c r="I37" s="19" t="n">
        <f aca="false">IFERROR((B38-G38)/G38,0)</f>
        <v>0</v>
      </c>
      <c r="J37" s="6"/>
      <c r="K37" s="13"/>
      <c r="L37" s="20"/>
      <c r="M37" s="20"/>
      <c r="N37" s="19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7" s="19" t="str">
        <f aca="false">IF($B38="","",IF(B38&lt;30000,35%,IF(B38&lt;50000,30%,IF(B38&lt;100000,25%,20%))))</f>
        <v/>
      </c>
      <c r="P37" s="21" t="str">
        <f aca="false">IF($A38="","",COUNTIFS(持仓表!$A:$A,$A38,持仓表!$G:$G,"&gt;0"))</f>
        <v/>
      </c>
      <c r="Q37" s="21" t="str">
        <f aca="false">IF($A38="","",COUNTIFS(持仓表!$A:$A,$A38,持仓表!$D:$D,"是",持仓表!$G:$G,"&gt;0"))</f>
        <v/>
      </c>
      <c r="R37" s="21" t="str">
        <f aca="false">IF($A38="","",MAX(0,P38-Q38))</f>
        <v/>
      </c>
      <c r="S37" s="21" t="str">
        <f aca="false">IF($B38="","",IF(B38&lt;50000,3,IF(B38&lt;100000,4,5)))</f>
        <v/>
      </c>
      <c r="T37" s="5" t="str">
        <f aca="false">IF($A38="","",IF(OR(M38&gt;=4,I38&lt;=-8%),"防守",IF(OR(M38&gt;=2,I38&lt;=-5%),"警戒","正常")))</f>
        <v/>
      </c>
      <c r="U37" s="5" t="str">
        <f aca="false">IF($A38="","",IF(AND(L38&gt;=3,M38&lt;=2,T38&lt;&gt;"防守"),"是","否"))</f>
        <v/>
      </c>
      <c r="V37" s="5" t="str">
        <f aca="false">IF($A38="","",IF(AND(E38&lt;N38,R38&lt;S38,M38&lt;=2,I38&gt;-15%),"是","否"))</f>
        <v/>
      </c>
      <c r="W37" s="5" t="str">
        <f aca="false">IF($A38="","",IF(OR(M38&gt;=3,I38&lt;=-15%),"是","否"))</f>
        <v/>
      </c>
      <c r="X37" s="18" t="str">
        <f aca="false">IF($A38="","",IFERROR(maxifs(候选池!$AB:$AB,候选池!$A:$A,$A38),0))</f>
        <v/>
      </c>
      <c r="Y37" s="18" t="str">
        <f aca="false">IF($A38="","",IF(OR(M38&gt;=4,I38&lt;=-8%),MAX(0,B38*60%-C38),IF(AND(ISNUMBER(AD38),B38&gt;AD38),IF(B38&lt;30000,0,IF(B38&lt;100000,MAX(0,(B38-AD38)*0.2),MAX(0,(B38-AD38)*0.3))),0)))</f>
        <v/>
      </c>
      <c r="Z37" s="6"/>
      <c r="AA37" s="5" t="str">
        <f aca="false">IF($A38="","",IF($AA$2&lt;&gt;"",$AA$2,""))</f>
        <v/>
      </c>
      <c r="AB37" s="6" t="str">
        <f aca="false">IF($A38="","",IF(B38&lt;30000,0.03,IF(B38&lt;100000,0.02,0.015)))</f>
        <v/>
      </c>
      <c r="AC37" s="21" t="str">
        <f aca="false">IF($A38="","",IFERROR(DATEDIF($A$2,$A38,"m"),0))</f>
        <v/>
      </c>
      <c r="AD37" s="18" t="str">
        <f aca="false">IF($A38="","",IF(OR(AA38="",AB38="",AC38=""),"",AA38*POWER(1+AB38,AC38)))</f>
        <v/>
      </c>
      <c r="AE37" s="23" t="str">
        <f aca="false">IF($A38="","",IF(OR(AD38="",AD38=0),"",B38/AD38-1))</f>
        <v/>
      </c>
      <c r="AG37" s="1" t="str">
        <f aca="false">IF($A38="","",IF(B38&lt;30000,"婴儿",IF(B38&lt;100000,"成长","成熟")))</f>
        <v/>
      </c>
      <c r="AH37" s="24"/>
      <c r="AJ37" s="24"/>
      <c r="AK37" s="24"/>
      <c r="AM37" s="24"/>
      <c r="AP37" s="15"/>
      <c r="AQ37" s="25" t="str">
        <f aca="false">IF($A38="","",B38-$AA$2-SUM($F$2:F38))</f>
        <v/>
      </c>
      <c r="AR37" s="1" t="str">
        <f aca="false">IF($A37="","",30000)</f>
        <v/>
      </c>
      <c r="AS37" s="1" t="str">
        <f aca="false">IF($A37="","",AR37-B37)</f>
        <v/>
      </c>
      <c r="AT37" s="1" t="str">
        <f aca="false">IF($A37="","",IFERROR(B37/AR37,0))</f>
        <v/>
      </c>
      <c r="AU37" s="1" t="str">
        <f aca="false">IF($A37="","",IFERROR(B37*O37,0))</f>
        <v/>
      </c>
      <c r="AV37" s="1" t="str">
        <f aca="false">IF($A37="","",IFERROR(C37/B37,0))</f>
        <v/>
      </c>
      <c r="AW37" s="1" t="str">
        <f aca="false">IF($A37="","",MAX(0,R37-S37))</f>
        <v/>
      </c>
      <c r="AX37" s="1" t="str">
        <f aca="false">IF($A37="","",IF(AW37&gt;0,"优先降持仓数",IF(C37&lt;=0,"现金不足","允许评估")))</f>
        <v/>
      </c>
      <c r="AY37" s="1" t="str">
        <f aca="false">IF($A37="","",IF(B37&lt;30000,"婴儿阶段: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9"/>
      <c r="B38" s="26"/>
      <c r="C38" s="26"/>
      <c r="D38" s="18" t="str">
        <f aca="false">IF($A39="","",SUMIFS(持仓表!$J:$J,持仓表!$A:$A,$A39))</f>
        <v/>
      </c>
      <c r="E38" s="19" t="n">
        <f aca="false">IFERROR(D39/B39,0)</f>
        <v>0</v>
      </c>
      <c r="F38" s="26"/>
      <c r="G38" s="18" t="str">
        <f aca="false">IF($B39="","",MAX($B$2:B39))</f>
        <v/>
      </c>
      <c r="H38" s="19" t="n">
        <f aca="false">IFERROR((B39-F39)/F39,0)</f>
        <v>0</v>
      </c>
      <c r="I38" s="19" t="n">
        <f aca="false">IFERROR((B39-G39)/G39,0)</f>
        <v>0</v>
      </c>
      <c r="J38" s="9"/>
      <c r="K38" s="14"/>
      <c r="L38" s="27"/>
      <c r="M38" s="27"/>
      <c r="N38" s="19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8" s="19" t="str">
        <f aca="false">IF($B39="","",IF(B39&lt;30000,35%,IF(B39&lt;50000,30%,IF(B39&lt;100000,25%,20%))))</f>
        <v/>
      </c>
      <c r="P38" s="21" t="str">
        <f aca="false">IF($A39="","",COUNTIFS(持仓表!$A:$A,$A39,持仓表!$G:$G,"&gt;0"))</f>
        <v/>
      </c>
      <c r="Q38" s="21" t="str">
        <f aca="false">IF($A39="","",COUNTIFS(持仓表!$A:$A,$A39,持仓表!$D:$D,"是",持仓表!$G:$G,"&gt;0"))</f>
        <v/>
      </c>
      <c r="R38" s="21" t="str">
        <f aca="false">IF($A39="","",MAX(0,P39-Q39))</f>
        <v/>
      </c>
      <c r="S38" s="21" t="str">
        <f aca="false">IF($B39="","",IF(B39&lt;50000,3,IF(B39&lt;100000,4,5)))</f>
        <v/>
      </c>
      <c r="T38" s="5" t="str">
        <f aca="false">IF($A39="","",IF(OR(M39&gt;=4,I39&lt;=-8%),"防守",IF(OR(M39&gt;=2,I39&lt;=-5%),"警戒","正常")))</f>
        <v/>
      </c>
      <c r="U38" s="5" t="str">
        <f aca="false">IF($A39="","",IF(AND(L39&gt;=3,M39&lt;=2,T39&lt;&gt;"防守"),"是","否"))</f>
        <v/>
      </c>
      <c r="V38" s="5" t="str">
        <f aca="false">IF($A39="","",IF(AND(E39&lt;N39,R39&lt;S39,M39&lt;=2,I39&gt;-15%),"是","否"))</f>
        <v/>
      </c>
      <c r="W38" s="5" t="str">
        <f aca="false">IF($A39="","",IF(OR(M39&gt;=3,I39&lt;=-15%),"是","否"))</f>
        <v/>
      </c>
      <c r="X38" s="18" t="str">
        <f aca="false">IF($A39="","",IFERROR(maxifs(候选池!$AB:$AB,候选池!$A:$A,$A39),0))</f>
        <v/>
      </c>
      <c r="Y38" s="18" t="str">
        <f aca="false">IF($A39="","",IF(OR(M39&gt;=4,I39&lt;=-8%),MAX(0,B39*60%-C39),IF(AND(ISNUMBER(AD39),B39&gt;AD39),IF(B39&lt;30000,0,IF(B39&lt;100000,MAX(0,(B39-AD39)*0.2),MAX(0,(B39-AD39)*0.3))),0)))</f>
        <v/>
      </c>
      <c r="Z38" s="9"/>
      <c r="AA38" s="5" t="str">
        <f aca="false">IF($A39="","",IF($AA$2&lt;&gt;"",$AA$2,""))</f>
        <v/>
      </c>
      <c r="AB38" s="9" t="str">
        <f aca="false">IF($A39="","",IF(B39&lt;30000,0.03,IF(B39&lt;100000,0.02,0.015)))</f>
        <v/>
      </c>
      <c r="AC38" s="21" t="str">
        <f aca="false">IF($A39="","",IFERROR(DATEDIF($A$2,$A39,"m"),0))</f>
        <v/>
      </c>
      <c r="AD38" s="18" t="str">
        <f aca="false">IF($A39="","",IF(OR(AA39="",AB39="",AC39=""),"",AA39*POWER(1+AB39,AC39)))</f>
        <v/>
      </c>
      <c r="AE38" s="29" t="str">
        <f aca="false">IF($A39="","",IF(OR(AD39="",AD39=0),"",B39/AD39-1))</f>
        <v/>
      </c>
      <c r="AG38" s="1" t="str">
        <f aca="false">IF($A39="","",IF(B39&lt;30000,"婴儿",IF(B39&lt;100000,"成长","成熟")))</f>
        <v/>
      </c>
      <c r="AH38" s="24"/>
      <c r="AJ38" s="24"/>
      <c r="AK38" s="24"/>
      <c r="AM38" s="24"/>
      <c r="AP38" s="15"/>
      <c r="AQ38" s="25" t="str">
        <f aca="false">IF($A39="","",B39-$AA$2-SUM($F$2:F39))</f>
        <v/>
      </c>
      <c r="AR38" s="1" t="str">
        <f aca="false">IF($A38="","",30000)</f>
        <v/>
      </c>
      <c r="AS38" s="1" t="str">
        <f aca="false">IF($A38="","",AR38-B38)</f>
        <v/>
      </c>
      <c r="AT38" s="1" t="str">
        <f aca="false">IF($A38="","",IFERROR(B38/AR38,0))</f>
        <v/>
      </c>
      <c r="AU38" s="1" t="str">
        <f aca="false">IF($A38="","",IFERROR(B38*O38,0))</f>
        <v/>
      </c>
      <c r="AV38" s="1" t="str">
        <f aca="false">IF($A38="","",IFERROR(C38/B38,0))</f>
        <v/>
      </c>
      <c r="AW38" s="1" t="str">
        <f aca="false">IF($A38="","",MAX(0,R38-S38))</f>
        <v/>
      </c>
      <c r="AX38" s="1" t="str">
        <f aca="false">IF($A38="","",IF(AW38&gt;0,"优先降持仓数",IF(C38&lt;=0,"现金不足","允许评估")))</f>
        <v/>
      </c>
      <c r="AY38" s="1" t="str">
        <f aca="false">IF($A38="","",IF(B38&lt;30000,"婴儿阶段: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6"/>
      <c r="B39" s="17"/>
      <c r="C39" s="17"/>
      <c r="D39" s="18" t="str">
        <f aca="false">IF($A40="","",SUMIFS(持仓表!$J:$J,持仓表!$A:$A,$A40))</f>
        <v/>
      </c>
      <c r="E39" s="19" t="n">
        <f aca="false">IFERROR(D40/B40,0)</f>
        <v>0</v>
      </c>
      <c r="F39" s="17"/>
      <c r="G39" s="18" t="str">
        <f aca="false">IF($B40="","",MAX($B$2:B40))</f>
        <v/>
      </c>
      <c r="H39" s="19" t="n">
        <f aca="false">IFERROR((B40-F40)/F40,0)</f>
        <v>0</v>
      </c>
      <c r="I39" s="19" t="n">
        <f aca="false">IFERROR((B40-G40)/G40,0)</f>
        <v>0</v>
      </c>
      <c r="J39" s="6"/>
      <c r="K39" s="13"/>
      <c r="L39" s="20"/>
      <c r="M39" s="20"/>
      <c r="N39" s="19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9" s="19" t="str">
        <f aca="false">IF($B40="","",IF(B40&lt;30000,35%,IF(B40&lt;50000,30%,IF(B40&lt;100000,25%,20%))))</f>
        <v/>
      </c>
      <c r="P39" s="21" t="str">
        <f aca="false">IF($A40="","",COUNTIFS(持仓表!$A:$A,$A40,持仓表!$G:$G,"&gt;0"))</f>
        <v/>
      </c>
      <c r="Q39" s="21" t="str">
        <f aca="false">IF($A40="","",COUNTIFS(持仓表!$A:$A,$A40,持仓表!$D:$D,"是",持仓表!$G:$G,"&gt;0"))</f>
        <v/>
      </c>
      <c r="R39" s="21" t="str">
        <f aca="false">IF($A40="","",MAX(0,P40-Q40))</f>
        <v/>
      </c>
      <c r="S39" s="21" t="str">
        <f aca="false">IF($B40="","",IF(B40&lt;50000,3,IF(B40&lt;100000,4,5)))</f>
        <v/>
      </c>
      <c r="T39" s="5" t="str">
        <f aca="false">IF($A40="","",IF(OR(M40&gt;=4,I40&lt;=-8%),"防守",IF(OR(M40&gt;=2,I40&lt;=-5%),"警戒","正常")))</f>
        <v/>
      </c>
      <c r="U39" s="5" t="str">
        <f aca="false">IF($A40="","",IF(AND(L40&gt;=3,M40&lt;=2,T40&lt;&gt;"防守"),"是","否"))</f>
        <v/>
      </c>
      <c r="V39" s="5" t="str">
        <f aca="false">IF($A40="","",IF(AND(E40&lt;N40,R40&lt;S40,M40&lt;=2,I40&gt;-15%),"是","否"))</f>
        <v/>
      </c>
      <c r="W39" s="5" t="str">
        <f aca="false">IF($A40="","",IF(OR(M40&gt;=3,I40&lt;=-15%),"是","否"))</f>
        <v/>
      </c>
      <c r="X39" s="18" t="str">
        <f aca="false">IF($A40="","",IFERROR(maxifs(候选池!$AB:$AB,候选池!$A:$A,$A40),0))</f>
        <v/>
      </c>
      <c r="Y39" s="18" t="str">
        <f aca="false">IF($A40="","",IF(OR(M40&gt;=4,I40&lt;=-8%),MAX(0,B40*60%-C40),IF(AND(ISNUMBER(AD40),B40&gt;AD40),IF(B40&lt;30000,0,IF(B40&lt;100000,MAX(0,(B40-AD40)*0.2),MAX(0,(B40-AD40)*0.3))),0)))</f>
        <v/>
      </c>
      <c r="Z39" s="6"/>
      <c r="AA39" s="5" t="str">
        <f aca="false">IF($A40="","",IF($AA$2&lt;&gt;"",$AA$2,""))</f>
        <v/>
      </c>
      <c r="AB39" s="6" t="str">
        <f aca="false">IF($A40="","",IF(B40&lt;30000,0.03,IF(B40&lt;100000,0.02,0.015)))</f>
        <v/>
      </c>
      <c r="AC39" s="21" t="str">
        <f aca="false">IF($A40="","",IFERROR(DATEDIF($A$2,$A40,"m"),0))</f>
        <v/>
      </c>
      <c r="AD39" s="18" t="str">
        <f aca="false">IF($A40="","",IF(OR(AA40="",AB40="",AC40=""),"",AA40*POWER(1+AB40,AC40)))</f>
        <v/>
      </c>
      <c r="AE39" s="23" t="str">
        <f aca="false">IF($A40="","",IF(OR(AD40="",AD40=0),"",B40/AD40-1))</f>
        <v/>
      </c>
      <c r="AG39" s="1" t="str">
        <f aca="false">IF($A40="","",IF(B40&lt;30000,"婴儿",IF(B40&lt;100000,"成长","成熟")))</f>
        <v/>
      </c>
      <c r="AH39" s="24"/>
      <c r="AJ39" s="24"/>
      <c r="AK39" s="24"/>
      <c r="AM39" s="24"/>
      <c r="AP39" s="15"/>
      <c r="AQ39" s="25" t="str">
        <f aca="false">IF($A40="","",B40-$AA$2-SUM($F$2:F40))</f>
        <v/>
      </c>
      <c r="AR39" s="1" t="str">
        <f aca="false">IF($A39="","",30000)</f>
        <v/>
      </c>
      <c r="AS39" s="1" t="str">
        <f aca="false">IF($A39="","",AR39-B39)</f>
        <v/>
      </c>
      <c r="AT39" s="1" t="str">
        <f aca="false">IF($A39="","",IFERROR(B39/AR39,0))</f>
        <v/>
      </c>
      <c r="AU39" s="1" t="str">
        <f aca="false">IF($A39="","",IFERROR(B39*O39,0))</f>
        <v/>
      </c>
      <c r="AV39" s="1" t="str">
        <f aca="false">IF($A39="","",IFERROR(C39/B39,0))</f>
        <v/>
      </c>
      <c r="AW39" s="1" t="str">
        <f aca="false">IF($A39="","",MAX(0,R39-S39))</f>
        <v/>
      </c>
      <c r="AX39" s="1" t="str">
        <f aca="false">IF($A39="","",IF(AW39&gt;0,"优先降持仓数",IF(C39&lt;=0,"现金不足","允许评估")))</f>
        <v/>
      </c>
      <c r="AY39" s="1" t="str">
        <f aca="false">IF($A39="","",IF(B39&lt;30000,"婴儿阶段: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9"/>
      <c r="B40" s="26"/>
      <c r="C40" s="26"/>
      <c r="D40" s="18" t="str">
        <f aca="false">IF($A41="","",SUMIFS(持仓表!$J:$J,持仓表!$A:$A,$A41))</f>
        <v/>
      </c>
      <c r="E40" s="19" t="n">
        <f aca="false">IFERROR(D41/B41,0)</f>
        <v>0</v>
      </c>
      <c r="F40" s="26"/>
      <c r="G40" s="18" t="str">
        <f aca="false">IF($B41="","",MAX($B$2:B41))</f>
        <v/>
      </c>
      <c r="H40" s="19" t="n">
        <f aca="false">IFERROR((B41-F41)/F41,0)</f>
        <v>0</v>
      </c>
      <c r="I40" s="19" t="n">
        <f aca="false">IFERROR((B41-G41)/G41,0)</f>
        <v>0</v>
      </c>
      <c r="J40" s="9"/>
      <c r="K40" s="14"/>
      <c r="L40" s="27"/>
      <c r="M40" s="27"/>
      <c r="N40" s="19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40" s="19" t="str">
        <f aca="false">IF($B41="","",IF(B41&lt;30000,35%,IF(B41&lt;50000,30%,IF(B41&lt;100000,25%,20%))))</f>
        <v/>
      </c>
      <c r="P40" s="21" t="str">
        <f aca="false">IF($A41="","",COUNTIFS(持仓表!$A:$A,$A41,持仓表!$G:$G,"&gt;0"))</f>
        <v/>
      </c>
      <c r="Q40" s="21" t="str">
        <f aca="false">IF($A41="","",COUNTIFS(持仓表!$A:$A,$A41,持仓表!$D:$D,"是",持仓表!$G:$G,"&gt;0"))</f>
        <v/>
      </c>
      <c r="R40" s="21" t="str">
        <f aca="false">IF($A41="","",MAX(0,P41-Q41))</f>
        <v/>
      </c>
      <c r="S40" s="21" t="str">
        <f aca="false">IF($B41="","",IF(B41&lt;50000,3,IF(B41&lt;100000,4,5)))</f>
        <v/>
      </c>
      <c r="T40" s="5" t="str">
        <f aca="false">IF($A41="","",IF(OR(M41&gt;=4,I41&lt;=-8%),"防守",IF(OR(M41&gt;=2,I41&lt;=-5%),"警戒","正常")))</f>
        <v/>
      </c>
      <c r="U40" s="5" t="str">
        <f aca="false">IF($A41="","",IF(AND(L41&gt;=3,M41&lt;=2,T41&lt;&gt;"防守"),"是","否"))</f>
        <v/>
      </c>
      <c r="V40" s="5" t="str">
        <f aca="false">IF($A41="","",IF(AND(E41&lt;N41,R41&lt;S41,M41&lt;=2,I41&gt;-15%),"是","否"))</f>
        <v/>
      </c>
      <c r="W40" s="5" t="str">
        <f aca="false">IF($A41="","",IF(OR(M41&gt;=3,I41&lt;=-15%),"是","否"))</f>
        <v/>
      </c>
      <c r="X40" s="18" t="str">
        <f aca="false">IF($A41="","",IFERROR(maxifs(候选池!$AB:$AB,候选池!$A:$A,$A41),0))</f>
        <v/>
      </c>
      <c r="Y40" s="18" t="str">
        <f aca="false">IF($A41="","",IF(OR(M41&gt;=4,I41&lt;=-8%),MAX(0,B41*60%-C41),IF(AND(ISNUMBER(AD41),B41&gt;AD41),IF(B41&lt;30000,0,IF(B41&lt;100000,MAX(0,(B41-AD41)*0.2),MAX(0,(B41-AD41)*0.3))),0)))</f>
        <v/>
      </c>
      <c r="Z40" s="9"/>
      <c r="AA40" s="5" t="str">
        <f aca="false">IF($A41="","",IF($AA$2&lt;&gt;"",$AA$2,""))</f>
        <v/>
      </c>
      <c r="AB40" s="9" t="str">
        <f aca="false">IF($A41="","",IF(B41&lt;30000,0.03,IF(B41&lt;100000,0.02,0.015)))</f>
        <v/>
      </c>
      <c r="AC40" s="21" t="str">
        <f aca="false">IF($A41="","",IFERROR(DATEDIF($A$2,$A41,"m"),0))</f>
        <v/>
      </c>
      <c r="AD40" s="18" t="str">
        <f aca="false">IF($A41="","",IF(OR(AA41="",AB41="",AC41=""),"",AA41*POWER(1+AB41,AC41)))</f>
        <v/>
      </c>
      <c r="AE40" s="29" t="str">
        <f aca="false">IF($A41="","",IF(OR(AD41="",AD41=0),"",B41/AD41-1))</f>
        <v/>
      </c>
      <c r="AG40" s="1" t="str">
        <f aca="false">IF($A41="","",IF(B41&lt;30000,"婴儿",IF(B41&lt;100000,"成长","成熟")))</f>
        <v/>
      </c>
      <c r="AH40" s="24"/>
      <c r="AJ40" s="24"/>
      <c r="AK40" s="24"/>
      <c r="AM40" s="24"/>
      <c r="AP40" s="15"/>
      <c r="AQ40" s="25" t="str">
        <f aca="false">IF($A41="","",B41-$AA$2-SUM($F$2:F41))</f>
        <v/>
      </c>
      <c r="AR40" s="1" t="str">
        <f aca="false">IF($A40="","",30000)</f>
        <v/>
      </c>
      <c r="AS40" s="1" t="str">
        <f aca="false">IF($A40="","",AR40-B40)</f>
        <v/>
      </c>
      <c r="AT40" s="1" t="str">
        <f aca="false">IF($A40="","",IFERROR(B40/AR40,0))</f>
        <v/>
      </c>
      <c r="AU40" s="1" t="str">
        <f aca="false">IF($A40="","",IFERROR(B40*O40,0))</f>
        <v/>
      </c>
      <c r="AV40" s="1" t="str">
        <f aca="false">IF($A40="","",IFERROR(C40/B40,0))</f>
        <v/>
      </c>
      <c r="AW40" s="1" t="str">
        <f aca="false">IF($A40="","",MAX(0,R40-S40))</f>
        <v/>
      </c>
      <c r="AX40" s="1" t="str">
        <f aca="false">IF($A40="","",IF(AW40&gt;0,"优先降持仓数",IF(C40&lt;=0,"现金不足","允许评估")))</f>
        <v/>
      </c>
      <c r="AY40" s="1" t="str">
        <f aca="false">IF($A40="","",IF(B40&lt;30000,"婴儿阶段: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6"/>
      <c r="B41" s="17"/>
      <c r="C41" s="17"/>
      <c r="D41" s="18" t="str">
        <f aca="false">IF($A42="","",SUMIFS(持仓表!$J:$J,持仓表!$A:$A,$A42))</f>
        <v/>
      </c>
      <c r="E41" s="19" t="n">
        <f aca="false">IFERROR(D42/B42,0)</f>
        <v>0</v>
      </c>
      <c r="F41" s="17"/>
      <c r="G41" s="18" t="str">
        <f aca="false">IF($B42="","",MAX($B$2:B42))</f>
        <v/>
      </c>
      <c r="H41" s="19" t="n">
        <f aca="false">IFERROR((B42-F42)/F42,0)</f>
        <v>0</v>
      </c>
      <c r="I41" s="19" t="n">
        <f aca="false">IFERROR((B42-G42)/G42,0)</f>
        <v>0</v>
      </c>
      <c r="J41" s="6"/>
      <c r="K41" s="13"/>
      <c r="L41" s="20"/>
      <c r="M41" s="20"/>
      <c r="N41" s="19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41" s="19" t="str">
        <f aca="false">IF($B42="","",IF(B42&lt;30000,35%,IF(B42&lt;50000,30%,IF(B42&lt;100000,25%,20%))))</f>
        <v/>
      </c>
      <c r="P41" s="21" t="str">
        <f aca="false">IF($A42="","",COUNTIFS(持仓表!$A:$A,$A42,持仓表!$G:$G,"&gt;0"))</f>
        <v/>
      </c>
      <c r="Q41" s="21" t="str">
        <f aca="false">IF($A42="","",COUNTIFS(持仓表!$A:$A,$A42,持仓表!$D:$D,"是",持仓表!$G:$G,"&gt;0"))</f>
        <v/>
      </c>
      <c r="R41" s="21" t="str">
        <f aca="false">IF($A42="","",MAX(0,P42-Q42))</f>
        <v/>
      </c>
      <c r="S41" s="21" t="str">
        <f aca="false">IF($B42="","",IF(B42&lt;50000,3,IF(B42&lt;100000,4,5)))</f>
        <v/>
      </c>
      <c r="T41" s="5" t="str">
        <f aca="false">IF($A42="","",IF(OR(M42&gt;=4,I42&lt;=-8%),"防守",IF(OR(M42&gt;=2,I42&lt;=-5%),"警戒","正常")))</f>
        <v/>
      </c>
      <c r="U41" s="5" t="str">
        <f aca="false">IF($A42="","",IF(AND(L42&gt;=3,M42&lt;=2,T42&lt;&gt;"防守"),"是","否"))</f>
        <v/>
      </c>
      <c r="V41" s="5" t="str">
        <f aca="false">IF($A42="","",IF(AND(E42&lt;N42,R42&lt;S42,M42&lt;=2,I42&gt;-15%),"是","否"))</f>
        <v/>
      </c>
      <c r="W41" s="5" t="str">
        <f aca="false">IF($A42="","",IF(OR(M42&gt;=3,I42&lt;=-15%),"是","否"))</f>
        <v/>
      </c>
      <c r="X41" s="18" t="str">
        <f aca="false">IF($A42="","",IFERROR(maxifs(候选池!$AB:$AB,候选池!$A:$A,$A42),0))</f>
        <v/>
      </c>
      <c r="Y41" s="18" t="str">
        <f aca="false">IF($A42="","",IF(OR(M42&gt;=4,I42&lt;=-8%),MAX(0,B42*60%-C42),IF(AND(ISNUMBER(AD42),B42&gt;AD42),IF(B42&lt;30000,0,IF(B42&lt;100000,MAX(0,(B42-AD42)*0.2),MAX(0,(B42-AD42)*0.3))),0)))</f>
        <v/>
      </c>
      <c r="Z41" s="6"/>
      <c r="AA41" s="5" t="str">
        <f aca="false">IF($A42="","",IF($AA$2&lt;&gt;"",$AA$2,""))</f>
        <v/>
      </c>
      <c r="AB41" s="6" t="str">
        <f aca="false">IF($A42="","",IF(B42&lt;30000,0.03,IF(B42&lt;100000,0.02,0.015)))</f>
        <v/>
      </c>
      <c r="AC41" s="21" t="str">
        <f aca="false">IF($A42="","",IFERROR(DATEDIF($A$2,$A42,"m"),0))</f>
        <v/>
      </c>
      <c r="AD41" s="18" t="str">
        <f aca="false">IF($A42="","",IF(OR(AA42="",AB42="",AC42=""),"",AA42*POWER(1+AB42,AC42)))</f>
        <v/>
      </c>
      <c r="AE41" s="23" t="str">
        <f aca="false">IF($A42="","",IF(OR(AD42="",AD42=0),"",B42/AD42-1))</f>
        <v/>
      </c>
      <c r="AG41" s="1" t="str">
        <f aca="false">IF($A42="","",IF(B42&lt;30000,"婴儿",IF(B42&lt;100000,"成长","成熟")))</f>
        <v/>
      </c>
      <c r="AH41" s="24"/>
      <c r="AJ41" s="24"/>
      <c r="AK41" s="24"/>
      <c r="AM41" s="24"/>
      <c r="AP41" s="15"/>
      <c r="AQ41" s="25" t="str">
        <f aca="false">IF($A42="","",B42-$AA$2-SUM($F$2:F42))</f>
        <v/>
      </c>
      <c r="AR41" s="1" t="str">
        <f aca="false">IF($A41="","",30000)</f>
        <v/>
      </c>
      <c r="AS41" s="1" t="str">
        <f aca="false">IF($A41="","",AR41-B41)</f>
        <v/>
      </c>
      <c r="AT41" s="1" t="str">
        <f aca="false">IF($A41="","",IFERROR(B41/AR41,0))</f>
        <v/>
      </c>
      <c r="AU41" s="1" t="str">
        <f aca="false">IF($A41="","",IFERROR(B41*O41,0))</f>
        <v/>
      </c>
      <c r="AV41" s="1" t="str">
        <f aca="false">IF($A41="","",IFERROR(C41/B41,0))</f>
        <v/>
      </c>
      <c r="AW41" s="1" t="str">
        <f aca="false">IF($A41="","",MAX(0,R41-S41))</f>
        <v/>
      </c>
      <c r="AX41" s="1" t="str">
        <f aca="false">IF($A41="","",IF(AW41&gt;0,"优先降持仓数",IF(C41&lt;=0,"现金不足","允许评估")))</f>
        <v/>
      </c>
      <c r="AY41" s="1" t="str">
        <f aca="false">IF($A41="","",IF(B41&lt;30000,"婴儿阶段: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9"/>
      <c r="B42" s="26"/>
      <c r="C42" s="26"/>
      <c r="D42" s="18" t="str">
        <f aca="false">IF($A43="","",SUMIFS(持仓表!$J:$J,持仓表!$A:$A,$A43))</f>
        <v/>
      </c>
      <c r="E42" s="19" t="n">
        <f aca="false">IFERROR(D43/B43,0)</f>
        <v>0</v>
      </c>
      <c r="F42" s="26"/>
      <c r="G42" s="18" t="str">
        <f aca="false">IF($B43="","",MAX($B$2:B43))</f>
        <v/>
      </c>
      <c r="H42" s="19" t="n">
        <f aca="false">IFERROR((B43-F43)/F43,0)</f>
        <v>0</v>
      </c>
      <c r="I42" s="19" t="n">
        <f aca="false">IFERROR((B43-G43)/G43,0)</f>
        <v>0</v>
      </c>
      <c r="J42" s="9"/>
      <c r="K42" s="14"/>
      <c r="L42" s="27"/>
      <c r="M42" s="27"/>
      <c r="N42" s="19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42" s="19" t="str">
        <f aca="false">IF($B43="","",IF(B43&lt;30000,35%,IF(B43&lt;50000,30%,IF(B43&lt;100000,25%,20%))))</f>
        <v/>
      </c>
      <c r="P42" s="21" t="str">
        <f aca="false">IF($A43="","",COUNTIFS(持仓表!$A:$A,$A43,持仓表!$G:$G,"&gt;0"))</f>
        <v/>
      </c>
      <c r="Q42" s="21" t="str">
        <f aca="false">IF($A43="","",COUNTIFS(持仓表!$A:$A,$A43,持仓表!$D:$D,"是",持仓表!$G:$G,"&gt;0"))</f>
        <v/>
      </c>
      <c r="R42" s="21" t="str">
        <f aca="false">IF($A43="","",MAX(0,P43-Q43))</f>
        <v/>
      </c>
      <c r="S42" s="21" t="str">
        <f aca="false">IF($B43="","",IF(B43&lt;50000,3,IF(B43&lt;100000,4,5)))</f>
        <v/>
      </c>
      <c r="T42" s="5" t="str">
        <f aca="false">IF($A43="","",IF(OR(M43&gt;=4,I43&lt;=-8%),"防守",IF(OR(M43&gt;=2,I43&lt;=-5%),"警戒","正常")))</f>
        <v/>
      </c>
      <c r="U42" s="5" t="str">
        <f aca="false">IF($A43="","",IF(AND(L43&gt;=3,M43&lt;=2,T43&lt;&gt;"防守"),"是","否"))</f>
        <v/>
      </c>
      <c r="V42" s="5" t="str">
        <f aca="false">IF($A43="","",IF(AND(E43&lt;N43,R43&lt;S43,M43&lt;=2,I43&gt;-15%),"是","否"))</f>
        <v/>
      </c>
      <c r="W42" s="5" t="str">
        <f aca="false">IF($A43="","",IF(OR(M43&gt;=3,I43&lt;=-15%),"是","否"))</f>
        <v/>
      </c>
      <c r="X42" s="18" t="str">
        <f aca="false">IF($A43="","",IFERROR(maxifs(候选池!$AB:$AB,候选池!$A:$A,$A43),0))</f>
        <v/>
      </c>
      <c r="Y42" s="18" t="str">
        <f aca="false">IF($A43="","",IF(OR(M43&gt;=4,I43&lt;=-8%),MAX(0,B43*60%-C43),IF(AND(ISNUMBER(AD43),B43&gt;AD43),IF(B43&lt;30000,0,IF(B43&lt;100000,MAX(0,(B43-AD43)*0.2),MAX(0,(B43-AD43)*0.3))),0)))</f>
        <v/>
      </c>
      <c r="Z42" s="9"/>
      <c r="AA42" s="5" t="str">
        <f aca="false">IF($A43="","",IF($AA$2&lt;&gt;"",$AA$2,""))</f>
        <v/>
      </c>
      <c r="AB42" s="9" t="str">
        <f aca="false">IF($A43="","",IF(B43&lt;30000,0.03,IF(B43&lt;100000,0.02,0.015)))</f>
        <v/>
      </c>
      <c r="AC42" s="21" t="str">
        <f aca="false">IF($A43="","",IFERROR(DATEDIF($A$2,$A43,"m"),0))</f>
        <v/>
      </c>
      <c r="AD42" s="18" t="str">
        <f aca="false">IF($A43="","",IF(OR(AA43="",AB43="",AC43=""),"",AA43*POWER(1+AB43,AC43)))</f>
        <v/>
      </c>
      <c r="AE42" s="29" t="str">
        <f aca="false">IF($A43="","",IF(OR(AD43="",AD43=0),"",B43/AD43-1))</f>
        <v/>
      </c>
      <c r="AG42" s="1" t="str">
        <f aca="false">IF($A43="","",IF(B43&lt;30000,"婴儿",IF(B43&lt;100000,"成长","成熟")))</f>
        <v/>
      </c>
      <c r="AH42" s="24"/>
      <c r="AJ42" s="24"/>
      <c r="AK42" s="24"/>
      <c r="AM42" s="24"/>
      <c r="AP42" s="15"/>
      <c r="AQ42" s="25" t="str">
        <f aca="false">IF($A43="","",B43-$AA$2-SUM($F$2:F43))</f>
        <v/>
      </c>
      <c r="AR42" s="1" t="str">
        <f aca="false">IF($A42="","",30000)</f>
        <v/>
      </c>
      <c r="AS42" s="1" t="str">
        <f aca="false">IF($A42="","",AR42-B42)</f>
        <v/>
      </c>
      <c r="AT42" s="1" t="str">
        <f aca="false">IF($A42="","",IFERROR(B42/AR42,0))</f>
        <v/>
      </c>
      <c r="AU42" s="1" t="str">
        <f aca="false">IF($A42="","",IFERROR(B42*O42,0))</f>
        <v/>
      </c>
      <c r="AV42" s="1" t="str">
        <f aca="false">IF($A42="","",IFERROR(C42/B42,0))</f>
        <v/>
      </c>
      <c r="AW42" s="1" t="str">
        <f aca="false">IF($A42="","",MAX(0,R42-S42))</f>
        <v/>
      </c>
      <c r="AX42" s="1" t="str">
        <f aca="false">IF($A42="","",IF(AW42&gt;0,"优先降持仓数",IF(C42&lt;=0,"现金不足","允许评估")))</f>
        <v/>
      </c>
      <c r="AY42" s="1" t="str">
        <f aca="false">IF($A42="","",IF(B42&lt;30000,"婴儿阶段: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6"/>
      <c r="B43" s="17"/>
      <c r="C43" s="17"/>
      <c r="D43" s="18" t="str">
        <f aca="false">IF($A44="","",SUMIFS(持仓表!$J:$J,持仓表!$A:$A,$A44))</f>
        <v/>
      </c>
      <c r="E43" s="19" t="n">
        <f aca="false">IFERROR(D44/B44,0)</f>
        <v>0</v>
      </c>
      <c r="F43" s="17"/>
      <c r="G43" s="18" t="str">
        <f aca="false">IF($B44="","",MAX($B$2:B44))</f>
        <v/>
      </c>
      <c r="H43" s="19" t="n">
        <f aca="false">IFERROR((B44-F44)/F44,0)</f>
        <v>0</v>
      </c>
      <c r="I43" s="19" t="n">
        <f aca="false">IFERROR((B44-G44)/G44,0)</f>
        <v>0</v>
      </c>
      <c r="J43" s="6"/>
      <c r="K43" s="13"/>
      <c r="L43" s="20"/>
      <c r="M43" s="20"/>
      <c r="N43" s="19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43" s="19" t="str">
        <f aca="false">IF($B44="","",IF(B44&lt;30000,35%,IF(B44&lt;50000,30%,IF(B44&lt;100000,25%,20%))))</f>
        <v/>
      </c>
      <c r="P43" s="21" t="str">
        <f aca="false">IF($A44="","",COUNTIFS(持仓表!$A:$A,$A44,持仓表!$G:$G,"&gt;0"))</f>
        <v/>
      </c>
      <c r="Q43" s="21" t="str">
        <f aca="false">IF($A44="","",COUNTIFS(持仓表!$A:$A,$A44,持仓表!$D:$D,"是",持仓表!$G:$G,"&gt;0"))</f>
        <v/>
      </c>
      <c r="R43" s="21" t="str">
        <f aca="false">IF($A44="","",MAX(0,P44-Q44))</f>
        <v/>
      </c>
      <c r="S43" s="21" t="str">
        <f aca="false">IF($B44="","",IF(B44&lt;50000,3,IF(B44&lt;100000,4,5)))</f>
        <v/>
      </c>
      <c r="T43" s="5" t="str">
        <f aca="false">IF($A44="","",IF(OR(M44&gt;=4,I44&lt;=-8%),"防守",IF(OR(M44&gt;=2,I44&lt;=-5%),"警戒","正常")))</f>
        <v/>
      </c>
      <c r="U43" s="5" t="str">
        <f aca="false">IF($A44="","",IF(AND(L44&gt;=3,M44&lt;=2,T44&lt;&gt;"防守"),"是","否"))</f>
        <v/>
      </c>
      <c r="V43" s="5" t="str">
        <f aca="false">IF($A44="","",IF(AND(E44&lt;N44,R44&lt;S44,M44&lt;=2,I44&gt;-15%),"是","否"))</f>
        <v/>
      </c>
      <c r="W43" s="5" t="str">
        <f aca="false">IF($A44="","",IF(OR(M44&gt;=3,I44&lt;=-15%),"是","否"))</f>
        <v/>
      </c>
      <c r="X43" s="18" t="str">
        <f aca="false">IF($A44="","",IFERROR(maxifs(候选池!$AB:$AB,候选池!$A:$A,$A44),0))</f>
        <v/>
      </c>
      <c r="Y43" s="18" t="str">
        <f aca="false">IF($A44="","",IF(OR(M44&gt;=4,I44&lt;=-8%),MAX(0,B44*60%-C44),IF(AND(ISNUMBER(AD44),B44&gt;AD44),IF(B44&lt;30000,0,IF(B44&lt;100000,MAX(0,(B44-AD44)*0.2),MAX(0,(B44-AD44)*0.3))),0)))</f>
        <v/>
      </c>
      <c r="Z43" s="6"/>
      <c r="AA43" s="5" t="str">
        <f aca="false">IF($A44="","",IF($AA$2&lt;&gt;"",$AA$2,""))</f>
        <v/>
      </c>
      <c r="AB43" s="6" t="str">
        <f aca="false">IF($A44="","",IF(B44&lt;30000,0.03,IF(B44&lt;100000,0.02,0.015)))</f>
        <v/>
      </c>
      <c r="AC43" s="21" t="str">
        <f aca="false">IF($A44="","",IFERROR(DATEDIF($A$2,$A44,"m"),0))</f>
        <v/>
      </c>
      <c r="AD43" s="18" t="str">
        <f aca="false">IF($A44="","",IF(OR(AA44="",AB44="",AC44=""),"",AA44*POWER(1+AB44,AC44)))</f>
        <v/>
      </c>
      <c r="AE43" s="23" t="str">
        <f aca="false">IF($A44="","",IF(OR(AD44="",AD44=0),"",B44/AD44-1))</f>
        <v/>
      </c>
      <c r="AG43" s="1" t="str">
        <f aca="false">IF($A44="","",IF(B44&lt;30000,"婴儿",IF(B44&lt;100000,"成长","成熟")))</f>
        <v/>
      </c>
      <c r="AH43" s="24"/>
      <c r="AJ43" s="24"/>
      <c r="AK43" s="24"/>
      <c r="AM43" s="24"/>
      <c r="AP43" s="15"/>
      <c r="AQ43" s="25" t="str">
        <f aca="false">IF($A44="","",B44-$AA$2-SUM($F$2:F44))</f>
        <v/>
      </c>
      <c r="AR43" s="1" t="str">
        <f aca="false">IF($A43="","",30000)</f>
        <v/>
      </c>
      <c r="AS43" s="1" t="str">
        <f aca="false">IF($A43="","",AR43-B43)</f>
        <v/>
      </c>
      <c r="AT43" s="1" t="str">
        <f aca="false">IF($A43="","",IFERROR(B43/AR43,0))</f>
        <v/>
      </c>
      <c r="AU43" s="1" t="str">
        <f aca="false">IF($A43="","",IFERROR(B43*O43,0))</f>
        <v/>
      </c>
      <c r="AV43" s="1" t="str">
        <f aca="false">IF($A43="","",IFERROR(C43/B43,0))</f>
        <v/>
      </c>
      <c r="AW43" s="1" t="str">
        <f aca="false">IF($A43="","",MAX(0,R43-S43))</f>
        <v/>
      </c>
      <c r="AX43" s="1" t="str">
        <f aca="false">IF($A43="","",IF(AW43&gt;0,"优先降持仓数",IF(C43&lt;=0,"现金不足","允许评估")))</f>
        <v/>
      </c>
      <c r="AY43" s="1" t="str">
        <f aca="false">IF($A43="","",IF(B43&lt;30000,"婴儿阶段: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9"/>
      <c r="B44" s="26"/>
      <c r="C44" s="26"/>
      <c r="D44" s="18" t="str">
        <f aca="false">IF($A45="","",SUMIFS(持仓表!$J:$J,持仓表!$A:$A,$A45))</f>
        <v/>
      </c>
      <c r="E44" s="19" t="n">
        <f aca="false">IFERROR(D45/B45,0)</f>
        <v>0</v>
      </c>
      <c r="F44" s="26"/>
      <c r="G44" s="18" t="str">
        <f aca="false">IF($B45="","",MAX($B$2:B45))</f>
        <v/>
      </c>
      <c r="H44" s="19" t="n">
        <f aca="false">IFERROR((B45-F45)/F45,0)</f>
        <v>0</v>
      </c>
      <c r="I44" s="19" t="n">
        <f aca="false">IFERROR((B45-G45)/G45,0)</f>
        <v>0</v>
      </c>
      <c r="J44" s="9"/>
      <c r="K44" s="14"/>
      <c r="L44" s="27"/>
      <c r="M44" s="27"/>
      <c r="N44" s="19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4" s="19" t="str">
        <f aca="false">IF($B45="","",IF(B45&lt;30000,35%,IF(B45&lt;50000,30%,IF(B45&lt;100000,25%,20%))))</f>
        <v/>
      </c>
      <c r="P44" s="21" t="str">
        <f aca="false">IF($A45="","",COUNTIFS(持仓表!$A:$A,$A45,持仓表!$G:$G,"&gt;0"))</f>
        <v/>
      </c>
      <c r="Q44" s="21" t="str">
        <f aca="false">IF($A45="","",COUNTIFS(持仓表!$A:$A,$A45,持仓表!$D:$D,"是",持仓表!$G:$G,"&gt;0"))</f>
        <v/>
      </c>
      <c r="R44" s="21" t="str">
        <f aca="false">IF($A45="","",MAX(0,P45-Q45))</f>
        <v/>
      </c>
      <c r="S44" s="21" t="str">
        <f aca="false">IF($B45="","",IF(B45&lt;50000,3,IF(B45&lt;100000,4,5)))</f>
        <v/>
      </c>
      <c r="T44" s="5" t="str">
        <f aca="false">IF($A45="","",IF(OR(M45&gt;=4,I45&lt;=-8%),"防守",IF(OR(M45&gt;=2,I45&lt;=-5%),"警戒","正常")))</f>
        <v/>
      </c>
      <c r="U44" s="5" t="str">
        <f aca="false">IF($A45="","",IF(AND(L45&gt;=3,M45&lt;=2,T45&lt;&gt;"防守"),"是","否"))</f>
        <v/>
      </c>
      <c r="V44" s="5" t="str">
        <f aca="false">IF($A45="","",IF(AND(E45&lt;N45,R45&lt;S45,M45&lt;=2,I45&gt;-15%),"是","否"))</f>
        <v/>
      </c>
      <c r="W44" s="5" t="str">
        <f aca="false">IF($A45="","",IF(OR(M45&gt;=3,I45&lt;=-15%),"是","否"))</f>
        <v/>
      </c>
      <c r="X44" s="18" t="str">
        <f aca="false">IF($A45="","",IFERROR(maxifs(候选池!$AB:$AB,候选池!$A:$A,$A45),0))</f>
        <v/>
      </c>
      <c r="Y44" s="18" t="str">
        <f aca="false">IF($A45="","",IF(OR(M45&gt;=4,I45&lt;=-8%),MAX(0,B45*60%-C45),IF(AND(ISNUMBER(AD45),B45&gt;AD45),IF(B45&lt;30000,0,IF(B45&lt;100000,MAX(0,(B45-AD45)*0.2),MAX(0,(B45-AD45)*0.3))),0)))</f>
        <v/>
      </c>
      <c r="Z44" s="9"/>
      <c r="AA44" s="5" t="str">
        <f aca="false">IF($A45="","",IF($AA$2&lt;&gt;"",$AA$2,""))</f>
        <v/>
      </c>
      <c r="AB44" s="9" t="str">
        <f aca="false">IF($A45="","",IF(B45&lt;30000,0.03,IF(B45&lt;100000,0.02,0.015)))</f>
        <v/>
      </c>
      <c r="AC44" s="21" t="str">
        <f aca="false">IF($A45="","",IFERROR(DATEDIF($A$2,$A45,"m"),0))</f>
        <v/>
      </c>
      <c r="AD44" s="18" t="str">
        <f aca="false">IF($A45="","",IF(OR(AA45="",AB45="",AC45=""),"",AA45*POWER(1+AB45,AC45)))</f>
        <v/>
      </c>
      <c r="AE44" s="29" t="str">
        <f aca="false">IF($A45="","",IF(OR(AD45="",AD45=0),"",B45/AD45-1))</f>
        <v/>
      </c>
      <c r="AG44" s="1" t="str">
        <f aca="false">IF($A45="","",IF(B45&lt;30000,"婴儿",IF(B45&lt;100000,"成长","成熟")))</f>
        <v/>
      </c>
      <c r="AH44" s="24"/>
      <c r="AJ44" s="24"/>
      <c r="AK44" s="24"/>
      <c r="AM44" s="24"/>
      <c r="AP44" s="15"/>
      <c r="AQ44" s="25" t="str">
        <f aca="false">IF($A45="","",B45-$AA$2-SUM($F$2:F45))</f>
        <v/>
      </c>
      <c r="AR44" s="1" t="str">
        <f aca="false">IF($A44="","",30000)</f>
        <v/>
      </c>
      <c r="AS44" s="1" t="str">
        <f aca="false">IF($A44="","",AR44-B44)</f>
        <v/>
      </c>
      <c r="AT44" s="1" t="str">
        <f aca="false">IF($A44="","",IFERROR(B44/AR44,0))</f>
        <v/>
      </c>
      <c r="AU44" s="1" t="str">
        <f aca="false">IF($A44="","",IFERROR(B44*O44,0))</f>
        <v/>
      </c>
      <c r="AV44" s="1" t="str">
        <f aca="false">IF($A44="","",IFERROR(C44/B44,0))</f>
        <v/>
      </c>
      <c r="AW44" s="1" t="str">
        <f aca="false">IF($A44="","",MAX(0,R44-S44))</f>
        <v/>
      </c>
      <c r="AX44" s="1" t="str">
        <f aca="false">IF($A44="","",IF(AW44&gt;0,"优先降持仓数",IF(C44&lt;=0,"现金不足","允许评估")))</f>
        <v/>
      </c>
      <c r="AY44" s="1" t="str">
        <f aca="false">IF($A44="","",IF(B44&lt;30000,"婴儿阶段: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6"/>
      <c r="B45" s="17"/>
      <c r="C45" s="17"/>
      <c r="D45" s="18" t="str">
        <f aca="false">IF($A46="","",SUMIFS(持仓表!$J:$J,持仓表!$A:$A,$A46))</f>
        <v/>
      </c>
      <c r="E45" s="19" t="n">
        <f aca="false">IFERROR(D46/B46,0)</f>
        <v>0</v>
      </c>
      <c r="F45" s="17"/>
      <c r="G45" s="18" t="str">
        <f aca="false">IF($B46="","",MAX($B$2:B46))</f>
        <v/>
      </c>
      <c r="H45" s="19" t="n">
        <f aca="false">IFERROR((B46-F46)/F46,0)</f>
        <v>0</v>
      </c>
      <c r="I45" s="19" t="n">
        <f aca="false">IFERROR((B46-G46)/G46,0)</f>
        <v>0</v>
      </c>
      <c r="J45" s="6"/>
      <c r="K45" s="13"/>
      <c r="L45" s="20"/>
      <c r="M45" s="20"/>
      <c r="N45" s="19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5" s="19" t="str">
        <f aca="false">IF($B46="","",IF(B46&lt;30000,35%,IF(B46&lt;50000,30%,IF(B46&lt;100000,25%,20%))))</f>
        <v/>
      </c>
      <c r="P45" s="21" t="str">
        <f aca="false">IF($A46="","",COUNTIFS(持仓表!$A:$A,$A46,持仓表!$G:$G,"&gt;0"))</f>
        <v/>
      </c>
      <c r="Q45" s="21" t="str">
        <f aca="false">IF($A46="","",COUNTIFS(持仓表!$A:$A,$A46,持仓表!$D:$D,"是",持仓表!$G:$G,"&gt;0"))</f>
        <v/>
      </c>
      <c r="R45" s="21" t="str">
        <f aca="false">IF($A46="","",MAX(0,P46-Q46))</f>
        <v/>
      </c>
      <c r="S45" s="21" t="str">
        <f aca="false">IF($B46="","",IF(B46&lt;50000,3,IF(B46&lt;100000,4,5)))</f>
        <v/>
      </c>
      <c r="T45" s="5" t="str">
        <f aca="false">IF($A46="","",IF(OR(M46&gt;=4,I46&lt;=-8%),"防守",IF(OR(M46&gt;=2,I46&lt;=-5%),"警戒","正常")))</f>
        <v/>
      </c>
      <c r="U45" s="5" t="str">
        <f aca="false">IF($A46="","",IF(AND(L46&gt;=3,M46&lt;=2,T46&lt;&gt;"防守"),"是","否"))</f>
        <v/>
      </c>
      <c r="V45" s="5" t="str">
        <f aca="false">IF($A46="","",IF(AND(E46&lt;N46,R46&lt;S46,M46&lt;=2,I46&gt;-15%),"是","否"))</f>
        <v/>
      </c>
      <c r="W45" s="5" t="str">
        <f aca="false">IF($A46="","",IF(OR(M46&gt;=3,I46&lt;=-15%),"是","否"))</f>
        <v/>
      </c>
      <c r="X45" s="18" t="str">
        <f aca="false">IF($A46="","",IFERROR(maxifs(候选池!$AB:$AB,候选池!$A:$A,$A46),0))</f>
        <v/>
      </c>
      <c r="Y45" s="18" t="str">
        <f aca="false">IF($A46="","",IF(OR(M46&gt;=4,I46&lt;=-8%),MAX(0,B46*60%-C46),IF(AND(ISNUMBER(AD46),B46&gt;AD46),IF(B46&lt;30000,0,IF(B46&lt;100000,MAX(0,(B46-AD46)*0.2),MAX(0,(B46-AD46)*0.3))),0)))</f>
        <v/>
      </c>
      <c r="Z45" s="6"/>
      <c r="AA45" s="5" t="str">
        <f aca="false">IF($A46="","",IF($AA$2&lt;&gt;"",$AA$2,""))</f>
        <v/>
      </c>
      <c r="AB45" s="6" t="str">
        <f aca="false">IF($A46="","",IF(B46&lt;30000,0.03,IF(B46&lt;100000,0.02,0.015)))</f>
        <v/>
      </c>
      <c r="AC45" s="21" t="str">
        <f aca="false">IF($A46="","",IFERROR(DATEDIF($A$2,$A46,"m"),0))</f>
        <v/>
      </c>
      <c r="AD45" s="18" t="str">
        <f aca="false">IF($A46="","",IF(OR(AA46="",AB46="",AC46=""),"",AA46*POWER(1+AB46,AC46)))</f>
        <v/>
      </c>
      <c r="AE45" s="23" t="str">
        <f aca="false">IF($A46="","",IF(OR(AD46="",AD46=0),"",B46/AD46-1))</f>
        <v/>
      </c>
      <c r="AG45" s="1" t="str">
        <f aca="false">IF($A46="","",IF(B46&lt;30000,"婴儿",IF(B46&lt;100000,"成长","成熟")))</f>
        <v/>
      </c>
      <c r="AH45" s="24"/>
      <c r="AJ45" s="24"/>
      <c r="AK45" s="24"/>
      <c r="AM45" s="24"/>
      <c r="AP45" s="15"/>
      <c r="AQ45" s="25" t="str">
        <f aca="false">IF($A46="","",B46-$AA$2-SUM($F$2:F46))</f>
        <v/>
      </c>
      <c r="AR45" s="1" t="str">
        <f aca="false">IF($A45="","",30000)</f>
        <v/>
      </c>
      <c r="AS45" s="1" t="str">
        <f aca="false">IF($A45="","",AR45-B45)</f>
        <v/>
      </c>
      <c r="AT45" s="1" t="str">
        <f aca="false">IF($A45="","",IFERROR(B45/AR45,0))</f>
        <v/>
      </c>
      <c r="AU45" s="1" t="str">
        <f aca="false">IF($A45="","",IFERROR(B45*O45,0))</f>
        <v/>
      </c>
      <c r="AV45" s="1" t="str">
        <f aca="false">IF($A45="","",IFERROR(C45/B45,0))</f>
        <v/>
      </c>
      <c r="AW45" s="1" t="str">
        <f aca="false">IF($A45="","",MAX(0,R45-S45))</f>
        <v/>
      </c>
      <c r="AX45" s="1" t="str">
        <f aca="false">IF($A45="","",IF(AW45&gt;0,"优先降持仓数",IF(C45&lt;=0,"现金不足","允许评估")))</f>
        <v/>
      </c>
      <c r="AY45" s="1" t="str">
        <f aca="false">IF($A45="","",IF(B45&lt;30000,"婴儿阶段: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9"/>
      <c r="B46" s="26"/>
      <c r="C46" s="26"/>
      <c r="D46" s="18" t="str">
        <f aca="false">IF($A47="","",SUMIFS(持仓表!$J:$J,持仓表!$A:$A,$A47))</f>
        <v/>
      </c>
      <c r="E46" s="19" t="n">
        <f aca="false">IFERROR(D47/B47,0)</f>
        <v>0</v>
      </c>
      <c r="F46" s="26"/>
      <c r="G46" s="18" t="str">
        <f aca="false">IF($B47="","",MAX($B$2:B47))</f>
        <v/>
      </c>
      <c r="H46" s="19" t="n">
        <f aca="false">IFERROR((B47-F47)/F47,0)</f>
        <v>0</v>
      </c>
      <c r="I46" s="19" t="n">
        <f aca="false">IFERROR((B47-G47)/G47,0)</f>
        <v>0</v>
      </c>
      <c r="J46" s="9"/>
      <c r="K46" s="14"/>
      <c r="L46" s="27"/>
      <c r="M46" s="27"/>
      <c r="N46" s="19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6" s="19" t="str">
        <f aca="false">IF($B47="","",IF(B47&lt;30000,35%,IF(B47&lt;50000,30%,IF(B47&lt;100000,25%,20%))))</f>
        <v/>
      </c>
      <c r="P46" s="21" t="str">
        <f aca="false">IF($A47="","",COUNTIFS(持仓表!$A:$A,$A47,持仓表!$G:$G,"&gt;0"))</f>
        <v/>
      </c>
      <c r="Q46" s="21" t="str">
        <f aca="false">IF($A47="","",COUNTIFS(持仓表!$A:$A,$A47,持仓表!$D:$D,"是",持仓表!$G:$G,"&gt;0"))</f>
        <v/>
      </c>
      <c r="R46" s="21" t="str">
        <f aca="false">IF($A47="","",MAX(0,P47-Q47))</f>
        <v/>
      </c>
      <c r="S46" s="21" t="str">
        <f aca="false">IF($B47="","",IF(B47&lt;50000,3,IF(B47&lt;100000,4,5)))</f>
        <v/>
      </c>
      <c r="T46" s="5" t="str">
        <f aca="false">IF($A47="","",IF(OR(M47&gt;=4,I47&lt;=-8%),"防守",IF(OR(M47&gt;=2,I47&lt;=-5%),"警戒","正常")))</f>
        <v/>
      </c>
      <c r="U46" s="5" t="str">
        <f aca="false">IF($A47="","",IF(AND(L47&gt;=3,M47&lt;=2,T47&lt;&gt;"防守"),"是","否"))</f>
        <v/>
      </c>
      <c r="V46" s="5" t="str">
        <f aca="false">IF($A47="","",IF(AND(E47&lt;N47,R47&lt;S47,M47&lt;=2,I47&gt;-15%),"是","否"))</f>
        <v/>
      </c>
      <c r="W46" s="5" t="str">
        <f aca="false">IF($A47="","",IF(OR(M47&gt;=3,I47&lt;=-15%),"是","否"))</f>
        <v/>
      </c>
      <c r="X46" s="18" t="str">
        <f aca="false">IF($A47="","",IFERROR(maxifs(候选池!$AB:$AB,候选池!$A:$A,$A47),0))</f>
        <v/>
      </c>
      <c r="Y46" s="18" t="str">
        <f aca="false">IF($A47="","",IF(OR(M47&gt;=4,I47&lt;=-8%),MAX(0,B47*60%-C47),IF(AND(ISNUMBER(AD47),B47&gt;AD47),IF(B47&lt;30000,0,IF(B47&lt;100000,MAX(0,(B47-AD47)*0.2),MAX(0,(B47-AD47)*0.3))),0)))</f>
        <v/>
      </c>
      <c r="Z46" s="9"/>
      <c r="AA46" s="5" t="str">
        <f aca="false">IF($A47="","",IF($AA$2&lt;&gt;"",$AA$2,""))</f>
        <v/>
      </c>
      <c r="AB46" s="9" t="str">
        <f aca="false">IF($A47="","",IF(B47&lt;30000,0.03,IF(B47&lt;100000,0.02,0.015)))</f>
        <v/>
      </c>
      <c r="AC46" s="21" t="str">
        <f aca="false">IF($A47="","",IFERROR(DATEDIF($A$2,$A47,"m"),0))</f>
        <v/>
      </c>
      <c r="AD46" s="18" t="str">
        <f aca="false">IF($A47="","",IF(OR(AA47="",AB47="",AC47=""),"",AA47*POWER(1+AB47,AC47)))</f>
        <v/>
      </c>
      <c r="AE46" s="29" t="str">
        <f aca="false">IF($A47="","",IF(OR(AD47="",AD47=0),"",B47/AD47-1))</f>
        <v/>
      </c>
      <c r="AG46" s="1" t="str">
        <f aca="false">IF($A47="","",IF(B47&lt;30000,"婴儿",IF(B47&lt;100000,"成长","成熟")))</f>
        <v/>
      </c>
      <c r="AH46" s="24"/>
      <c r="AJ46" s="24"/>
      <c r="AK46" s="24"/>
      <c r="AM46" s="24"/>
      <c r="AP46" s="15"/>
      <c r="AQ46" s="25" t="str">
        <f aca="false">IF($A47="","",B47-$AA$2-SUM($F$2:F47))</f>
        <v/>
      </c>
      <c r="AR46" s="1" t="str">
        <f aca="false">IF($A46="","",30000)</f>
        <v/>
      </c>
      <c r="AS46" s="1" t="str">
        <f aca="false">IF($A46="","",AR46-B46)</f>
        <v/>
      </c>
      <c r="AT46" s="1" t="str">
        <f aca="false">IF($A46="","",IFERROR(B46/AR46,0))</f>
        <v/>
      </c>
      <c r="AU46" s="1" t="str">
        <f aca="false">IF($A46="","",IFERROR(B46*O46,0))</f>
        <v/>
      </c>
      <c r="AV46" s="1" t="str">
        <f aca="false">IF($A46="","",IFERROR(C46/B46,0))</f>
        <v/>
      </c>
      <c r="AW46" s="1" t="str">
        <f aca="false">IF($A46="","",MAX(0,R46-S46))</f>
        <v/>
      </c>
      <c r="AX46" s="1" t="str">
        <f aca="false">IF($A46="","",IF(AW46&gt;0,"优先降持仓数",IF(C46&lt;=0,"现金不足","允许评估")))</f>
        <v/>
      </c>
      <c r="AY46" s="1" t="str">
        <f aca="false">IF($A46="","",IF(B46&lt;30000,"婴儿阶段: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6"/>
      <c r="B47" s="17"/>
      <c r="C47" s="17"/>
      <c r="D47" s="18" t="str">
        <f aca="false">IF($A48="","",SUMIFS(持仓表!$J:$J,持仓表!$A:$A,$A48))</f>
        <v/>
      </c>
      <c r="E47" s="19" t="n">
        <f aca="false">IFERROR(D48/B48,0)</f>
        <v>0</v>
      </c>
      <c r="F47" s="17"/>
      <c r="G47" s="18" t="str">
        <f aca="false">IF($B48="","",MAX($B$2:B48))</f>
        <v/>
      </c>
      <c r="H47" s="19" t="n">
        <f aca="false">IFERROR((B48-F48)/F48,0)</f>
        <v>0</v>
      </c>
      <c r="I47" s="19" t="n">
        <f aca="false">IFERROR((B48-G48)/G48,0)</f>
        <v>0</v>
      </c>
      <c r="J47" s="6"/>
      <c r="K47" s="13"/>
      <c r="L47" s="20"/>
      <c r="M47" s="20"/>
      <c r="N47" s="19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7" s="19" t="str">
        <f aca="false">IF($B48="","",IF(B48&lt;30000,35%,IF(B48&lt;50000,30%,IF(B48&lt;100000,25%,20%))))</f>
        <v/>
      </c>
      <c r="P47" s="21" t="str">
        <f aca="false">IF($A48="","",COUNTIFS(持仓表!$A:$A,$A48,持仓表!$G:$G,"&gt;0"))</f>
        <v/>
      </c>
      <c r="Q47" s="21" t="str">
        <f aca="false">IF($A48="","",COUNTIFS(持仓表!$A:$A,$A48,持仓表!$D:$D,"是",持仓表!$G:$G,"&gt;0"))</f>
        <v/>
      </c>
      <c r="R47" s="21" t="str">
        <f aca="false">IF($A48="","",MAX(0,P48-Q48))</f>
        <v/>
      </c>
      <c r="S47" s="21" t="str">
        <f aca="false">IF($B48="","",IF(B48&lt;50000,3,IF(B48&lt;100000,4,5)))</f>
        <v/>
      </c>
      <c r="T47" s="5" t="str">
        <f aca="false">IF($A48="","",IF(OR(M48&gt;=4,I48&lt;=-8%),"防守",IF(OR(M48&gt;=2,I48&lt;=-5%),"警戒","正常")))</f>
        <v/>
      </c>
      <c r="U47" s="5" t="str">
        <f aca="false">IF($A48="","",IF(AND(L48&gt;=3,M48&lt;=2,T48&lt;&gt;"防守"),"是","否"))</f>
        <v/>
      </c>
      <c r="V47" s="5" t="str">
        <f aca="false">IF($A48="","",IF(AND(E48&lt;N48,R48&lt;S48,M48&lt;=2,I48&gt;-15%),"是","否"))</f>
        <v/>
      </c>
      <c r="W47" s="5" t="str">
        <f aca="false">IF($A48="","",IF(OR(M48&gt;=3,I48&lt;=-15%),"是","否"))</f>
        <v/>
      </c>
      <c r="X47" s="18" t="str">
        <f aca="false">IF($A48="","",IFERROR(maxifs(候选池!$AB:$AB,候选池!$A:$A,$A48),0))</f>
        <v/>
      </c>
      <c r="Y47" s="18" t="str">
        <f aca="false">IF($A48="","",IF(OR(M48&gt;=4,I48&lt;=-8%),MAX(0,B48*60%-C48),IF(AND(ISNUMBER(AD48),B48&gt;AD48),IF(B48&lt;30000,0,IF(B48&lt;100000,MAX(0,(B48-AD48)*0.2),MAX(0,(B48-AD48)*0.3))),0)))</f>
        <v/>
      </c>
      <c r="Z47" s="6"/>
      <c r="AA47" s="5" t="str">
        <f aca="false">IF($A48="","",IF($AA$2&lt;&gt;"",$AA$2,""))</f>
        <v/>
      </c>
      <c r="AB47" s="6" t="str">
        <f aca="false">IF($A48="","",IF(B48&lt;30000,0.03,IF(B48&lt;100000,0.02,0.015)))</f>
        <v/>
      </c>
      <c r="AC47" s="21" t="str">
        <f aca="false">IF($A48="","",IFERROR(DATEDIF($A$2,$A48,"m"),0))</f>
        <v/>
      </c>
      <c r="AD47" s="18" t="str">
        <f aca="false">IF($A48="","",IF(OR(AA48="",AB48="",AC48=""),"",AA48*POWER(1+AB48,AC48)))</f>
        <v/>
      </c>
      <c r="AE47" s="23" t="str">
        <f aca="false">IF($A48="","",IF(OR(AD48="",AD48=0),"",B48/AD48-1))</f>
        <v/>
      </c>
      <c r="AG47" s="1" t="str">
        <f aca="false">IF($A48="","",IF(B48&lt;30000,"婴儿",IF(B48&lt;100000,"成长","成熟")))</f>
        <v/>
      </c>
      <c r="AH47" s="24"/>
      <c r="AJ47" s="24"/>
      <c r="AK47" s="24"/>
      <c r="AM47" s="24"/>
      <c r="AP47" s="15"/>
      <c r="AQ47" s="25" t="str">
        <f aca="false">IF($A48="","",B48-$AA$2-SUM($F$2:F48))</f>
        <v/>
      </c>
      <c r="AR47" s="1" t="str">
        <f aca="false">IF($A47="","",30000)</f>
        <v/>
      </c>
      <c r="AS47" s="1" t="str">
        <f aca="false">IF($A47="","",AR47-B47)</f>
        <v/>
      </c>
      <c r="AT47" s="1" t="str">
        <f aca="false">IF($A47="","",IFERROR(B47/AR47,0))</f>
        <v/>
      </c>
      <c r="AU47" s="1" t="str">
        <f aca="false">IF($A47="","",IFERROR(B47*O47,0))</f>
        <v/>
      </c>
      <c r="AV47" s="1" t="str">
        <f aca="false">IF($A47="","",IFERROR(C47/B47,0))</f>
        <v/>
      </c>
      <c r="AW47" s="1" t="str">
        <f aca="false">IF($A47="","",MAX(0,R47-S47))</f>
        <v/>
      </c>
      <c r="AX47" s="1" t="str">
        <f aca="false">IF($A47="","",IF(AW47&gt;0,"优先降持仓数",IF(C47&lt;=0,"现金不足","允许评估")))</f>
        <v/>
      </c>
      <c r="AY47" s="1" t="str">
        <f aca="false">IF($A47="","",IF(B47&lt;30000,"婴儿阶段: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9"/>
      <c r="B48" s="26"/>
      <c r="C48" s="26"/>
      <c r="D48" s="18" t="str">
        <f aca="false">IF($A49="","",SUMIFS(持仓表!$J:$J,持仓表!$A:$A,$A49))</f>
        <v/>
      </c>
      <c r="E48" s="19" t="n">
        <f aca="false">IFERROR(D49/B49,0)</f>
        <v>0</v>
      </c>
      <c r="F48" s="26"/>
      <c r="G48" s="18" t="str">
        <f aca="false">IF($B49="","",MAX($B$2:B49))</f>
        <v/>
      </c>
      <c r="H48" s="19" t="n">
        <f aca="false">IFERROR((B49-F49)/F49,0)</f>
        <v>0</v>
      </c>
      <c r="I48" s="19" t="n">
        <f aca="false">IFERROR((B49-G49)/G49,0)</f>
        <v>0</v>
      </c>
      <c r="J48" s="9"/>
      <c r="K48" s="14"/>
      <c r="L48" s="27"/>
      <c r="M48" s="27"/>
      <c r="N48" s="19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8" s="19" t="str">
        <f aca="false">IF($B49="","",IF(B49&lt;30000,35%,IF(B49&lt;50000,30%,IF(B49&lt;100000,25%,20%))))</f>
        <v/>
      </c>
      <c r="P48" s="21" t="str">
        <f aca="false">IF($A49="","",COUNTIFS(持仓表!$A:$A,$A49,持仓表!$G:$G,"&gt;0"))</f>
        <v/>
      </c>
      <c r="Q48" s="21" t="str">
        <f aca="false">IF($A49="","",COUNTIFS(持仓表!$A:$A,$A49,持仓表!$D:$D,"是",持仓表!$G:$G,"&gt;0"))</f>
        <v/>
      </c>
      <c r="R48" s="21" t="str">
        <f aca="false">IF($A49="","",MAX(0,P49-Q49))</f>
        <v/>
      </c>
      <c r="S48" s="21" t="str">
        <f aca="false">IF($B49="","",IF(B49&lt;50000,3,IF(B49&lt;100000,4,5)))</f>
        <v/>
      </c>
      <c r="T48" s="5" t="str">
        <f aca="false">IF($A49="","",IF(OR(M49&gt;=4,I49&lt;=-8%),"防守",IF(OR(M49&gt;=2,I49&lt;=-5%),"警戒","正常")))</f>
        <v/>
      </c>
      <c r="U48" s="5" t="str">
        <f aca="false">IF($A49="","",IF(AND(L49&gt;=3,M49&lt;=2,T49&lt;&gt;"防守"),"是","否"))</f>
        <v/>
      </c>
      <c r="V48" s="5" t="str">
        <f aca="false">IF($A49="","",IF(AND(E49&lt;N49,R49&lt;S49,M49&lt;=2,I49&gt;-15%),"是","否"))</f>
        <v/>
      </c>
      <c r="W48" s="5" t="str">
        <f aca="false">IF($A49="","",IF(OR(M49&gt;=3,I49&lt;=-15%),"是","否"))</f>
        <v/>
      </c>
      <c r="X48" s="18" t="str">
        <f aca="false">IF($A49="","",IFERROR(maxifs(候选池!$AB:$AB,候选池!$A:$A,$A49),0))</f>
        <v/>
      </c>
      <c r="Y48" s="18" t="str">
        <f aca="false">IF($A49="","",IF(OR(M49&gt;=4,I49&lt;=-8%),MAX(0,B49*60%-C49),IF(AND(ISNUMBER(AD49),B49&gt;AD49),IF(B49&lt;30000,0,IF(B49&lt;100000,MAX(0,(B49-AD49)*0.2),MAX(0,(B49-AD49)*0.3))),0)))</f>
        <v/>
      </c>
      <c r="Z48" s="9"/>
      <c r="AA48" s="5" t="str">
        <f aca="false">IF($A49="","",IF($AA$2&lt;&gt;"",$AA$2,""))</f>
        <v/>
      </c>
      <c r="AB48" s="9" t="str">
        <f aca="false">IF($A49="","",IF(B49&lt;30000,0.03,IF(B49&lt;100000,0.02,0.015)))</f>
        <v/>
      </c>
      <c r="AC48" s="21" t="str">
        <f aca="false">IF($A49="","",IFERROR(DATEDIF($A$2,$A49,"m"),0))</f>
        <v/>
      </c>
      <c r="AD48" s="18" t="str">
        <f aca="false">IF($A49="","",IF(OR(AA49="",AB49="",AC49=""),"",AA49*POWER(1+AB49,AC49)))</f>
        <v/>
      </c>
      <c r="AE48" s="29" t="str">
        <f aca="false">IF($A49="","",IF(OR(AD49="",AD49=0),"",B49/AD49-1))</f>
        <v/>
      </c>
      <c r="AG48" s="1" t="str">
        <f aca="false">IF($A49="","",IF(B49&lt;30000,"婴儿",IF(B49&lt;100000,"成长","成熟")))</f>
        <v/>
      </c>
      <c r="AH48" s="24"/>
      <c r="AJ48" s="24"/>
      <c r="AK48" s="24"/>
      <c r="AM48" s="24"/>
      <c r="AP48" s="15"/>
      <c r="AQ48" s="25" t="str">
        <f aca="false">IF($A49="","",B49-$AA$2-SUM($F$2:F49))</f>
        <v/>
      </c>
      <c r="AR48" s="1" t="str">
        <f aca="false">IF($A48="","",30000)</f>
        <v/>
      </c>
      <c r="AS48" s="1" t="str">
        <f aca="false">IF($A48="","",AR48-B48)</f>
        <v/>
      </c>
      <c r="AT48" s="1" t="str">
        <f aca="false">IF($A48="","",IFERROR(B48/AR48,0))</f>
        <v/>
      </c>
      <c r="AU48" s="1" t="str">
        <f aca="false">IF($A48="","",IFERROR(B48*O48,0))</f>
        <v/>
      </c>
      <c r="AV48" s="1" t="str">
        <f aca="false">IF($A48="","",IFERROR(C48/B48,0))</f>
        <v/>
      </c>
      <c r="AW48" s="1" t="str">
        <f aca="false">IF($A48="","",MAX(0,R48-S48))</f>
        <v/>
      </c>
      <c r="AX48" s="1" t="str">
        <f aca="false">IF($A48="","",IF(AW48&gt;0,"优先降持仓数",IF(C48&lt;=0,"现金不足","允许评估")))</f>
        <v/>
      </c>
      <c r="AY48" s="1" t="str">
        <f aca="false">IF($A48="","",IF(B48&lt;30000,"婴儿阶段: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6"/>
      <c r="B49" s="17"/>
      <c r="C49" s="17"/>
      <c r="D49" s="18" t="str">
        <f aca="false">IF($A50="","",SUMIFS(持仓表!$J:$J,持仓表!$A:$A,$A50))</f>
        <v/>
      </c>
      <c r="E49" s="19" t="n">
        <f aca="false">IFERROR(D50/B50,0)</f>
        <v>0</v>
      </c>
      <c r="F49" s="17"/>
      <c r="G49" s="18" t="str">
        <f aca="false">IF($B50="","",MAX($B$2:B50))</f>
        <v/>
      </c>
      <c r="H49" s="19" t="n">
        <f aca="false">IFERROR((B50-F50)/F50,0)</f>
        <v>0</v>
      </c>
      <c r="I49" s="19" t="n">
        <f aca="false">IFERROR((B50-G50)/G50,0)</f>
        <v>0</v>
      </c>
      <c r="J49" s="6"/>
      <c r="K49" s="13"/>
      <c r="L49" s="20"/>
      <c r="M49" s="20"/>
      <c r="N49" s="19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9" s="19" t="str">
        <f aca="false">IF($B50="","",IF(B50&lt;30000,35%,IF(B50&lt;50000,30%,IF(B50&lt;100000,25%,20%))))</f>
        <v/>
      </c>
      <c r="P49" s="21" t="str">
        <f aca="false">IF($A50="","",COUNTIFS(持仓表!$A:$A,$A50,持仓表!$G:$G,"&gt;0"))</f>
        <v/>
      </c>
      <c r="Q49" s="21" t="str">
        <f aca="false">IF($A50="","",COUNTIFS(持仓表!$A:$A,$A50,持仓表!$D:$D,"是",持仓表!$G:$G,"&gt;0"))</f>
        <v/>
      </c>
      <c r="R49" s="21" t="str">
        <f aca="false">IF($A50="","",MAX(0,P50-Q50))</f>
        <v/>
      </c>
      <c r="S49" s="21" t="str">
        <f aca="false">IF($B50="","",IF(B50&lt;50000,3,IF(B50&lt;100000,4,5)))</f>
        <v/>
      </c>
      <c r="T49" s="5" t="str">
        <f aca="false">IF($A50="","",IF(OR(M50&gt;=4,I50&lt;=-8%),"防守",IF(OR(M50&gt;=2,I50&lt;=-5%),"警戒","正常")))</f>
        <v/>
      </c>
      <c r="U49" s="5" t="str">
        <f aca="false">IF($A50="","",IF(AND(L50&gt;=3,M50&lt;=2,T50&lt;&gt;"防守"),"是","否"))</f>
        <v/>
      </c>
      <c r="V49" s="5" t="str">
        <f aca="false">IF($A50="","",IF(AND(E50&lt;N50,R50&lt;S50,M50&lt;=2,I50&gt;-15%),"是","否"))</f>
        <v/>
      </c>
      <c r="W49" s="5" t="str">
        <f aca="false">IF($A50="","",IF(OR(M50&gt;=3,I50&lt;=-15%),"是","否"))</f>
        <v/>
      </c>
      <c r="X49" s="18" t="str">
        <f aca="false">IF($A50="","",IFERROR(maxifs(候选池!$AB:$AB,候选池!$A:$A,$A50),0))</f>
        <v/>
      </c>
      <c r="Y49" s="18" t="str">
        <f aca="false">IF($A50="","",IF(OR(M50&gt;=4,I50&lt;=-8%),MAX(0,B50*60%-C50),IF(AND(ISNUMBER(AD50),B50&gt;AD50),IF(B50&lt;30000,0,IF(B50&lt;100000,MAX(0,(B50-AD50)*0.2),MAX(0,(B50-AD50)*0.3))),0)))</f>
        <v/>
      </c>
      <c r="Z49" s="6"/>
      <c r="AA49" s="5" t="str">
        <f aca="false">IF($A50="","",IF($AA$2&lt;&gt;"",$AA$2,""))</f>
        <v/>
      </c>
      <c r="AB49" s="6" t="str">
        <f aca="false">IF($A50="","",IF(B50&lt;30000,0.03,IF(B50&lt;100000,0.02,0.015)))</f>
        <v/>
      </c>
      <c r="AC49" s="21" t="str">
        <f aca="false">IF($A50="","",IFERROR(DATEDIF($A$2,$A50,"m"),0))</f>
        <v/>
      </c>
      <c r="AD49" s="18" t="str">
        <f aca="false">IF($A50="","",IF(OR(AA50="",AB50="",AC50=""),"",AA50*POWER(1+AB50,AC50)))</f>
        <v/>
      </c>
      <c r="AE49" s="23" t="str">
        <f aca="false">IF($A50="","",IF(OR(AD50="",AD50=0),"",B50/AD50-1))</f>
        <v/>
      </c>
      <c r="AG49" s="1" t="str">
        <f aca="false">IF($A50="","",IF(B50&lt;30000,"婴儿",IF(B50&lt;100000,"成长","成熟")))</f>
        <v/>
      </c>
      <c r="AH49" s="24"/>
      <c r="AJ49" s="24"/>
      <c r="AK49" s="24"/>
      <c r="AM49" s="24"/>
      <c r="AP49" s="15"/>
      <c r="AQ49" s="25" t="str">
        <f aca="false">IF($A50="","",B50-$AA$2-SUM($F$2:F50))</f>
        <v/>
      </c>
      <c r="AR49" s="1" t="str">
        <f aca="false">IF($A49="","",30000)</f>
        <v/>
      </c>
      <c r="AS49" s="1" t="str">
        <f aca="false">IF($A49="","",AR49-B49)</f>
        <v/>
      </c>
      <c r="AT49" s="1" t="str">
        <f aca="false">IF($A49="","",IFERROR(B49/AR49,0))</f>
        <v/>
      </c>
      <c r="AU49" s="1" t="str">
        <f aca="false">IF($A49="","",IFERROR(B49*O49,0))</f>
        <v/>
      </c>
      <c r="AV49" s="1" t="str">
        <f aca="false">IF($A49="","",IFERROR(C49/B49,0))</f>
        <v/>
      </c>
      <c r="AW49" s="1" t="str">
        <f aca="false">IF($A49="","",MAX(0,R49-S49))</f>
        <v/>
      </c>
      <c r="AX49" s="1" t="str">
        <f aca="false">IF($A49="","",IF(AW49&gt;0,"优先降持仓数",IF(C49&lt;=0,"现金不足","允许评估")))</f>
        <v/>
      </c>
      <c r="AY49" s="1" t="str">
        <f aca="false">IF($A49="","",IF(B49&lt;30000,"婴儿阶段: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9"/>
      <c r="B50" s="26"/>
      <c r="C50" s="26"/>
      <c r="D50" s="18" t="str">
        <f aca="false">IF($A51="","",SUMIFS(持仓表!$J:$J,持仓表!$A:$A,$A51))</f>
        <v/>
      </c>
      <c r="E50" s="19" t="n">
        <f aca="false">IFERROR(D51/B51,0)</f>
        <v>0</v>
      </c>
      <c r="F50" s="26"/>
      <c r="G50" s="18" t="str">
        <f aca="false">IF($B51="","",MAX($B$2:B51))</f>
        <v/>
      </c>
      <c r="H50" s="19" t="n">
        <f aca="false">IFERROR((B51-F51)/F51,0)</f>
        <v>0</v>
      </c>
      <c r="I50" s="19" t="n">
        <f aca="false">IFERROR((B51-G51)/G51,0)</f>
        <v>0</v>
      </c>
      <c r="J50" s="9"/>
      <c r="K50" s="14"/>
      <c r="L50" s="27"/>
      <c r="M50" s="27"/>
      <c r="N50" s="19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50" s="19" t="str">
        <f aca="false">IF($B51="","",IF(B51&lt;30000,35%,IF(B51&lt;50000,30%,IF(B51&lt;100000,25%,20%))))</f>
        <v/>
      </c>
      <c r="P50" s="21" t="str">
        <f aca="false">IF($A51="","",COUNTIFS(持仓表!$A:$A,$A51,持仓表!$G:$G,"&gt;0"))</f>
        <v/>
      </c>
      <c r="Q50" s="21" t="str">
        <f aca="false">IF($A51="","",COUNTIFS(持仓表!$A:$A,$A51,持仓表!$D:$D,"是",持仓表!$G:$G,"&gt;0"))</f>
        <v/>
      </c>
      <c r="R50" s="21" t="str">
        <f aca="false">IF($A51="","",MAX(0,P51-Q51))</f>
        <v/>
      </c>
      <c r="S50" s="21" t="str">
        <f aca="false">IF($B51="","",IF(B51&lt;50000,3,IF(B51&lt;100000,4,5)))</f>
        <v/>
      </c>
      <c r="T50" s="5" t="str">
        <f aca="false">IF($A51="","",IF(OR(M51&gt;=4,I51&lt;=-8%),"防守",IF(OR(M51&gt;=2,I51&lt;=-5%),"警戒","正常")))</f>
        <v/>
      </c>
      <c r="U50" s="5" t="str">
        <f aca="false">IF($A51="","",IF(AND(L51&gt;=3,M51&lt;=2,T51&lt;&gt;"防守"),"是","否"))</f>
        <v/>
      </c>
      <c r="V50" s="5" t="str">
        <f aca="false">IF($A51="","",IF(AND(E51&lt;N51,R51&lt;S51,M51&lt;=2,I51&gt;-15%),"是","否"))</f>
        <v/>
      </c>
      <c r="W50" s="5" t="str">
        <f aca="false">IF($A51="","",IF(OR(M51&gt;=3,I51&lt;=-15%),"是","否"))</f>
        <v/>
      </c>
      <c r="X50" s="18" t="str">
        <f aca="false">IF($A51="","",IFERROR(maxifs(候选池!$AB:$AB,候选池!$A:$A,$A51),0))</f>
        <v/>
      </c>
      <c r="Y50" s="18" t="str">
        <f aca="false">IF($A51="","",IF(OR(M51&gt;=4,I51&lt;=-8%),MAX(0,B51*60%-C51),IF(AND(ISNUMBER(AD51),B51&gt;AD51),IF(B51&lt;30000,0,IF(B51&lt;100000,MAX(0,(B51-AD51)*0.2),MAX(0,(B51-AD51)*0.3))),0)))</f>
        <v/>
      </c>
      <c r="Z50" s="9"/>
      <c r="AA50" s="5" t="str">
        <f aca="false">IF($A51="","",IF($AA$2&lt;&gt;"",$AA$2,""))</f>
        <v/>
      </c>
      <c r="AB50" s="9" t="str">
        <f aca="false">IF($A51="","",IF(B51&lt;30000,0.03,IF(B51&lt;100000,0.02,0.015)))</f>
        <v/>
      </c>
      <c r="AC50" s="21" t="str">
        <f aca="false">IF($A51="","",IFERROR(DATEDIF($A$2,$A51,"m"),0))</f>
        <v/>
      </c>
      <c r="AD50" s="18" t="str">
        <f aca="false">IF($A51="","",IF(OR(AA51="",AB51="",AC51=""),"",AA51*POWER(1+AB51,AC51)))</f>
        <v/>
      </c>
      <c r="AE50" s="29" t="str">
        <f aca="false">IF($A51="","",IF(OR(AD51="",AD51=0),"",B51/AD51-1))</f>
        <v/>
      </c>
      <c r="AG50" s="1" t="str">
        <f aca="false">IF($A51="","",IF(B51&lt;30000,"婴儿",IF(B51&lt;100000,"成长","成熟")))</f>
        <v/>
      </c>
      <c r="AH50" s="24"/>
      <c r="AJ50" s="24"/>
      <c r="AK50" s="24"/>
      <c r="AM50" s="24"/>
      <c r="AP50" s="15"/>
      <c r="AQ50" s="25" t="str">
        <f aca="false">IF($A51="","",B51-$AA$2-SUM($F$2:F51))</f>
        <v/>
      </c>
      <c r="AR50" s="1" t="str">
        <f aca="false">IF($A50="","",30000)</f>
        <v/>
      </c>
      <c r="AS50" s="1" t="str">
        <f aca="false">IF($A50="","",AR50-B50)</f>
        <v/>
      </c>
      <c r="AT50" s="1" t="str">
        <f aca="false">IF($A50="","",IFERROR(B50/AR50,0))</f>
        <v/>
      </c>
      <c r="AU50" s="1" t="str">
        <f aca="false">IF($A50="","",IFERROR(B50*O50,0))</f>
        <v/>
      </c>
      <c r="AV50" s="1" t="str">
        <f aca="false">IF($A50="","",IFERROR(C50/B50,0))</f>
        <v/>
      </c>
      <c r="AW50" s="1" t="str">
        <f aca="false">IF($A50="","",MAX(0,R50-S50))</f>
        <v/>
      </c>
      <c r="AX50" s="1" t="str">
        <f aca="false">IF($A50="","",IF(AW50&gt;0,"优先降持仓数",IF(C50&lt;=0,"现金不足","允许评估")))</f>
        <v/>
      </c>
      <c r="AY50" s="1" t="str">
        <f aca="false">IF($A50="","",IF(B50&lt;30000,"婴儿阶段: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6"/>
      <c r="B51" s="17"/>
      <c r="C51" s="17"/>
      <c r="D51" s="18" t="str">
        <f aca="false">IF($A52="","",SUMIFS(持仓表!$J:$J,持仓表!$A:$A,$A52))</f>
        <v/>
      </c>
      <c r="E51" s="19" t="n">
        <f aca="false">IFERROR(D52/B52,0)</f>
        <v>0</v>
      </c>
      <c r="F51" s="17"/>
      <c r="G51" s="18" t="str">
        <f aca="false">IF($B52="","",MAX($B$2:B52))</f>
        <v/>
      </c>
      <c r="H51" s="19" t="n">
        <f aca="false">IFERROR((B52-F52)/F52,0)</f>
        <v>0</v>
      </c>
      <c r="I51" s="19" t="n">
        <f aca="false">IFERROR((B52-G52)/G52,0)</f>
        <v>0</v>
      </c>
      <c r="J51" s="6"/>
      <c r="K51" s="13"/>
      <c r="L51" s="20"/>
      <c r="M51" s="20"/>
      <c r="N51" s="19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51" s="19" t="str">
        <f aca="false">IF($B52="","",IF(B52&lt;30000,35%,IF(B52&lt;50000,30%,IF(B52&lt;100000,25%,20%))))</f>
        <v/>
      </c>
      <c r="P51" s="21" t="str">
        <f aca="false">IF($A52="","",COUNTIFS(持仓表!$A:$A,$A52,持仓表!$G:$G,"&gt;0"))</f>
        <v/>
      </c>
      <c r="Q51" s="21" t="str">
        <f aca="false">IF($A52="","",COUNTIFS(持仓表!$A:$A,$A52,持仓表!$D:$D,"是",持仓表!$G:$G,"&gt;0"))</f>
        <v/>
      </c>
      <c r="R51" s="21" t="str">
        <f aca="false">IF($A52="","",MAX(0,P52-Q52))</f>
        <v/>
      </c>
      <c r="S51" s="21" t="str">
        <f aca="false">IF($B52="","",IF(B52&lt;50000,3,IF(B52&lt;100000,4,5)))</f>
        <v/>
      </c>
      <c r="T51" s="5" t="str">
        <f aca="false">IF($A52="","",IF(OR(M52&gt;=4,I52&lt;=-8%),"防守",IF(OR(M52&gt;=2,I52&lt;=-5%),"警戒","正常")))</f>
        <v/>
      </c>
      <c r="U51" s="5" t="str">
        <f aca="false">IF($A52="","",IF(AND(L52&gt;=3,M52&lt;=2,T52&lt;&gt;"防守"),"是","否"))</f>
        <v/>
      </c>
      <c r="V51" s="5" t="str">
        <f aca="false">IF($A52="","",IF(AND(E52&lt;N52,R52&lt;S52,M52&lt;=2,I52&gt;-15%),"是","否"))</f>
        <v/>
      </c>
      <c r="W51" s="5" t="str">
        <f aca="false">IF($A52="","",IF(OR(M52&gt;=3,I52&lt;=-15%),"是","否"))</f>
        <v/>
      </c>
      <c r="X51" s="18" t="str">
        <f aca="false">IF($A52="","",IFERROR(maxifs(候选池!$AB:$AB,候选池!$A:$A,$A52),0))</f>
        <v/>
      </c>
      <c r="Y51" s="18" t="str">
        <f aca="false">IF($A52="","",IF(OR(M52&gt;=4,I52&lt;=-8%),MAX(0,B52*60%-C52),IF(AND(ISNUMBER(AD52),B52&gt;AD52),IF(B52&lt;30000,0,IF(B52&lt;100000,MAX(0,(B52-AD52)*0.2),MAX(0,(B52-AD52)*0.3))),0)))</f>
        <v/>
      </c>
      <c r="Z51" s="6"/>
      <c r="AA51" s="5" t="str">
        <f aca="false">IF($A52="","",IF($AA$2&lt;&gt;"",$AA$2,""))</f>
        <v/>
      </c>
      <c r="AB51" s="6" t="str">
        <f aca="false">IF($A52="","",IF(B52&lt;30000,0.03,IF(B52&lt;100000,0.02,0.015)))</f>
        <v/>
      </c>
      <c r="AC51" s="21" t="str">
        <f aca="false">IF($A52="","",IFERROR(DATEDIF($A$2,$A52,"m"),0))</f>
        <v/>
      </c>
      <c r="AD51" s="18" t="str">
        <f aca="false">IF($A52="","",IF(OR(AA52="",AB52="",AC52=""),"",AA52*POWER(1+AB52,AC52)))</f>
        <v/>
      </c>
      <c r="AE51" s="23" t="str">
        <f aca="false">IF($A52="","",IF(OR(AD52="",AD52=0),"",B52/AD52-1))</f>
        <v/>
      </c>
      <c r="AG51" s="1" t="str">
        <f aca="false">IF($A52="","",IF(B52&lt;30000,"婴儿",IF(B52&lt;100000,"成长","成熟")))</f>
        <v/>
      </c>
      <c r="AH51" s="24"/>
      <c r="AJ51" s="24"/>
      <c r="AK51" s="24"/>
      <c r="AM51" s="24"/>
      <c r="AP51" s="15"/>
      <c r="AQ51" s="25" t="str">
        <f aca="false">IF($A52="","",B52-$AA$2-SUM($F$2:F52))</f>
        <v/>
      </c>
      <c r="AR51" s="1" t="str">
        <f aca="false">IF($A51="","",30000)</f>
        <v/>
      </c>
      <c r="AS51" s="1" t="str">
        <f aca="false">IF($A51="","",AR51-B51)</f>
        <v/>
      </c>
      <c r="AT51" s="1" t="str">
        <f aca="false">IF($A51="","",IFERROR(B51/AR51,0))</f>
        <v/>
      </c>
      <c r="AU51" s="1" t="str">
        <f aca="false">IF($A51="","",IFERROR(B51*O51,0))</f>
        <v/>
      </c>
      <c r="AV51" s="1" t="str">
        <f aca="false">IF($A51="","",IFERROR(C51/B51,0))</f>
        <v/>
      </c>
      <c r="AW51" s="1" t="str">
        <f aca="false">IF($A51="","",MAX(0,R51-S51))</f>
        <v/>
      </c>
      <c r="AX51" s="1" t="str">
        <f aca="false">IF($A51="","",IF(AW51&gt;0,"优先降持仓数",IF(C51&lt;=0,"现金不足","允许评估")))</f>
        <v/>
      </c>
      <c r="AY51" s="1" t="str">
        <f aca="false">IF($A51="","",IF(B51&lt;30000,"婴儿阶段: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9"/>
      <c r="B52" s="26"/>
      <c r="C52" s="26"/>
      <c r="D52" s="18" t="str">
        <f aca="false">IF($A53="","",SUMIFS(持仓表!$J:$J,持仓表!$A:$A,$A53))</f>
        <v/>
      </c>
      <c r="E52" s="19" t="n">
        <f aca="false">IFERROR(D53/B53,0)</f>
        <v>0</v>
      </c>
      <c r="F52" s="26"/>
      <c r="G52" s="18" t="str">
        <f aca="false">IF($B53="","",MAX($B$2:B53))</f>
        <v/>
      </c>
      <c r="H52" s="19" t="n">
        <f aca="false">IFERROR((B53-F53)/F53,0)</f>
        <v>0</v>
      </c>
      <c r="I52" s="19" t="n">
        <f aca="false">IFERROR((B53-G53)/G53,0)</f>
        <v>0</v>
      </c>
      <c r="J52" s="9"/>
      <c r="K52" s="14"/>
      <c r="L52" s="27"/>
      <c r="M52" s="27"/>
      <c r="N52" s="19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52" s="19" t="str">
        <f aca="false">IF($B53="","",IF(B53&lt;30000,35%,IF(B53&lt;50000,30%,IF(B53&lt;100000,25%,20%))))</f>
        <v/>
      </c>
      <c r="P52" s="21" t="str">
        <f aca="false">IF($A53="","",COUNTIFS(持仓表!$A:$A,$A53,持仓表!$G:$G,"&gt;0"))</f>
        <v/>
      </c>
      <c r="Q52" s="21" t="str">
        <f aca="false">IF($A53="","",COUNTIFS(持仓表!$A:$A,$A53,持仓表!$D:$D,"是",持仓表!$G:$G,"&gt;0"))</f>
        <v/>
      </c>
      <c r="R52" s="21" t="str">
        <f aca="false">IF($A53="","",MAX(0,P53-Q53))</f>
        <v/>
      </c>
      <c r="S52" s="21" t="str">
        <f aca="false">IF($B53="","",IF(B53&lt;50000,3,IF(B53&lt;100000,4,5)))</f>
        <v/>
      </c>
      <c r="T52" s="5" t="str">
        <f aca="false">IF($A53="","",IF(OR(M53&gt;=4,I53&lt;=-8%),"防守",IF(OR(M53&gt;=2,I53&lt;=-5%),"警戒","正常")))</f>
        <v/>
      </c>
      <c r="U52" s="5" t="str">
        <f aca="false">IF($A53="","",IF(AND(L53&gt;=3,M53&lt;=2,T53&lt;&gt;"防守"),"是","否"))</f>
        <v/>
      </c>
      <c r="V52" s="5" t="str">
        <f aca="false">IF($A53="","",IF(AND(E53&lt;N53,R53&lt;S53,M53&lt;=2,I53&gt;-15%),"是","否"))</f>
        <v/>
      </c>
      <c r="W52" s="5" t="str">
        <f aca="false">IF($A53="","",IF(OR(M53&gt;=3,I53&lt;=-15%),"是","否"))</f>
        <v/>
      </c>
      <c r="X52" s="18" t="str">
        <f aca="false">IF($A53="","",IFERROR(maxifs(候选池!$AB:$AB,候选池!$A:$A,$A53),0))</f>
        <v/>
      </c>
      <c r="Y52" s="18" t="str">
        <f aca="false">IF($A53="","",IF(OR(M53&gt;=4,I53&lt;=-8%),MAX(0,B53*60%-C53),IF(AND(ISNUMBER(AD53),B53&gt;AD53),IF(B53&lt;30000,0,IF(B53&lt;100000,MAX(0,(B53-AD53)*0.2),MAX(0,(B53-AD53)*0.3))),0)))</f>
        <v/>
      </c>
      <c r="Z52" s="9"/>
      <c r="AA52" s="5" t="str">
        <f aca="false">IF($A53="","",IF($AA$2&lt;&gt;"",$AA$2,""))</f>
        <v/>
      </c>
      <c r="AB52" s="9" t="str">
        <f aca="false">IF($A53="","",IF(B53&lt;30000,0.03,IF(B53&lt;100000,0.02,0.015)))</f>
        <v/>
      </c>
      <c r="AC52" s="21" t="str">
        <f aca="false">IF($A53="","",IFERROR(DATEDIF($A$2,$A53,"m"),0))</f>
        <v/>
      </c>
      <c r="AD52" s="18" t="str">
        <f aca="false">IF($A53="","",IF(OR(AA53="",AB53="",AC53=""),"",AA53*POWER(1+AB53,AC53)))</f>
        <v/>
      </c>
      <c r="AE52" s="29" t="str">
        <f aca="false">IF($A53="","",IF(OR(AD53="",AD53=0),"",B53/AD53-1))</f>
        <v/>
      </c>
      <c r="AG52" s="1" t="str">
        <f aca="false">IF($A53="","",IF(B53&lt;30000,"婴儿",IF(B53&lt;100000,"成长","成熟")))</f>
        <v/>
      </c>
      <c r="AH52" s="24"/>
      <c r="AJ52" s="24"/>
      <c r="AK52" s="24"/>
      <c r="AM52" s="24"/>
      <c r="AP52" s="15"/>
      <c r="AQ52" s="25" t="str">
        <f aca="false">IF($A53="","",B53-$AA$2-SUM($F$2:F53))</f>
        <v/>
      </c>
      <c r="AR52" s="1" t="str">
        <f aca="false">IF($A52="","",30000)</f>
        <v/>
      </c>
      <c r="AS52" s="1" t="str">
        <f aca="false">IF($A52="","",AR52-B52)</f>
        <v/>
      </c>
      <c r="AT52" s="1" t="str">
        <f aca="false">IF($A52="","",IFERROR(B52/AR52,0))</f>
        <v/>
      </c>
      <c r="AU52" s="1" t="str">
        <f aca="false">IF($A52="","",IFERROR(B52*O52,0))</f>
        <v/>
      </c>
      <c r="AV52" s="1" t="str">
        <f aca="false">IF($A52="","",IFERROR(C52/B52,0))</f>
        <v/>
      </c>
      <c r="AW52" s="1" t="str">
        <f aca="false">IF($A52="","",MAX(0,R52-S52))</f>
        <v/>
      </c>
      <c r="AX52" s="1" t="str">
        <f aca="false">IF($A52="","",IF(AW52&gt;0,"优先降持仓数",IF(C52&lt;=0,"现金不足","允许评估")))</f>
        <v/>
      </c>
      <c r="AY52" s="1" t="str">
        <f aca="false">IF($A52="","",IF(B52&lt;30000,"婴儿阶段: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6"/>
      <c r="B53" s="17"/>
      <c r="C53" s="17"/>
      <c r="D53" s="18" t="str">
        <f aca="false">IF($A54="","",SUMIFS(持仓表!$J:$J,持仓表!$A:$A,$A54))</f>
        <v/>
      </c>
      <c r="E53" s="19" t="n">
        <f aca="false">IFERROR(D54/B54,0)</f>
        <v>0</v>
      </c>
      <c r="F53" s="17"/>
      <c r="G53" s="18" t="str">
        <f aca="false">IF($B54="","",MAX($B$2:B54))</f>
        <v/>
      </c>
      <c r="H53" s="19" t="n">
        <f aca="false">IFERROR((B54-F54)/F54,0)</f>
        <v>0</v>
      </c>
      <c r="I53" s="19" t="n">
        <f aca="false">IFERROR((B54-G54)/G54,0)</f>
        <v>0</v>
      </c>
      <c r="J53" s="6"/>
      <c r="K53" s="13"/>
      <c r="L53" s="20"/>
      <c r="M53" s="20"/>
      <c r="N53" s="19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53" s="19" t="str">
        <f aca="false">IF($B54="","",IF(B54&lt;30000,35%,IF(B54&lt;50000,30%,IF(B54&lt;100000,25%,20%))))</f>
        <v/>
      </c>
      <c r="P53" s="21" t="str">
        <f aca="false">IF($A54="","",COUNTIFS(持仓表!$A:$A,$A54,持仓表!$G:$G,"&gt;0"))</f>
        <v/>
      </c>
      <c r="Q53" s="21" t="str">
        <f aca="false">IF($A54="","",COUNTIFS(持仓表!$A:$A,$A54,持仓表!$D:$D,"是",持仓表!$G:$G,"&gt;0"))</f>
        <v/>
      </c>
      <c r="R53" s="21" t="str">
        <f aca="false">IF($A54="","",MAX(0,P54-Q54))</f>
        <v/>
      </c>
      <c r="S53" s="21" t="str">
        <f aca="false">IF($B54="","",IF(B54&lt;50000,3,IF(B54&lt;100000,4,5)))</f>
        <v/>
      </c>
      <c r="T53" s="5" t="str">
        <f aca="false">IF($A54="","",IF(OR(M54&gt;=4,I54&lt;=-8%),"防守",IF(OR(M54&gt;=2,I54&lt;=-5%),"警戒","正常")))</f>
        <v/>
      </c>
      <c r="U53" s="5" t="str">
        <f aca="false">IF($A54="","",IF(AND(L54&gt;=3,M54&lt;=2,T54&lt;&gt;"防守"),"是","否"))</f>
        <v/>
      </c>
      <c r="V53" s="5" t="str">
        <f aca="false">IF($A54="","",IF(AND(E54&lt;N54,R54&lt;S54,M54&lt;=2,I54&gt;-15%),"是","否"))</f>
        <v/>
      </c>
      <c r="W53" s="5" t="str">
        <f aca="false">IF($A54="","",IF(OR(M54&gt;=3,I54&lt;=-15%),"是","否"))</f>
        <v/>
      </c>
      <c r="X53" s="18" t="str">
        <f aca="false">IF($A54="","",IFERROR(maxifs(候选池!$AB:$AB,候选池!$A:$A,$A54),0))</f>
        <v/>
      </c>
      <c r="Y53" s="18" t="str">
        <f aca="false">IF($A54="","",IF(OR(M54&gt;=4,I54&lt;=-8%),MAX(0,B54*60%-C54),IF(AND(ISNUMBER(AD54),B54&gt;AD54),IF(B54&lt;30000,0,IF(B54&lt;100000,MAX(0,(B54-AD54)*0.2),MAX(0,(B54-AD54)*0.3))),0)))</f>
        <v/>
      </c>
      <c r="Z53" s="6"/>
      <c r="AA53" s="5" t="str">
        <f aca="false">IF($A54="","",IF($AA$2&lt;&gt;"",$AA$2,""))</f>
        <v/>
      </c>
      <c r="AB53" s="6" t="str">
        <f aca="false">IF($A54="","",IF(B54&lt;30000,0.03,IF(B54&lt;100000,0.02,0.015)))</f>
        <v/>
      </c>
      <c r="AC53" s="21" t="str">
        <f aca="false">IF($A54="","",IFERROR(DATEDIF($A$2,$A54,"m"),0))</f>
        <v/>
      </c>
      <c r="AD53" s="18" t="str">
        <f aca="false">IF($A54="","",IF(OR(AA54="",AB54="",AC54=""),"",AA54*POWER(1+AB54,AC54)))</f>
        <v/>
      </c>
      <c r="AE53" s="23" t="str">
        <f aca="false">IF($A54="","",IF(OR(AD54="",AD54=0),"",B54/AD54-1))</f>
        <v/>
      </c>
      <c r="AG53" s="1" t="str">
        <f aca="false">IF($A54="","",IF(B54&lt;30000,"婴儿",IF(B54&lt;100000,"成长","成熟")))</f>
        <v/>
      </c>
      <c r="AH53" s="24"/>
      <c r="AJ53" s="24"/>
      <c r="AK53" s="24"/>
      <c r="AM53" s="24"/>
      <c r="AP53" s="15"/>
      <c r="AQ53" s="25" t="str">
        <f aca="false">IF($A54="","",B54-$AA$2-SUM($F$2:F54))</f>
        <v/>
      </c>
      <c r="AR53" s="1" t="str">
        <f aca="false">IF($A53="","",30000)</f>
        <v/>
      </c>
      <c r="AS53" s="1" t="str">
        <f aca="false">IF($A53="","",AR53-B53)</f>
        <v/>
      </c>
      <c r="AT53" s="1" t="str">
        <f aca="false">IF($A53="","",IFERROR(B53/AR53,0))</f>
        <v/>
      </c>
      <c r="AU53" s="1" t="str">
        <f aca="false">IF($A53="","",IFERROR(B53*O53,0))</f>
        <v/>
      </c>
      <c r="AV53" s="1" t="str">
        <f aca="false">IF($A53="","",IFERROR(C53/B53,0))</f>
        <v/>
      </c>
      <c r="AW53" s="1" t="str">
        <f aca="false">IF($A53="","",MAX(0,R53-S53))</f>
        <v/>
      </c>
      <c r="AX53" s="1" t="str">
        <f aca="false">IF($A53="","",IF(AW53&gt;0,"优先降持仓数",IF(C53&lt;=0,"现金不足","允许评估")))</f>
        <v/>
      </c>
      <c r="AY53" s="1" t="str">
        <f aca="false">IF($A53="","",IF(B53&lt;30000,"婴儿阶段: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9"/>
      <c r="B54" s="26"/>
      <c r="C54" s="26"/>
      <c r="D54" s="18" t="str">
        <f aca="false">IF($A55="","",SUMIFS(持仓表!$J:$J,持仓表!$A:$A,$A55))</f>
        <v/>
      </c>
      <c r="E54" s="19" t="n">
        <f aca="false">IFERROR(D55/B55,0)</f>
        <v>0</v>
      </c>
      <c r="F54" s="26"/>
      <c r="G54" s="18" t="str">
        <f aca="false">IF($B55="","",MAX($B$2:B55))</f>
        <v/>
      </c>
      <c r="H54" s="19" t="n">
        <f aca="false">IFERROR((B55-F55)/F55,0)</f>
        <v>0</v>
      </c>
      <c r="I54" s="19" t="n">
        <f aca="false">IFERROR((B55-G55)/G55,0)</f>
        <v>0</v>
      </c>
      <c r="J54" s="9"/>
      <c r="K54" s="14"/>
      <c r="L54" s="27"/>
      <c r="M54" s="27"/>
      <c r="N54" s="19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4" s="19" t="str">
        <f aca="false">IF($B55="","",IF(B55&lt;30000,35%,IF(B55&lt;50000,30%,IF(B55&lt;100000,25%,20%))))</f>
        <v/>
      </c>
      <c r="P54" s="21" t="str">
        <f aca="false">IF($A55="","",COUNTIFS(持仓表!$A:$A,$A55,持仓表!$G:$G,"&gt;0"))</f>
        <v/>
      </c>
      <c r="Q54" s="21" t="str">
        <f aca="false">IF($A55="","",COUNTIFS(持仓表!$A:$A,$A55,持仓表!$D:$D,"是",持仓表!$G:$G,"&gt;0"))</f>
        <v/>
      </c>
      <c r="R54" s="21" t="str">
        <f aca="false">IF($A55="","",MAX(0,P55-Q55))</f>
        <v/>
      </c>
      <c r="S54" s="21" t="str">
        <f aca="false">IF($B55="","",IF(B55&lt;50000,3,IF(B55&lt;100000,4,5)))</f>
        <v/>
      </c>
      <c r="T54" s="5" t="str">
        <f aca="false">IF($A55="","",IF(OR(M55&gt;=4,I55&lt;=-8%),"防守",IF(OR(M55&gt;=2,I55&lt;=-5%),"警戒","正常")))</f>
        <v/>
      </c>
      <c r="U54" s="5" t="str">
        <f aca="false">IF($A55="","",IF(AND(L55&gt;=3,M55&lt;=2,T55&lt;&gt;"防守"),"是","否"))</f>
        <v/>
      </c>
      <c r="V54" s="5" t="str">
        <f aca="false">IF($A55="","",IF(AND(E55&lt;N55,R55&lt;S55,M55&lt;=2,I55&gt;-15%),"是","否"))</f>
        <v/>
      </c>
      <c r="W54" s="5" t="str">
        <f aca="false">IF($A55="","",IF(OR(M55&gt;=3,I55&lt;=-15%),"是","否"))</f>
        <v/>
      </c>
      <c r="X54" s="18" t="str">
        <f aca="false">IF($A55="","",IFERROR(maxifs(候选池!$AB:$AB,候选池!$A:$A,$A55),0))</f>
        <v/>
      </c>
      <c r="Y54" s="18" t="str">
        <f aca="false">IF($A55="","",IF(OR(M55&gt;=4,I55&lt;=-8%),MAX(0,B55*60%-C55),IF(AND(ISNUMBER(AD55),B55&gt;AD55),IF(B55&lt;30000,0,IF(B55&lt;100000,MAX(0,(B55-AD55)*0.2),MAX(0,(B55-AD55)*0.3))),0)))</f>
        <v/>
      </c>
      <c r="Z54" s="9"/>
      <c r="AA54" s="5" t="str">
        <f aca="false">IF($A55="","",IF($AA$2&lt;&gt;"",$AA$2,""))</f>
        <v/>
      </c>
      <c r="AB54" s="9" t="str">
        <f aca="false">IF($A55="","",IF(B55&lt;30000,0.03,IF(B55&lt;100000,0.02,0.015)))</f>
        <v/>
      </c>
      <c r="AC54" s="21" t="str">
        <f aca="false">IF($A55="","",IFERROR(DATEDIF($A$2,$A55,"m"),0))</f>
        <v/>
      </c>
      <c r="AD54" s="18" t="str">
        <f aca="false">IF($A55="","",IF(OR(AA55="",AB55="",AC55=""),"",AA55*POWER(1+AB55,AC55)))</f>
        <v/>
      </c>
      <c r="AE54" s="29" t="str">
        <f aca="false">IF($A55="","",IF(OR(AD55="",AD55=0),"",B55/AD55-1))</f>
        <v/>
      </c>
      <c r="AG54" s="1" t="str">
        <f aca="false">IF($A55="","",IF(B55&lt;30000,"婴儿",IF(B55&lt;100000,"成长","成熟")))</f>
        <v/>
      </c>
      <c r="AH54" s="24"/>
      <c r="AJ54" s="24"/>
      <c r="AK54" s="24"/>
      <c r="AM54" s="24"/>
      <c r="AP54" s="15"/>
      <c r="AQ54" s="25" t="str">
        <f aca="false">IF($A55="","",B55-$AA$2-SUM($F$2:F55))</f>
        <v/>
      </c>
      <c r="AR54" s="1" t="str">
        <f aca="false">IF($A54="","",30000)</f>
        <v/>
      </c>
      <c r="AS54" s="1" t="str">
        <f aca="false">IF($A54="","",AR54-B54)</f>
        <v/>
      </c>
      <c r="AT54" s="1" t="str">
        <f aca="false">IF($A54="","",IFERROR(B54/AR54,0))</f>
        <v/>
      </c>
      <c r="AU54" s="1" t="str">
        <f aca="false">IF($A54="","",IFERROR(B54*O54,0))</f>
        <v/>
      </c>
      <c r="AV54" s="1" t="str">
        <f aca="false">IF($A54="","",IFERROR(C54/B54,0))</f>
        <v/>
      </c>
      <c r="AW54" s="1" t="str">
        <f aca="false">IF($A54="","",MAX(0,R54-S54))</f>
        <v/>
      </c>
      <c r="AX54" s="1" t="str">
        <f aca="false">IF($A54="","",IF(AW54&gt;0,"优先降持仓数",IF(C54&lt;=0,"现金不足","允许评估")))</f>
        <v/>
      </c>
      <c r="AY54" s="1" t="str">
        <f aca="false">IF($A54="","",IF(B54&lt;30000,"婴儿阶段: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6"/>
      <c r="B55" s="17"/>
      <c r="C55" s="17"/>
      <c r="D55" s="18" t="str">
        <f aca="false">IF($A56="","",SUMIFS(持仓表!$J:$J,持仓表!$A:$A,$A56))</f>
        <v/>
      </c>
      <c r="E55" s="19" t="n">
        <f aca="false">IFERROR(D56/B56,0)</f>
        <v>0</v>
      </c>
      <c r="F55" s="17"/>
      <c r="G55" s="18" t="str">
        <f aca="false">IF($B56="","",MAX($B$2:B56))</f>
        <v/>
      </c>
      <c r="H55" s="19" t="n">
        <f aca="false">IFERROR((B56-F56)/F56,0)</f>
        <v>0</v>
      </c>
      <c r="I55" s="19" t="n">
        <f aca="false">IFERROR((B56-G56)/G56,0)</f>
        <v>0</v>
      </c>
      <c r="J55" s="6"/>
      <c r="K55" s="13"/>
      <c r="L55" s="20"/>
      <c r="M55" s="20"/>
      <c r="N55" s="19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5" s="19" t="str">
        <f aca="false">IF($B56="","",IF(B56&lt;30000,35%,IF(B56&lt;50000,30%,IF(B56&lt;100000,25%,20%))))</f>
        <v/>
      </c>
      <c r="P55" s="21" t="str">
        <f aca="false">IF($A56="","",COUNTIFS(持仓表!$A:$A,$A56,持仓表!$G:$G,"&gt;0"))</f>
        <v/>
      </c>
      <c r="Q55" s="21" t="str">
        <f aca="false">IF($A56="","",COUNTIFS(持仓表!$A:$A,$A56,持仓表!$D:$D,"是",持仓表!$G:$G,"&gt;0"))</f>
        <v/>
      </c>
      <c r="R55" s="21" t="str">
        <f aca="false">IF($A56="","",MAX(0,P56-Q56))</f>
        <v/>
      </c>
      <c r="S55" s="21" t="str">
        <f aca="false">IF($B56="","",IF(B56&lt;50000,3,IF(B56&lt;100000,4,5)))</f>
        <v/>
      </c>
      <c r="T55" s="5" t="str">
        <f aca="false">IF($A56="","",IF(OR(M56&gt;=4,I56&lt;=-8%),"防守",IF(OR(M56&gt;=2,I56&lt;=-5%),"警戒","正常")))</f>
        <v/>
      </c>
      <c r="U55" s="5" t="str">
        <f aca="false">IF($A56="","",IF(AND(L56&gt;=3,M56&lt;=2,T56&lt;&gt;"防守"),"是","否"))</f>
        <v/>
      </c>
      <c r="V55" s="5" t="str">
        <f aca="false">IF($A56="","",IF(AND(E56&lt;N56,R56&lt;S56,M56&lt;=2,I56&gt;-15%),"是","否"))</f>
        <v/>
      </c>
      <c r="W55" s="5" t="str">
        <f aca="false">IF($A56="","",IF(OR(M56&gt;=3,I56&lt;=-15%),"是","否"))</f>
        <v/>
      </c>
      <c r="X55" s="18" t="str">
        <f aca="false">IF($A56="","",IFERROR(maxifs(候选池!$AB:$AB,候选池!$A:$A,$A56),0))</f>
        <v/>
      </c>
      <c r="Y55" s="18" t="str">
        <f aca="false">IF($A56="","",IF(OR(M56&gt;=4,I56&lt;=-8%),MAX(0,B56*60%-C56),IF(AND(ISNUMBER(AD56),B56&gt;AD56),IF(B56&lt;30000,0,IF(B56&lt;100000,MAX(0,(B56-AD56)*0.2),MAX(0,(B56-AD56)*0.3))),0)))</f>
        <v/>
      </c>
      <c r="Z55" s="6"/>
      <c r="AA55" s="5" t="str">
        <f aca="false">IF($A56="","",IF($AA$2&lt;&gt;"",$AA$2,""))</f>
        <v/>
      </c>
      <c r="AB55" s="6" t="str">
        <f aca="false">IF($A56="","",IF(B56&lt;30000,0.03,IF(B56&lt;100000,0.02,0.015)))</f>
        <v/>
      </c>
      <c r="AC55" s="21" t="str">
        <f aca="false">IF($A56="","",IFERROR(DATEDIF($A$2,$A56,"m"),0))</f>
        <v/>
      </c>
      <c r="AD55" s="18" t="str">
        <f aca="false">IF($A56="","",IF(OR(AA56="",AB56="",AC56=""),"",AA56*POWER(1+AB56,AC56)))</f>
        <v/>
      </c>
      <c r="AE55" s="23" t="str">
        <f aca="false">IF($A56="","",IF(OR(AD56="",AD56=0),"",B56/AD56-1))</f>
        <v/>
      </c>
      <c r="AG55" s="1" t="str">
        <f aca="false">IF($A56="","",IF(B56&lt;30000,"婴儿",IF(B56&lt;100000,"成长","成熟")))</f>
        <v/>
      </c>
      <c r="AH55" s="24"/>
      <c r="AJ55" s="24"/>
      <c r="AK55" s="24"/>
      <c r="AM55" s="24"/>
      <c r="AP55" s="15"/>
      <c r="AQ55" s="25" t="str">
        <f aca="false">IF($A56="","",B56-$AA$2-SUM($F$2:F56))</f>
        <v/>
      </c>
      <c r="AR55" s="1" t="str">
        <f aca="false">IF($A55="","",30000)</f>
        <v/>
      </c>
      <c r="AS55" s="1" t="str">
        <f aca="false">IF($A55="","",AR55-B55)</f>
        <v/>
      </c>
      <c r="AT55" s="1" t="str">
        <f aca="false">IF($A55="","",IFERROR(B55/AR55,0))</f>
        <v/>
      </c>
      <c r="AU55" s="1" t="str">
        <f aca="false">IF($A55="","",IFERROR(B55*O55,0))</f>
        <v/>
      </c>
      <c r="AV55" s="1" t="str">
        <f aca="false">IF($A55="","",IFERROR(C55/B55,0))</f>
        <v/>
      </c>
      <c r="AW55" s="1" t="str">
        <f aca="false">IF($A55="","",MAX(0,R55-S55))</f>
        <v/>
      </c>
      <c r="AX55" s="1" t="str">
        <f aca="false">IF($A55="","",IF(AW55&gt;0,"优先降持仓数",IF(C55&lt;=0,"现金不足","允许评估")))</f>
        <v/>
      </c>
      <c r="AY55" s="1" t="str">
        <f aca="false">IF($A55="","",IF(B55&lt;30000,"婴儿阶段: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9"/>
      <c r="B56" s="26"/>
      <c r="C56" s="26"/>
      <c r="D56" s="18" t="str">
        <f aca="false">IF($A57="","",SUMIFS(持仓表!$J:$J,持仓表!$A:$A,$A57))</f>
        <v/>
      </c>
      <c r="E56" s="19" t="n">
        <f aca="false">IFERROR(D57/B57,0)</f>
        <v>0</v>
      </c>
      <c r="F56" s="26"/>
      <c r="G56" s="18" t="str">
        <f aca="false">IF($B57="","",MAX($B$2:B57))</f>
        <v/>
      </c>
      <c r="H56" s="19" t="n">
        <f aca="false">IFERROR((B57-F57)/F57,0)</f>
        <v>0</v>
      </c>
      <c r="I56" s="19" t="n">
        <f aca="false">IFERROR((B57-G57)/G57,0)</f>
        <v>0</v>
      </c>
      <c r="J56" s="9"/>
      <c r="K56" s="14"/>
      <c r="L56" s="27"/>
      <c r="M56" s="27"/>
      <c r="N56" s="19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6" s="19" t="str">
        <f aca="false">IF($B57="","",IF(B57&lt;30000,35%,IF(B57&lt;50000,30%,IF(B57&lt;100000,25%,20%))))</f>
        <v/>
      </c>
      <c r="P56" s="21" t="str">
        <f aca="false">IF($A57="","",COUNTIFS(持仓表!$A:$A,$A57,持仓表!$G:$G,"&gt;0"))</f>
        <v/>
      </c>
      <c r="Q56" s="21" t="str">
        <f aca="false">IF($A57="","",COUNTIFS(持仓表!$A:$A,$A57,持仓表!$D:$D,"是",持仓表!$G:$G,"&gt;0"))</f>
        <v/>
      </c>
      <c r="R56" s="21" t="str">
        <f aca="false">IF($A57="","",MAX(0,P57-Q57))</f>
        <v/>
      </c>
      <c r="S56" s="21" t="str">
        <f aca="false">IF($B57="","",IF(B57&lt;50000,3,IF(B57&lt;100000,4,5)))</f>
        <v/>
      </c>
      <c r="T56" s="5" t="str">
        <f aca="false">IF($A57="","",IF(OR(M57&gt;=4,I57&lt;=-8%),"防守",IF(OR(M57&gt;=2,I57&lt;=-5%),"警戒","正常")))</f>
        <v/>
      </c>
      <c r="U56" s="5" t="str">
        <f aca="false">IF($A57="","",IF(AND(L57&gt;=3,M57&lt;=2,T57&lt;&gt;"防守"),"是","否"))</f>
        <v/>
      </c>
      <c r="V56" s="5" t="str">
        <f aca="false">IF($A57="","",IF(AND(E57&lt;N57,R57&lt;S57,M57&lt;=2,I57&gt;-15%),"是","否"))</f>
        <v/>
      </c>
      <c r="W56" s="5" t="str">
        <f aca="false">IF($A57="","",IF(OR(M57&gt;=3,I57&lt;=-15%),"是","否"))</f>
        <v/>
      </c>
      <c r="X56" s="18" t="str">
        <f aca="false">IF($A57="","",IFERROR(maxifs(候选池!$AB:$AB,候选池!$A:$A,$A57),0))</f>
        <v/>
      </c>
      <c r="Y56" s="18" t="str">
        <f aca="false">IF($A57="","",IF(OR(M57&gt;=4,I57&lt;=-8%),MAX(0,B57*60%-C57),IF(AND(ISNUMBER(AD57),B57&gt;AD57),IF(B57&lt;30000,0,IF(B57&lt;100000,MAX(0,(B57-AD57)*0.2),MAX(0,(B57-AD57)*0.3))),0)))</f>
        <v/>
      </c>
      <c r="Z56" s="9"/>
      <c r="AA56" s="5" t="str">
        <f aca="false">IF($A57="","",IF($AA$2&lt;&gt;"",$AA$2,""))</f>
        <v/>
      </c>
      <c r="AB56" s="9" t="str">
        <f aca="false">IF($A57="","",IF(B57&lt;30000,0.03,IF(B57&lt;100000,0.02,0.015)))</f>
        <v/>
      </c>
      <c r="AC56" s="21" t="str">
        <f aca="false">IF($A57="","",IFERROR(DATEDIF($A$2,$A57,"m"),0))</f>
        <v/>
      </c>
      <c r="AD56" s="18" t="str">
        <f aca="false">IF($A57="","",IF(OR(AA57="",AB57="",AC57=""),"",AA57*POWER(1+AB57,AC57)))</f>
        <v/>
      </c>
      <c r="AE56" s="29" t="str">
        <f aca="false">IF($A57="","",IF(OR(AD57="",AD57=0),"",B57/AD57-1))</f>
        <v/>
      </c>
      <c r="AG56" s="1" t="str">
        <f aca="false">IF($A57="","",IF(B57&lt;30000,"婴儿",IF(B57&lt;100000,"成长","成熟")))</f>
        <v/>
      </c>
      <c r="AH56" s="24"/>
      <c r="AJ56" s="24"/>
      <c r="AK56" s="24"/>
      <c r="AM56" s="24"/>
      <c r="AP56" s="15"/>
      <c r="AQ56" s="25" t="str">
        <f aca="false">IF($A57="","",B57-$AA$2-SUM($F$2:F57))</f>
        <v/>
      </c>
      <c r="AR56" s="1" t="str">
        <f aca="false">IF($A56="","",30000)</f>
        <v/>
      </c>
      <c r="AS56" s="1" t="str">
        <f aca="false">IF($A56="","",AR56-B56)</f>
        <v/>
      </c>
      <c r="AT56" s="1" t="str">
        <f aca="false">IF($A56="","",IFERROR(B56/AR56,0))</f>
        <v/>
      </c>
      <c r="AU56" s="1" t="str">
        <f aca="false">IF($A56="","",IFERROR(B56*O56,0))</f>
        <v/>
      </c>
      <c r="AV56" s="1" t="str">
        <f aca="false">IF($A56="","",IFERROR(C56/B56,0))</f>
        <v/>
      </c>
      <c r="AW56" s="1" t="str">
        <f aca="false">IF($A56="","",MAX(0,R56-S56))</f>
        <v/>
      </c>
      <c r="AX56" s="1" t="str">
        <f aca="false">IF($A56="","",IF(AW56&gt;0,"优先降持仓数",IF(C56&lt;=0,"现金不足","允许评估")))</f>
        <v/>
      </c>
      <c r="AY56" s="1" t="str">
        <f aca="false">IF($A56="","",IF(B56&lt;30000,"婴儿阶段: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6"/>
      <c r="B57" s="17"/>
      <c r="C57" s="17"/>
      <c r="D57" s="18" t="str">
        <f aca="false">IF($A58="","",SUMIFS(持仓表!$J:$J,持仓表!$A:$A,$A58))</f>
        <v/>
      </c>
      <c r="E57" s="19" t="n">
        <f aca="false">IFERROR(D58/B58,0)</f>
        <v>0</v>
      </c>
      <c r="F57" s="17"/>
      <c r="G57" s="18" t="str">
        <f aca="false">IF($B58="","",MAX($B$2:B58))</f>
        <v/>
      </c>
      <c r="H57" s="19" t="n">
        <f aca="false">IFERROR((B58-F58)/F58,0)</f>
        <v>0</v>
      </c>
      <c r="I57" s="19" t="n">
        <f aca="false">IFERROR((B58-G58)/G58,0)</f>
        <v>0</v>
      </c>
      <c r="J57" s="6"/>
      <c r="K57" s="13"/>
      <c r="L57" s="20"/>
      <c r="M57" s="20"/>
      <c r="N57" s="19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7" s="19" t="str">
        <f aca="false">IF($B58="","",IF(B58&lt;30000,35%,IF(B58&lt;50000,30%,IF(B58&lt;100000,25%,20%))))</f>
        <v/>
      </c>
      <c r="P57" s="21" t="str">
        <f aca="false">IF($A58="","",COUNTIFS(持仓表!$A:$A,$A58,持仓表!$G:$G,"&gt;0"))</f>
        <v/>
      </c>
      <c r="Q57" s="21" t="str">
        <f aca="false">IF($A58="","",COUNTIFS(持仓表!$A:$A,$A58,持仓表!$D:$D,"是",持仓表!$G:$G,"&gt;0"))</f>
        <v/>
      </c>
      <c r="R57" s="21" t="str">
        <f aca="false">IF($A58="","",MAX(0,P58-Q58))</f>
        <v/>
      </c>
      <c r="S57" s="21" t="str">
        <f aca="false">IF($B58="","",IF(B58&lt;50000,3,IF(B58&lt;100000,4,5)))</f>
        <v/>
      </c>
      <c r="T57" s="5" t="str">
        <f aca="false">IF($A58="","",IF(OR(M58&gt;=4,I58&lt;=-8%),"防守",IF(OR(M58&gt;=2,I58&lt;=-5%),"警戒","正常")))</f>
        <v/>
      </c>
      <c r="U57" s="5" t="str">
        <f aca="false">IF($A58="","",IF(AND(L58&gt;=3,M58&lt;=2,T58&lt;&gt;"防守"),"是","否"))</f>
        <v/>
      </c>
      <c r="V57" s="5" t="str">
        <f aca="false">IF($A58="","",IF(AND(E58&lt;N58,R58&lt;S58,M58&lt;=2,I58&gt;-15%),"是","否"))</f>
        <v/>
      </c>
      <c r="W57" s="5" t="str">
        <f aca="false">IF($A58="","",IF(OR(M58&gt;=3,I58&lt;=-15%),"是","否"))</f>
        <v/>
      </c>
      <c r="X57" s="18" t="str">
        <f aca="false">IF($A58="","",IFERROR(maxifs(候选池!$AB:$AB,候选池!$A:$A,$A58),0))</f>
        <v/>
      </c>
      <c r="Y57" s="18" t="str">
        <f aca="false">IF($A58="","",IF(OR(M58&gt;=4,I58&lt;=-8%),MAX(0,B58*60%-C58),IF(AND(ISNUMBER(AD58),B58&gt;AD58),IF(B58&lt;30000,0,IF(B58&lt;100000,MAX(0,(B58-AD58)*0.2),MAX(0,(B58-AD58)*0.3))),0)))</f>
        <v/>
      </c>
      <c r="Z57" s="6"/>
      <c r="AA57" s="5" t="str">
        <f aca="false">IF($A58="","",IF($AA$2&lt;&gt;"",$AA$2,""))</f>
        <v/>
      </c>
      <c r="AB57" s="6" t="str">
        <f aca="false">IF($A58="","",IF(B58&lt;30000,0.03,IF(B58&lt;100000,0.02,0.015)))</f>
        <v/>
      </c>
      <c r="AC57" s="21" t="str">
        <f aca="false">IF($A58="","",IFERROR(DATEDIF($A$2,$A58,"m"),0))</f>
        <v/>
      </c>
      <c r="AD57" s="18" t="str">
        <f aca="false">IF($A58="","",IF(OR(AA58="",AB58="",AC58=""),"",AA58*POWER(1+AB58,AC58)))</f>
        <v/>
      </c>
      <c r="AE57" s="23" t="str">
        <f aca="false">IF($A58="","",IF(OR(AD58="",AD58=0),"",B58/AD58-1))</f>
        <v/>
      </c>
      <c r="AG57" s="1" t="str">
        <f aca="false">IF($A58="","",IF(B58&lt;30000,"婴儿",IF(B58&lt;100000,"成长","成熟")))</f>
        <v/>
      </c>
      <c r="AH57" s="24"/>
      <c r="AJ57" s="24"/>
      <c r="AK57" s="24"/>
      <c r="AM57" s="24"/>
      <c r="AP57" s="15"/>
      <c r="AQ57" s="25" t="str">
        <f aca="false">IF($A58="","",B58-$AA$2-SUM($F$2:F58))</f>
        <v/>
      </c>
      <c r="AR57" s="1" t="str">
        <f aca="false">IF($A57="","",30000)</f>
        <v/>
      </c>
      <c r="AS57" s="1" t="str">
        <f aca="false">IF($A57="","",AR57-B57)</f>
        <v/>
      </c>
      <c r="AT57" s="1" t="str">
        <f aca="false">IF($A57="","",IFERROR(B57/AR57,0))</f>
        <v/>
      </c>
      <c r="AU57" s="1" t="str">
        <f aca="false">IF($A57="","",IFERROR(B57*O57,0))</f>
        <v/>
      </c>
      <c r="AV57" s="1" t="str">
        <f aca="false">IF($A57="","",IFERROR(C57/B57,0))</f>
        <v/>
      </c>
      <c r="AW57" s="1" t="str">
        <f aca="false">IF($A57="","",MAX(0,R57-S57))</f>
        <v/>
      </c>
      <c r="AX57" s="1" t="str">
        <f aca="false">IF($A57="","",IF(AW57&gt;0,"优先降持仓数",IF(C57&lt;=0,"现金不足","允许评估")))</f>
        <v/>
      </c>
      <c r="AY57" s="1" t="str">
        <f aca="false">IF($A57="","",IF(B57&lt;30000,"婴儿阶段: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9"/>
      <c r="B58" s="26"/>
      <c r="C58" s="26"/>
      <c r="D58" s="18" t="str">
        <f aca="false">IF($A59="","",SUMIFS(持仓表!$J:$J,持仓表!$A:$A,$A59))</f>
        <v/>
      </c>
      <c r="E58" s="19" t="n">
        <f aca="false">IFERROR(D59/B59,0)</f>
        <v>0</v>
      </c>
      <c r="F58" s="26"/>
      <c r="G58" s="18" t="str">
        <f aca="false">IF($B59="","",MAX($B$2:B59))</f>
        <v/>
      </c>
      <c r="H58" s="19" t="n">
        <f aca="false">IFERROR((B59-F59)/F59,0)</f>
        <v>0</v>
      </c>
      <c r="I58" s="19" t="n">
        <f aca="false">IFERROR((B59-G59)/G59,0)</f>
        <v>0</v>
      </c>
      <c r="J58" s="9"/>
      <c r="K58" s="14"/>
      <c r="L58" s="27"/>
      <c r="M58" s="27"/>
      <c r="N58" s="19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8" s="19" t="str">
        <f aca="false">IF($B59="","",IF(B59&lt;30000,35%,IF(B59&lt;50000,30%,IF(B59&lt;100000,25%,20%))))</f>
        <v/>
      </c>
      <c r="P58" s="21" t="str">
        <f aca="false">IF($A59="","",COUNTIFS(持仓表!$A:$A,$A59,持仓表!$G:$G,"&gt;0"))</f>
        <v/>
      </c>
      <c r="Q58" s="21" t="str">
        <f aca="false">IF($A59="","",COUNTIFS(持仓表!$A:$A,$A59,持仓表!$D:$D,"是",持仓表!$G:$G,"&gt;0"))</f>
        <v/>
      </c>
      <c r="R58" s="21" t="str">
        <f aca="false">IF($A59="","",MAX(0,P59-Q59))</f>
        <v/>
      </c>
      <c r="S58" s="21" t="str">
        <f aca="false">IF($B59="","",IF(B59&lt;50000,3,IF(B59&lt;100000,4,5)))</f>
        <v/>
      </c>
      <c r="T58" s="5" t="str">
        <f aca="false">IF($A59="","",IF(OR(M59&gt;=4,I59&lt;=-8%),"防守",IF(OR(M59&gt;=2,I59&lt;=-5%),"警戒","正常")))</f>
        <v/>
      </c>
      <c r="U58" s="5" t="str">
        <f aca="false">IF($A59="","",IF(AND(L59&gt;=3,M59&lt;=2,T59&lt;&gt;"防守"),"是","否"))</f>
        <v/>
      </c>
      <c r="V58" s="5" t="str">
        <f aca="false">IF($A59="","",IF(AND(E59&lt;N59,R59&lt;S59,M59&lt;=2,I59&gt;-15%),"是","否"))</f>
        <v/>
      </c>
      <c r="W58" s="5" t="str">
        <f aca="false">IF($A59="","",IF(OR(M59&gt;=3,I59&lt;=-15%),"是","否"))</f>
        <v/>
      </c>
      <c r="X58" s="18" t="str">
        <f aca="false">IF($A59="","",IFERROR(maxifs(候选池!$AB:$AB,候选池!$A:$A,$A59),0))</f>
        <v/>
      </c>
      <c r="Y58" s="18" t="str">
        <f aca="false">IF($A59="","",IF(OR(M59&gt;=4,I59&lt;=-8%),MAX(0,B59*60%-C59),IF(AND(ISNUMBER(AD59),B59&gt;AD59),IF(B59&lt;30000,0,IF(B59&lt;100000,MAX(0,(B59-AD59)*0.2),MAX(0,(B59-AD59)*0.3))),0)))</f>
        <v/>
      </c>
      <c r="Z58" s="9"/>
      <c r="AA58" s="5" t="str">
        <f aca="false">IF($A59="","",IF($AA$2&lt;&gt;"",$AA$2,""))</f>
        <v/>
      </c>
      <c r="AB58" s="9" t="str">
        <f aca="false">IF($A59="","",IF(B59&lt;30000,0.03,IF(B59&lt;100000,0.02,0.015)))</f>
        <v/>
      </c>
      <c r="AC58" s="21" t="str">
        <f aca="false">IF($A59="","",IFERROR(DATEDIF($A$2,$A59,"m"),0))</f>
        <v/>
      </c>
      <c r="AD58" s="18" t="str">
        <f aca="false">IF($A59="","",IF(OR(AA59="",AB59="",AC59=""),"",AA59*POWER(1+AB59,AC59)))</f>
        <v/>
      </c>
      <c r="AE58" s="29" t="str">
        <f aca="false">IF($A59="","",IF(OR(AD59="",AD59=0),"",B59/AD59-1))</f>
        <v/>
      </c>
      <c r="AG58" s="1" t="str">
        <f aca="false">IF($A59="","",IF(B59&lt;30000,"婴儿",IF(B59&lt;100000,"成长","成熟")))</f>
        <v/>
      </c>
      <c r="AH58" s="24"/>
      <c r="AJ58" s="24"/>
      <c r="AK58" s="24"/>
      <c r="AM58" s="24"/>
      <c r="AP58" s="15"/>
      <c r="AQ58" s="25" t="str">
        <f aca="false">IF($A59="","",B59-$AA$2-SUM($F$2:F59))</f>
        <v/>
      </c>
      <c r="AR58" s="1" t="str">
        <f aca="false">IF($A58="","",30000)</f>
        <v/>
      </c>
      <c r="AS58" s="1" t="str">
        <f aca="false">IF($A58="","",AR58-B58)</f>
        <v/>
      </c>
      <c r="AT58" s="1" t="str">
        <f aca="false">IF($A58="","",IFERROR(B58/AR58,0))</f>
        <v/>
      </c>
      <c r="AU58" s="1" t="str">
        <f aca="false">IF($A58="","",IFERROR(B58*O58,0))</f>
        <v/>
      </c>
      <c r="AV58" s="1" t="str">
        <f aca="false">IF($A58="","",IFERROR(C58/B58,0))</f>
        <v/>
      </c>
      <c r="AW58" s="1" t="str">
        <f aca="false">IF($A58="","",MAX(0,R58-S58))</f>
        <v/>
      </c>
      <c r="AX58" s="1" t="str">
        <f aca="false">IF($A58="","",IF(AW58&gt;0,"优先降持仓数",IF(C58&lt;=0,"现金不足","允许评估")))</f>
        <v/>
      </c>
      <c r="AY58" s="1" t="str">
        <f aca="false">IF($A58="","",IF(B58&lt;30000,"婴儿阶段: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6"/>
      <c r="B59" s="17"/>
      <c r="C59" s="17"/>
      <c r="D59" s="18" t="str">
        <f aca="false">IF($A60="","",SUMIFS(持仓表!$J:$J,持仓表!$A:$A,$A60))</f>
        <v/>
      </c>
      <c r="E59" s="19" t="n">
        <f aca="false">IFERROR(D60/B60,0)</f>
        <v>0</v>
      </c>
      <c r="F59" s="17"/>
      <c r="G59" s="18" t="str">
        <f aca="false">IF($B60="","",MAX($B$2:B60))</f>
        <v/>
      </c>
      <c r="H59" s="19" t="n">
        <f aca="false">IFERROR((B60-F60)/F60,0)</f>
        <v>0</v>
      </c>
      <c r="I59" s="19" t="n">
        <f aca="false">IFERROR((B60-G60)/G60,0)</f>
        <v>0</v>
      </c>
      <c r="J59" s="6"/>
      <c r="K59" s="13"/>
      <c r="L59" s="20"/>
      <c r="M59" s="20"/>
      <c r="N59" s="19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9" s="19" t="str">
        <f aca="false">IF($B60="","",IF(B60&lt;30000,35%,IF(B60&lt;50000,30%,IF(B60&lt;100000,25%,20%))))</f>
        <v/>
      </c>
      <c r="P59" s="21" t="str">
        <f aca="false">IF($A60="","",COUNTIFS(持仓表!$A:$A,$A60,持仓表!$G:$G,"&gt;0"))</f>
        <v/>
      </c>
      <c r="Q59" s="21" t="str">
        <f aca="false">IF($A60="","",COUNTIFS(持仓表!$A:$A,$A60,持仓表!$D:$D,"是",持仓表!$G:$G,"&gt;0"))</f>
        <v/>
      </c>
      <c r="R59" s="21" t="str">
        <f aca="false">IF($A60="","",MAX(0,P60-Q60))</f>
        <v/>
      </c>
      <c r="S59" s="21" t="str">
        <f aca="false">IF($B60="","",IF(B60&lt;50000,3,IF(B60&lt;100000,4,5)))</f>
        <v/>
      </c>
      <c r="T59" s="5" t="str">
        <f aca="false">IF($A60="","",IF(OR(M60&gt;=4,I60&lt;=-8%),"防守",IF(OR(M60&gt;=2,I60&lt;=-5%),"警戒","正常")))</f>
        <v/>
      </c>
      <c r="U59" s="5" t="str">
        <f aca="false">IF($A60="","",IF(AND(L60&gt;=3,M60&lt;=2,T60&lt;&gt;"防守"),"是","否"))</f>
        <v/>
      </c>
      <c r="V59" s="5" t="str">
        <f aca="false">IF($A60="","",IF(AND(E60&lt;N60,R60&lt;S60,M60&lt;=2,I60&gt;-15%),"是","否"))</f>
        <v/>
      </c>
      <c r="W59" s="5" t="str">
        <f aca="false">IF($A60="","",IF(OR(M60&gt;=3,I60&lt;=-15%),"是","否"))</f>
        <v/>
      </c>
      <c r="X59" s="18" t="str">
        <f aca="false">IF($A60="","",IFERROR(maxifs(候选池!$AB:$AB,候选池!$A:$A,$A60),0))</f>
        <v/>
      </c>
      <c r="Y59" s="18" t="str">
        <f aca="false">IF($A60="","",IF(OR(M60&gt;=4,I60&lt;=-8%),MAX(0,B60*60%-C60),IF(AND(ISNUMBER(AD60),B60&gt;AD60),IF(B60&lt;30000,0,IF(B60&lt;100000,MAX(0,(B60-AD60)*0.2),MAX(0,(B60-AD60)*0.3))),0)))</f>
        <v/>
      </c>
      <c r="Z59" s="6"/>
      <c r="AA59" s="5" t="str">
        <f aca="false">IF($A60="","",IF($AA$2&lt;&gt;"",$AA$2,""))</f>
        <v/>
      </c>
      <c r="AB59" s="6" t="str">
        <f aca="false">IF($A60="","",IF(B60&lt;30000,0.03,IF(B60&lt;100000,0.02,0.015)))</f>
        <v/>
      </c>
      <c r="AC59" s="21" t="str">
        <f aca="false">IF($A60="","",IFERROR(DATEDIF($A$2,$A60,"m"),0))</f>
        <v/>
      </c>
      <c r="AD59" s="18" t="str">
        <f aca="false">IF($A60="","",IF(OR(AA60="",AB60="",AC60=""),"",AA60*POWER(1+AB60,AC60)))</f>
        <v/>
      </c>
      <c r="AE59" s="23" t="str">
        <f aca="false">IF($A60="","",IF(OR(AD60="",AD60=0),"",B60/AD60-1))</f>
        <v/>
      </c>
      <c r="AG59" s="1" t="str">
        <f aca="false">IF($A60="","",IF(B60&lt;30000,"婴儿",IF(B60&lt;100000,"成长","成熟")))</f>
        <v/>
      </c>
      <c r="AH59" s="24"/>
      <c r="AJ59" s="24"/>
      <c r="AK59" s="24"/>
      <c r="AM59" s="24"/>
      <c r="AP59" s="15"/>
      <c r="AQ59" s="25" t="str">
        <f aca="false">IF($A60="","",B60-$AA$2-SUM($F$2:F60))</f>
        <v/>
      </c>
      <c r="AR59" s="1" t="str">
        <f aca="false">IF($A59="","",30000)</f>
        <v/>
      </c>
      <c r="AS59" s="1" t="str">
        <f aca="false">IF($A59="","",AR59-B59)</f>
        <v/>
      </c>
      <c r="AT59" s="1" t="str">
        <f aca="false">IF($A59="","",IFERROR(B59/AR59,0))</f>
        <v/>
      </c>
      <c r="AU59" s="1" t="str">
        <f aca="false">IF($A59="","",IFERROR(B59*O59,0))</f>
        <v/>
      </c>
      <c r="AV59" s="1" t="str">
        <f aca="false">IF($A59="","",IFERROR(C59/B59,0))</f>
        <v/>
      </c>
      <c r="AW59" s="1" t="str">
        <f aca="false">IF($A59="","",MAX(0,R59-S59))</f>
        <v/>
      </c>
      <c r="AX59" s="1" t="str">
        <f aca="false">IF($A59="","",IF(AW59&gt;0,"优先降持仓数",IF(C59&lt;=0,"现金不足","允许评估")))</f>
        <v/>
      </c>
      <c r="AY59" s="1" t="str">
        <f aca="false">IF($A59="","",IF(B59&lt;30000,"婴儿阶段: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9"/>
      <c r="B60" s="26"/>
      <c r="C60" s="26"/>
      <c r="D60" s="18" t="str">
        <f aca="false">IF($A61="","",SUMIFS(持仓表!$J:$J,持仓表!$A:$A,$A61))</f>
        <v/>
      </c>
      <c r="E60" s="19" t="n">
        <f aca="false">IFERROR(D61/B61,0)</f>
        <v>0</v>
      </c>
      <c r="F60" s="26"/>
      <c r="G60" s="18" t="str">
        <f aca="false">IF($B61="","",MAX($B$2:B61))</f>
        <v/>
      </c>
      <c r="H60" s="19" t="n">
        <f aca="false">IFERROR((B61-F61)/F61,0)</f>
        <v>0</v>
      </c>
      <c r="I60" s="19" t="n">
        <f aca="false">IFERROR((B61-G61)/G61,0)</f>
        <v>0</v>
      </c>
      <c r="J60" s="9"/>
      <c r="K60" s="14"/>
      <c r="L60" s="27"/>
      <c r="M60" s="27"/>
      <c r="N60" s="19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60" s="19" t="str">
        <f aca="false">IF($B61="","",IF(B61&lt;30000,35%,IF(B61&lt;50000,30%,IF(B61&lt;100000,25%,20%))))</f>
        <v/>
      </c>
      <c r="P60" s="21" t="str">
        <f aca="false">IF($A61="","",COUNTIFS(持仓表!$A:$A,$A61,持仓表!$G:$G,"&gt;0"))</f>
        <v/>
      </c>
      <c r="Q60" s="21" t="str">
        <f aca="false">IF($A61="","",COUNTIFS(持仓表!$A:$A,$A61,持仓表!$D:$D,"是",持仓表!$G:$G,"&gt;0"))</f>
        <v/>
      </c>
      <c r="R60" s="21" t="str">
        <f aca="false">IF($A61="","",MAX(0,P61-Q61))</f>
        <v/>
      </c>
      <c r="S60" s="21" t="str">
        <f aca="false">IF($B61="","",IF(B61&lt;50000,3,IF(B61&lt;100000,4,5)))</f>
        <v/>
      </c>
      <c r="T60" s="5" t="str">
        <f aca="false">IF($A61="","",IF(OR(M61&gt;=4,I61&lt;=-8%),"防守",IF(OR(M61&gt;=2,I61&lt;=-5%),"警戒","正常")))</f>
        <v/>
      </c>
      <c r="U60" s="5" t="str">
        <f aca="false">IF($A61="","",IF(AND(L61&gt;=3,M61&lt;=2,T61&lt;&gt;"防守"),"是","否"))</f>
        <v/>
      </c>
      <c r="V60" s="5" t="str">
        <f aca="false">IF($A61="","",IF(AND(E61&lt;N61,R61&lt;S61,M61&lt;=2,I61&gt;-15%),"是","否"))</f>
        <v/>
      </c>
      <c r="W60" s="5" t="str">
        <f aca="false">IF($A61="","",IF(OR(M61&gt;=3,I61&lt;=-15%),"是","否"))</f>
        <v/>
      </c>
      <c r="X60" s="18" t="str">
        <f aca="false">IF($A61="","",IFERROR(maxifs(候选池!$AB:$AB,候选池!$A:$A,$A61),0))</f>
        <v/>
      </c>
      <c r="Y60" s="18" t="str">
        <f aca="false">IF($A61="","",IF(OR(M61&gt;=4,I61&lt;=-8%),MAX(0,B61*60%-C61),IF(AND(ISNUMBER(AD61),B61&gt;AD61),IF(B61&lt;30000,0,IF(B61&lt;100000,MAX(0,(B61-AD61)*0.2),MAX(0,(B61-AD61)*0.3))),0)))</f>
        <v/>
      </c>
      <c r="Z60" s="9"/>
      <c r="AA60" s="5" t="str">
        <f aca="false">IF($A61="","",IF($AA$2&lt;&gt;"",$AA$2,""))</f>
        <v/>
      </c>
      <c r="AB60" s="9" t="str">
        <f aca="false">IF($A61="","",IF(B61&lt;30000,0.03,IF(B61&lt;100000,0.02,0.015)))</f>
        <v/>
      </c>
      <c r="AC60" s="21" t="str">
        <f aca="false">IF($A61="","",IFERROR(DATEDIF($A$2,$A61,"m"),0))</f>
        <v/>
      </c>
      <c r="AD60" s="18" t="str">
        <f aca="false">IF($A61="","",IF(OR(AA61="",AB61="",AC61=""),"",AA61*POWER(1+AB61,AC61)))</f>
        <v/>
      </c>
      <c r="AE60" s="29" t="str">
        <f aca="false">IF($A61="","",IF(OR(AD61="",AD61=0),"",B61/AD61-1))</f>
        <v/>
      </c>
      <c r="AG60" s="1" t="str">
        <f aca="false">IF($A61="","",IF(B61&lt;30000,"婴儿",IF(B61&lt;100000,"成长","成熟")))</f>
        <v/>
      </c>
      <c r="AH60" s="24"/>
      <c r="AJ60" s="24"/>
      <c r="AK60" s="24"/>
      <c r="AM60" s="24"/>
      <c r="AP60" s="15"/>
      <c r="AQ60" s="25" t="str">
        <f aca="false">IF($A61="","",B61-$AA$2-SUM($F$2:F61))</f>
        <v/>
      </c>
      <c r="AR60" s="1" t="str">
        <f aca="false">IF($A60="","",30000)</f>
        <v/>
      </c>
      <c r="AS60" s="1" t="str">
        <f aca="false">IF($A60="","",AR60-B60)</f>
        <v/>
      </c>
      <c r="AT60" s="1" t="str">
        <f aca="false">IF($A60="","",IFERROR(B60/AR60,0))</f>
        <v/>
      </c>
      <c r="AU60" s="1" t="str">
        <f aca="false">IF($A60="","",IFERROR(B60*O60,0))</f>
        <v/>
      </c>
      <c r="AV60" s="1" t="str">
        <f aca="false">IF($A60="","",IFERROR(C60/B60,0))</f>
        <v/>
      </c>
      <c r="AW60" s="1" t="str">
        <f aca="false">IF($A60="","",MAX(0,R60-S60))</f>
        <v/>
      </c>
      <c r="AX60" s="1" t="str">
        <f aca="false">IF($A60="","",IF(AW60&gt;0,"优先降持仓数",IF(C60&lt;=0,"现金不足","允许评估")))</f>
        <v/>
      </c>
      <c r="AY60" s="1" t="str">
        <f aca="false">IF($A60="","",IF(B60&lt;30000,"婴儿阶段: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6"/>
      <c r="B61" s="17"/>
      <c r="C61" s="17"/>
      <c r="D61" s="18" t="str">
        <f aca="false">IF($A62="","",SUMIFS(持仓表!$J:$J,持仓表!$A:$A,$A62))</f>
        <v/>
      </c>
      <c r="E61" s="19" t="n">
        <f aca="false">IFERROR(D62/B62,0)</f>
        <v>0</v>
      </c>
      <c r="F61" s="17"/>
      <c r="G61" s="18" t="str">
        <f aca="false">IF($B62="","",MAX($B$2:B62))</f>
        <v/>
      </c>
      <c r="H61" s="19" t="n">
        <f aca="false">IFERROR((B62-F62)/F62,0)</f>
        <v>0</v>
      </c>
      <c r="I61" s="19" t="n">
        <f aca="false">IFERROR((B62-G62)/G62,0)</f>
        <v>0</v>
      </c>
      <c r="J61" s="6"/>
      <c r="K61" s="13"/>
      <c r="L61" s="20"/>
      <c r="M61" s="20"/>
      <c r="N61" s="19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61" s="19" t="str">
        <f aca="false">IF($B62="","",IF(B62&lt;30000,35%,IF(B62&lt;50000,30%,IF(B62&lt;100000,25%,20%))))</f>
        <v/>
      </c>
      <c r="P61" s="21" t="str">
        <f aca="false">IF($A62="","",COUNTIFS(持仓表!$A:$A,$A62,持仓表!$G:$G,"&gt;0"))</f>
        <v/>
      </c>
      <c r="Q61" s="21" t="str">
        <f aca="false">IF($A62="","",COUNTIFS(持仓表!$A:$A,$A62,持仓表!$D:$D,"是",持仓表!$G:$G,"&gt;0"))</f>
        <v/>
      </c>
      <c r="R61" s="21" t="str">
        <f aca="false">IF($A62="","",MAX(0,P62-Q62))</f>
        <v/>
      </c>
      <c r="S61" s="21" t="str">
        <f aca="false">IF($B62="","",IF(B62&lt;50000,3,IF(B62&lt;100000,4,5)))</f>
        <v/>
      </c>
      <c r="T61" s="5" t="str">
        <f aca="false">IF($A62="","",IF(OR(M62&gt;=4,I62&lt;=-8%),"防守",IF(OR(M62&gt;=2,I62&lt;=-5%),"警戒","正常")))</f>
        <v/>
      </c>
      <c r="U61" s="5" t="str">
        <f aca="false">IF($A62="","",IF(AND(L62&gt;=3,M62&lt;=2,T62&lt;&gt;"防守"),"是","否"))</f>
        <v/>
      </c>
      <c r="V61" s="5" t="str">
        <f aca="false">IF($A62="","",IF(AND(E62&lt;N62,R62&lt;S62,M62&lt;=2,I62&gt;-15%),"是","否"))</f>
        <v/>
      </c>
      <c r="W61" s="5" t="str">
        <f aca="false">IF($A62="","",IF(OR(M62&gt;=3,I62&lt;=-15%),"是","否"))</f>
        <v/>
      </c>
      <c r="X61" s="18" t="str">
        <f aca="false">IF($A62="","",IFERROR(maxifs(候选池!$AB:$AB,候选池!$A:$A,$A62),0))</f>
        <v/>
      </c>
      <c r="Y61" s="18" t="str">
        <f aca="false">IF($A62="","",IF(OR(M62&gt;=4,I62&lt;=-8%),MAX(0,B62*60%-C62),IF(AND(ISNUMBER(AD62),B62&gt;AD62),IF(B62&lt;30000,0,IF(B62&lt;100000,MAX(0,(B62-AD62)*0.2),MAX(0,(B62-AD62)*0.3))),0)))</f>
        <v/>
      </c>
      <c r="Z61" s="6"/>
      <c r="AA61" s="5" t="str">
        <f aca="false">IF($A62="","",IF($AA$2&lt;&gt;"",$AA$2,""))</f>
        <v/>
      </c>
      <c r="AB61" s="6" t="str">
        <f aca="false">IF($A62="","",IF(B62&lt;30000,0.03,IF(B62&lt;100000,0.02,0.015)))</f>
        <v/>
      </c>
      <c r="AC61" s="21" t="str">
        <f aca="false">IF($A62="","",IFERROR(DATEDIF($A$2,$A62,"m"),0))</f>
        <v/>
      </c>
      <c r="AD61" s="18" t="str">
        <f aca="false">IF($A62="","",IF(OR(AA62="",AB62="",AC62=""),"",AA62*POWER(1+AB62,AC62)))</f>
        <v/>
      </c>
      <c r="AE61" s="23" t="str">
        <f aca="false">IF($A62="","",IF(OR(AD62="",AD62=0),"",B62/AD62-1))</f>
        <v/>
      </c>
      <c r="AG61" s="1" t="str">
        <f aca="false">IF($A62="","",IF(B62&lt;30000,"婴儿",IF(B62&lt;100000,"成长","成熟")))</f>
        <v/>
      </c>
      <c r="AH61" s="24"/>
      <c r="AJ61" s="24"/>
      <c r="AK61" s="24"/>
      <c r="AM61" s="24"/>
      <c r="AP61" s="15"/>
      <c r="AQ61" s="25" t="str">
        <f aca="false">IF($A62="","",B62-$AA$2-SUM($F$2:F62))</f>
        <v/>
      </c>
      <c r="AR61" s="1" t="str">
        <f aca="false">IF($A61="","",30000)</f>
        <v/>
      </c>
      <c r="AS61" s="1" t="str">
        <f aca="false">IF($A61="","",AR61-B61)</f>
        <v/>
      </c>
      <c r="AT61" s="1" t="str">
        <f aca="false">IF($A61="","",IFERROR(B61/AR61,0))</f>
        <v/>
      </c>
      <c r="AU61" s="1" t="str">
        <f aca="false">IF($A61="","",IFERROR(B61*O61,0))</f>
        <v/>
      </c>
      <c r="AV61" s="1" t="str">
        <f aca="false">IF($A61="","",IFERROR(C61/B61,0))</f>
        <v/>
      </c>
      <c r="AW61" s="1" t="str">
        <f aca="false">IF($A61="","",MAX(0,R61-S61))</f>
        <v/>
      </c>
      <c r="AX61" s="1" t="str">
        <f aca="false">IF($A61="","",IF(AW61&gt;0,"优先降持仓数",IF(C61&lt;=0,"现金不足","允许评估")))</f>
        <v/>
      </c>
      <c r="AY61" s="1" t="str">
        <f aca="false">IF($A61="","",IF(B61&lt;30000,"婴儿阶段: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9"/>
      <c r="B62" s="26"/>
      <c r="C62" s="26"/>
      <c r="D62" s="18" t="str">
        <f aca="false">IF($A63="","",SUMIFS(持仓表!$J:$J,持仓表!$A:$A,$A63))</f>
        <v/>
      </c>
      <c r="E62" s="19" t="n">
        <f aca="false">IFERROR(D63/B63,0)</f>
        <v>0</v>
      </c>
      <c r="F62" s="26"/>
      <c r="G62" s="18" t="str">
        <f aca="false">IF($B63="","",MAX($B$2:B63))</f>
        <v/>
      </c>
      <c r="H62" s="19" t="n">
        <f aca="false">IFERROR((B63-F63)/F63,0)</f>
        <v>0</v>
      </c>
      <c r="I62" s="19" t="n">
        <f aca="false">IFERROR((B63-G63)/G63,0)</f>
        <v>0</v>
      </c>
      <c r="J62" s="9"/>
      <c r="K62" s="14"/>
      <c r="L62" s="27"/>
      <c r="M62" s="27"/>
      <c r="N62" s="19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62" s="19" t="str">
        <f aca="false">IF($B63="","",IF(B63&lt;30000,35%,IF(B63&lt;50000,30%,IF(B63&lt;100000,25%,20%))))</f>
        <v/>
      </c>
      <c r="P62" s="21" t="str">
        <f aca="false">IF($A63="","",COUNTIFS(持仓表!$A:$A,$A63,持仓表!$G:$G,"&gt;0"))</f>
        <v/>
      </c>
      <c r="Q62" s="21" t="str">
        <f aca="false">IF($A63="","",COUNTIFS(持仓表!$A:$A,$A63,持仓表!$D:$D,"是",持仓表!$G:$G,"&gt;0"))</f>
        <v/>
      </c>
      <c r="R62" s="21" t="str">
        <f aca="false">IF($A63="","",MAX(0,P63-Q63))</f>
        <v/>
      </c>
      <c r="S62" s="21" t="str">
        <f aca="false">IF($B63="","",IF(B63&lt;50000,3,IF(B63&lt;100000,4,5)))</f>
        <v/>
      </c>
      <c r="T62" s="5" t="str">
        <f aca="false">IF($A63="","",IF(OR(M63&gt;=4,I63&lt;=-8%),"防守",IF(OR(M63&gt;=2,I63&lt;=-5%),"警戒","正常")))</f>
        <v/>
      </c>
      <c r="U62" s="5" t="str">
        <f aca="false">IF($A63="","",IF(AND(L63&gt;=3,M63&lt;=2,T63&lt;&gt;"防守"),"是","否"))</f>
        <v/>
      </c>
      <c r="V62" s="5" t="str">
        <f aca="false">IF($A63="","",IF(AND(E63&lt;N63,R63&lt;S63,M63&lt;=2,I63&gt;-15%),"是","否"))</f>
        <v/>
      </c>
      <c r="W62" s="5" t="str">
        <f aca="false">IF($A63="","",IF(OR(M63&gt;=3,I63&lt;=-15%),"是","否"))</f>
        <v/>
      </c>
      <c r="X62" s="18" t="str">
        <f aca="false">IF($A63="","",IFERROR(maxifs(候选池!$AB:$AB,候选池!$A:$A,$A63),0))</f>
        <v/>
      </c>
      <c r="Y62" s="18" t="str">
        <f aca="false">IF($A63="","",IF(OR(M63&gt;=4,I63&lt;=-8%),MAX(0,B63*60%-C63),IF(AND(ISNUMBER(AD63),B63&gt;AD63),IF(B63&lt;30000,0,IF(B63&lt;100000,MAX(0,(B63-AD63)*0.2),MAX(0,(B63-AD63)*0.3))),0)))</f>
        <v/>
      </c>
      <c r="Z62" s="9"/>
      <c r="AA62" s="5" t="str">
        <f aca="false">IF($A63="","",IF($AA$2&lt;&gt;"",$AA$2,""))</f>
        <v/>
      </c>
      <c r="AB62" s="9" t="str">
        <f aca="false">IF($A63="","",IF(B63&lt;30000,0.03,IF(B63&lt;100000,0.02,0.015)))</f>
        <v/>
      </c>
      <c r="AC62" s="21" t="str">
        <f aca="false">IF($A63="","",IFERROR(DATEDIF($A$2,$A63,"m"),0))</f>
        <v/>
      </c>
      <c r="AD62" s="18" t="str">
        <f aca="false">IF($A63="","",IF(OR(AA63="",AB63="",AC63=""),"",AA63*POWER(1+AB63,AC63)))</f>
        <v/>
      </c>
      <c r="AE62" s="29" t="str">
        <f aca="false">IF($A63="","",IF(OR(AD63="",AD63=0),"",B63/AD63-1))</f>
        <v/>
      </c>
      <c r="AG62" s="1" t="str">
        <f aca="false">IF($A63="","",IF(B63&lt;30000,"婴儿",IF(B63&lt;100000,"成长","成熟")))</f>
        <v/>
      </c>
      <c r="AH62" s="24"/>
      <c r="AJ62" s="24"/>
      <c r="AK62" s="24"/>
      <c r="AM62" s="24"/>
      <c r="AP62" s="15"/>
      <c r="AQ62" s="25" t="str">
        <f aca="false">IF($A63="","",B63-$AA$2-SUM($F$2:F63))</f>
        <v/>
      </c>
      <c r="AR62" s="1" t="str">
        <f aca="false">IF($A62="","",30000)</f>
        <v/>
      </c>
      <c r="AS62" s="1" t="str">
        <f aca="false">IF($A62="","",AR62-B62)</f>
        <v/>
      </c>
      <c r="AT62" s="1" t="str">
        <f aca="false">IF($A62="","",IFERROR(B62/AR62,0))</f>
        <v/>
      </c>
      <c r="AU62" s="1" t="str">
        <f aca="false">IF($A62="","",IFERROR(B62*O62,0))</f>
        <v/>
      </c>
      <c r="AV62" s="1" t="str">
        <f aca="false">IF($A62="","",IFERROR(C62/B62,0))</f>
        <v/>
      </c>
      <c r="AW62" s="1" t="str">
        <f aca="false">IF($A62="","",MAX(0,R62-S62))</f>
        <v/>
      </c>
      <c r="AX62" s="1" t="str">
        <f aca="false">IF($A62="","",IF(AW62&gt;0,"优先降持仓数",IF(C62&lt;=0,"现金不足","允许评估")))</f>
        <v/>
      </c>
      <c r="AY62" s="1" t="str">
        <f aca="false">IF($A62="","",IF(B62&lt;30000,"婴儿阶段: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6"/>
      <c r="B63" s="17"/>
      <c r="C63" s="17"/>
      <c r="D63" s="18" t="str">
        <f aca="false">IF($A64="","",SUMIFS(持仓表!$J:$J,持仓表!$A:$A,$A64))</f>
        <v/>
      </c>
      <c r="E63" s="19" t="n">
        <f aca="false">IFERROR(D64/B64,0)</f>
        <v>0</v>
      </c>
      <c r="F63" s="17"/>
      <c r="G63" s="18" t="str">
        <f aca="false">IF($B64="","",MAX($B$2:B64))</f>
        <v/>
      </c>
      <c r="H63" s="19" t="n">
        <f aca="false">IFERROR((B64-F64)/F64,0)</f>
        <v>0</v>
      </c>
      <c r="I63" s="19" t="n">
        <f aca="false">IFERROR((B64-G64)/G64,0)</f>
        <v>0</v>
      </c>
      <c r="J63" s="6"/>
      <c r="K63" s="13"/>
      <c r="L63" s="20"/>
      <c r="M63" s="20"/>
      <c r="N63" s="19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63" s="19" t="str">
        <f aca="false">IF($B64="","",IF(B64&lt;30000,35%,IF(B64&lt;50000,30%,IF(B64&lt;100000,25%,20%))))</f>
        <v/>
      </c>
      <c r="P63" s="21" t="str">
        <f aca="false">IF($A64="","",COUNTIFS(持仓表!$A:$A,$A64,持仓表!$G:$G,"&gt;0"))</f>
        <v/>
      </c>
      <c r="Q63" s="21" t="str">
        <f aca="false">IF($A64="","",COUNTIFS(持仓表!$A:$A,$A64,持仓表!$D:$D,"是",持仓表!$G:$G,"&gt;0"))</f>
        <v/>
      </c>
      <c r="R63" s="21" t="str">
        <f aca="false">IF($A64="","",MAX(0,P64-Q64))</f>
        <v/>
      </c>
      <c r="S63" s="21" t="str">
        <f aca="false">IF($B64="","",IF(B64&lt;50000,3,IF(B64&lt;100000,4,5)))</f>
        <v/>
      </c>
      <c r="T63" s="5" t="str">
        <f aca="false">IF($A64="","",IF(OR(M64&gt;=4,I64&lt;=-8%),"防守",IF(OR(M64&gt;=2,I64&lt;=-5%),"警戒","正常")))</f>
        <v/>
      </c>
      <c r="U63" s="5" t="str">
        <f aca="false">IF($A64="","",IF(AND(L64&gt;=3,M64&lt;=2,T64&lt;&gt;"防守"),"是","否"))</f>
        <v/>
      </c>
      <c r="V63" s="5" t="str">
        <f aca="false">IF($A64="","",IF(AND(E64&lt;N64,R64&lt;S64,M64&lt;=2,I64&gt;-15%),"是","否"))</f>
        <v/>
      </c>
      <c r="W63" s="5" t="str">
        <f aca="false">IF($A64="","",IF(OR(M64&gt;=3,I64&lt;=-15%),"是","否"))</f>
        <v/>
      </c>
      <c r="X63" s="18" t="str">
        <f aca="false">IF($A64="","",IFERROR(maxifs(候选池!$AB:$AB,候选池!$A:$A,$A64),0))</f>
        <v/>
      </c>
      <c r="Y63" s="18" t="str">
        <f aca="false">IF($A64="","",IF(OR(M64&gt;=4,I64&lt;=-8%),MAX(0,B64*60%-C64),IF(AND(ISNUMBER(AD64),B64&gt;AD64),IF(B64&lt;30000,0,IF(B64&lt;100000,MAX(0,(B64-AD64)*0.2),MAX(0,(B64-AD64)*0.3))),0)))</f>
        <v/>
      </c>
      <c r="Z63" s="6"/>
      <c r="AA63" s="5" t="str">
        <f aca="false">IF($A64="","",IF($AA$2&lt;&gt;"",$AA$2,""))</f>
        <v/>
      </c>
      <c r="AB63" s="6" t="str">
        <f aca="false">IF($A64="","",IF(B64&lt;30000,0.03,IF(B64&lt;100000,0.02,0.015)))</f>
        <v/>
      </c>
      <c r="AC63" s="21" t="str">
        <f aca="false">IF($A64="","",IFERROR(DATEDIF($A$2,$A64,"m"),0))</f>
        <v/>
      </c>
      <c r="AD63" s="18" t="str">
        <f aca="false">IF($A64="","",IF(OR(AA64="",AB64="",AC64=""),"",AA64*POWER(1+AB64,AC64)))</f>
        <v/>
      </c>
      <c r="AE63" s="23" t="str">
        <f aca="false">IF($A64="","",IF(OR(AD64="",AD64=0),"",B64/AD64-1))</f>
        <v/>
      </c>
      <c r="AG63" s="1" t="str">
        <f aca="false">IF($A64="","",IF(B64&lt;30000,"婴儿",IF(B64&lt;100000,"成长","成熟")))</f>
        <v/>
      </c>
      <c r="AH63" s="24"/>
      <c r="AJ63" s="24"/>
      <c r="AK63" s="24"/>
      <c r="AM63" s="24"/>
      <c r="AP63" s="15"/>
      <c r="AQ63" s="25" t="str">
        <f aca="false">IF($A64="","",B64-$AA$2-SUM($F$2:F64))</f>
        <v/>
      </c>
      <c r="AR63" s="1" t="str">
        <f aca="false">IF($A63="","",30000)</f>
        <v/>
      </c>
      <c r="AS63" s="1" t="str">
        <f aca="false">IF($A63="","",AR63-B63)</f>
        <v/>
      </c>
      <c r="AT63" s="1" t="str">
        <f aca="false">IF($A63="","",IFERROR(B63/AR63,0))</f>
        <v/>
      </c>
      <c r="AU63" s="1" t="str">
        <f aca="false">IF($A63="","",IFERROR(B63*O63,0))</f>
        <v/>
      </c>
      <c r="AV63" s="1" t="str">
        <f aca="false">IF($A63="","",IFERROR(C63/B63,0))</f>
        <v/>
      </c>
      <c r="AW63" s="1" t="str">
        <f aca="false">IF($A63="","",MAX(0,R63-S63))</f>
        <v/>
      </c>
      <c r="AX63" s="1" t="str">
        <f aca="false">IF($A63="","",IF(AW63&gt;0,"优先降持仓数",IF(C63&lt;=0,"现金不足","允许评估")))</f>
        <v/>
      </c>
      <c r="AY63" s="1" t="str">
        <f aca="false">IF($A63="","",IF(B63&lt;30000,"婴儿阶段: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9"/>
      <c r="B64" s="26"/>
      <c r="C64" s="26"/>
      <c r="D64" s="18" t="str">
        <f aca="false">IF($A65="","",SUMIFS(持仓表!$J:$J,持仓表!$A:$A,$A65))</f>
        <v/>
      </c>
      <c r="E64" s="19" t="n">
        <f aca="false">IFERROR(D65/B65,0)</f>
        <v>0</v>
      </c>
      <c r="F64" s="26"/>
      <c r="G64" s="18" t="str">
        <f aca="false">IF($B65="","",MAX($B$2:B65))</f>
        <v/>
      </c>
      <c r="H64" s="19" t="n">
        <f aca="false">IFERROR((B65-F65)/F65,0)</f>
        <v>0</v>
      </c>
      <c r="I64" s="19" t="n">
        <f aca="false">IFERROR((B65-G65)/G65,0)</f>
        <v>0</v>
      </c>
      <c r="J64" s="9"/>
      <c r="K64" s="14"/>
      <c r="L64" s="27"/>
      <c r="M64" s="27"/>
      <c r="N64" s="19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4" s="19" t="str">
        <f aca="false">IF($B65="","",IF(B65&lt;30000,35%,IF(B65&lt;50000,30%,IF(B65&lt;100000,25%,20%))))</f>
        <v/>
      </c>
      <c r="P64" s="21" t="str">
        <f aca="false">IF($A65="","",COUNTIFS(持仓表!$A:$A,$A65,持仓表!$G:$G,"&gt;0"))</f>
        <v/>
      </c>
      <c r="Q64" s="21" t="str">
        <f aca="false">IF($A65="","",COUNTIFS(持仓表!$A:$A,$A65,持仓表!$D:$D,"是",持仓表!$G:$G,"&gt;0"))</f>
        <v/>
      </c>
      <c r="R64" s="21" t="str">
        <f aca="false">IF($A65="","",MAX(0,P65-Q65))</f>
        <v/>
      </c>
      <c r="S64" s="21" t="str">
        <f aca="false">IF($B65="","",IF(B65&lt;50000,3,IF(B65&lt;100000,4,5)))</f>
        <v/>
      </c>
      <c r="T64" s="5" t="str">
        <f aca="false">IF($A65="","",IF(OR(M65&gt;=4,I65&lt;=-8%),"防守",IF(OR(M65&gt;=2,I65&lt;=-5%),"警戒","正常")))</f>
        <v/>
      </c>
      <c r="U64" s="5" t="str">
        <f aca="false">IF($A65="","",IF(AND(L65&gt;=3,M65&lt;=2,T65&lt;&gt;"防守"),"是","否"))</f>
        <v/>
      </c>
      <c r="V64" s="5" t="str">
        <f aca="false">IF($A65="","",IF(AND(E65&lt;N65,R65&lt;S65,M65&lt;=2,I65&gt;-15%),"是","否"))</f>
        <v/>
      </c>
      <c r="W64" s="5" t="str">
        <f aca="false">IF($A65="","",IF(OR(M65&gt;=3,I65&lt;=-15%),"是","否"))</f>
        <v/>
      </c>
      <c r="X64" s="18" t="str">
        <f aca="false">IF($A65="","",IFERROR(maxifs(候选池!$AB:$AB,候选池!$A:$A,$A65),0))</f>
        <v/>
      </c>
      <c r="Y64" s="18" t="str">
        <f aca="false">IF($A65="","",IF(OR(M65&gt;=4,I65&lt;=-8%),MAX(0,B65*60%-C65),IF(AND(ISNUMBER(AD65),B65&gt;AD65),IF(B65&lt;30000,0,IF(B65&lt;100000,MAX(0,(B65-AD65)*0.2),MAX(0,(B65-AD65)*0.3))),0)))</f>
        <v/>
      </c>
      <c r="Z64" s="9"/>
      <c r="AA64" s="5" t="str">
        <f aca="false">IF($A65="","",IF($AA$2&lt;&gt;"",$AA$2,""))</f>
        <v/>
      </c>
      <c r="AB64" s="9" t="str">
        <f aca="false">IF($A65="","",IF(B65&lt;30000,0.03,IF(B65&lt;100000,0.02,0.015)))</f>
        <v/>
      </c>
      <c r="AC64" s="21" t="str">
        <f aca="false">IF($A65="","",IFERROR(DATEDIF($A$2,$A65,"m"),0))</f>
        <v/>
      </c>
      <c r="AD64" s="18" t="str">
        <f aca="false">IF($A65="","",IF(OR(AA65="",AB65="",AC65=""),"",AA65*POWER(1+AB65,AC65)))</f>
        <v/>
      </c>
      <c r="AE64" s="29" t="str">
        <f aca="false">IF($A65="","",IF(OR(AD65="",AD65=0),"",B65/AD65-1))</f>
        <v/>
      </c>
      <c r="AG64" s="1" t="str">
        <f aca="false">IF($A65="","",IF(B65&lt;30000,"婴儿",IF(B65&lt;100000,"成长","成熟")))</f>
        <v/>
      </c>
      <c r="AH64" s="24"/>
      <c r="AJ64" s="24"/>
      <c r="AK64" s="24"/>
      <c r="AM64" s="24"/>
      <c r="AP64" s="15"/>
      <c r="AQ64" s="25" t="str">
        <f aca="false">IF($A65="","",B65-$AA$2-SUM($F$2:F65))</f>
        <v/>
      </c>
      <c r="AR64" s="1" t="str">
        <f aca="false">IF($A64="","",30000)</f>
        <v/>
      </c>
      <c r="AS64" s="1" t="str">
        <f aca="false">IF($A64="","",AR64-B64)</f>
        <v/>
      </c>
      <c r="AT64" s="1" t="str">
        <f aca="false">IF($A64="","",IFERROR(B64/AR64,0))</f>
        <v/>
      </c>
      <c r="AU64" s="1" t="str">
        <f aca="false">IF($A64="","",IFERROR(B64*O64,0))</f>
        <v/>
      </c>
      <c r="AV64" s="1" t="str">
        <f aca="false">IF($A64="","",IFERROR(C64/B64,0))</f>
        <v/>
      </c>
      <c r="AW64" s="1" t="str">
        <f aca="false">IF($A64="","",MAX(0,R64-S64))</f>
        <v/>
      </c>
      <c r="AX64" s="1" t="str">
        <f aca="false">IF($A64="","",IF(AW64&gt;0,"优先降持仓数",IF(C64&lt;=0,"现金不足","允许评估")))</f>
        <v/>
      </c>
      <c r="AY64" s="1" t="str">
        <f aca="false">IF($A64="","",IF(B64&lt;30000,"婴儿阶段: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6"/>
      <c r="B65" s="17"/>
      <c r="C65" s="17"/>
      <c r="D65" s="18" t="str">
        <f aca="false">IF($A66="","",SUMIFS(持仓表!$J:$J,持仓表!$A:$A,$A66))</f>
        <v/>
      </c>
      <c r="E65" s="19" t="n">
        <f aca="false">IFERROR(D66/B66,0)</f>
        <v>0</v>
      </c>
      <c r="F65" s="17"/>
      <c r="G65" s="18" t="str">
        <f aca="false">IF($B66="","",MAX($B$2:B66))</f>
        <v/>
      </c>
      <c r="H65" s="19" t="n">
        <f aca="false">IFERROR((B66-F66)/F66,0)</f>
        <v>0</v>
      </c>
      <c r="I65" s="19" t="n">
        <f aca="false">IFERROR((B66-G66)/G66,0)</f>
        <v>0</v>
      </c>
      <c r="J65" s="6"/>
      <c r="K65" s="13"/>
      <c r="L65" s="20"/>
      <c r="M65" s="20"/>
      <c r="N65" s="19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5" s="19" t="str">
        <f aca="false">IF($B66="","",IF(B66&lt;30000,35%,IF(B66&lt;50000,30%,IF(B66&lt;100000,25%,20%))))</f>
        <v/>
      </c>
      <c r="P65" s="21" t="str">
        <f aca="false">IF($A66="","",COUNTIFS(持仓表!$A:$A,$A66,持仓表!$G:$G,"&gt;0"))</f>
        <v/>
      </c>
      <c r="Q65" s="21" t="str">
        <f aca="false">IF($A66="","",COUNTIFS(持仓表!$A:$A,$A66,持仓表!$D:$D,"是",持仓表!$G:$G,"&gt;0"))</f>
        <v/>
      </c>
      <c r="R65" s="21" t="str">
        <f aca="false">IF($A66="","",MAX(0,P66-Q66))</f>
        <v/>
      </c>
      <c r="S65" s="21" t="str">
        <f aca="false">IF($B66="","",IF(B66&lt;50000,3,IF(B66&lt;100000,4,5)))</f>
        <v/>
      </c>
      <c r="T65" s="5" t="str">
        <f aca="false">IF($A66="","",IF(OR(M66&gt;=4,I66&lt;=-8%),"防守",IF(OR(M66&gt;=2,I66&lt;=-5%),"警戒","正常")))</f>
        <v/>
      </c>
      <c r="U65" s="5" t="str">
        <f aca="false">IF($A66="","",IF(AND(L66&gt;=3,M66&lt;=2,T66&lt;&gt;"防守"),"是","否"))</f>
        <v/>
      </c>
      <c r="V65" s="5" t="str">
        <f aca="false">IF($A66="","",IF(AND(E66&lt;N66,R66&lt;S66,M66&lt;=2,I66&gt;-15%),"是","否"))</f>
        <v/>
      </c>
      <c r="W65" s="5" t="str">
        <f aca="false">IF($A66="","",IF(OR(M66&gt;=3,I66&lt;=-15%),"是","否"))</f>
        <v/>
      </c>
      <c r="X65" s="18" t="str">
        <f aca="false">IF($A66="","",IFERROR(maxifs(候选池!$AB:$AB,候选池!$A:$A,$A66),0))</f>
        <v/>
      </c>
      <c r="Y65" s="18" t="str">
        <f aca="false">IF($A66="","",IF(OR(M66&gt;=4,I66&lt;=-8%),MAX(0,B66*60%-C66),IF(AND(ISNUMBER(AD66),B66&gt;AD66),IF(B66&lt;30000,0,IF(B66&lt;100000,MAX(0,(B66-AD66)*0.2),MAX(0,(B66-AD66)*0.3))),0)))</f>
        <v/>
      </c>
      <c r="Z65" s="6"/>
      <c r="AA65" s="5" t="str">
        <f aca="false">IF($A66="","",IF($AA$2&lt;&gt;"",$AA$2,""))</f>
        <v/>
      </c>
      <c r="AB65" s="6" t="str">
        <f aca="false">IF($A66="","",IF(B66&lt;30000,0.03,IF(B66&lt;100000,0.02,0.015)))</f>
        <v/>
      </c>
      <c r="AC65" s="21" t="str">
        <f aca="false">IF($A66="","",IFERROR(DATEDIF($A$2,$A66,"m"),0))</f>
        <v/>
      </c>
      <c r="AD65" s="18" t="str">
        <f aca="false">IF($A66="","",IF(OR(AA66="",AB66="",AC66=""),"",AA66*POWER(1+AB66,AC66)))</f>
        <v/>
      </c>
      <c r="AE65" s="23" t="str">
        <f aca="false">IF($A66="","",IF(OR(AD66="",AD66=0),"",B66/AD66-1))</f>
        <v/>
      </c>
      <c r="AG65" s="1" t="str">
        <f aca="false">IF($A66="","",IF(B66&lt;30000,"婴儿",IF(B66&lt;100000,"成长","成熟")))</f>
        <v/>
      </c>
      <c r="AH65" s="24"/>
      <c r="AJ65" s="24"/>
      <c r="AK65" s="24"/>
      <c r="AM65" s="24"/>
      <c r="AP65" s="15"/>
      <c r="AQ65" s="25" t="str">
        <f aca="false">IF($A66="","",B66-$AA$2-SUM($F$2:F66))</f>
        <v/>
      </c>
      <c r="AR65" s="1" t="str">
        <f aca="false">IF($A65="","",30000)</f>
        <v/>
      </c>
      <c r="AS65" s="1" t="str">
        <f aca="false">IF($A65="","",AR65-B65)</f>
        <v/>
      </c>
      <c r="AT65" s="1" t="str">
        <f aca="false">IF($A65="","",IFERROR(B65/AR65,0))</f>
        <v/>
      </c>
      <c r="AU65" s="1" t="str">
        <f aca="false">IF($A65="","",IFERROR(B65*O65,0))</f>
        <v/>
      </c>
      <c r="AV65" s="1" t="str">
        <f aca="false">IF($A65="","",IFERROR(C65/B65,0))</f>
        <v/>
      </c>
      <c r="AW65" s="1" t="str">
        <f aca="false">IF($A65="","",MAX(0,R65-S65))</f>
        <v/>
      </c>
      <c r="AX65" s="1" t="str">
        <f aca="false">IF($A65="","",IF(AW65&gt;0,"优先降持仓数",IF(C65&lt;=0,"现金不足","允许评估")))</f>
        <v/>
      </c>
      <c r="AY65" s="1" t="str">
        <f aca="false">IF($A65="","",IF(B65&lt;30000,"婴儿阶段: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9"/>
      <c r="B66" s="26"/>
      <c r="C66" s="26"/>
      <c r="D66" s="18" t="str">
        <f aca="false">IF($A67="","",SUMIFS(持仓表!$J:$J,持仓表!$A:$A,$A67))</f>
        <v/>
      </c>
      <c r="E66" s="19" t="n">
        <f aca="false">IFERROR(D67/B67,0)</f>
        <v>0</v>
      </c>
      <c r="F66" s="26"/>
      <c r="G66" s="18" t="str">
        <f aca="false">IF($B67="","",MAX($B$2:B67))</f>
        <v/>
      </c>
      <c r="H66" s="19" t="n">
        <f aca="false">IFERROR((B67-F67)/F67,0)</f>
        <v>0</v>
      </c>
      <c r="I66" s="19" t="n">
        <f aca="false">IFERROR((B67-G67)/G67,0)</f>
        <v>0</v>
      </c>
      <c r="J66" s="9"/>
      <c r="K66" s="14"/>
      <c r="L66" s="27"/>
      <c r="M66" s="27"/>
      <c r="N66" s="19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6" s="19" t="str">
        <f aca="false">IF($B67="","",IF(B67&lt;30000,35%,IF(B67&lt;50000,30%,IF(B67&lt;100000,25%,20%))))</f>
        <v/>
      </c>
      <c r="P66" s="21" t="str">
        <f aca="false">IF($A67="","",COUNTIFS(持仓表!$A:$A,$A67,持仓表!$G:$G,"&gt;0"))</f>
        <v/>
      </c>
      <c r="Q66" s="21" t="str">
        <f aca="false">IF($A67="","",COUNTIFS(持仓表!$A:$A,$A67,持仓表!$D:$D,"是",持仓表!$G:$G,"&gt;0"))</f>
        <v/>
      </c>
      <c r="R66" s="21" t="str">
        <f aca="false">IF($A67="","",MAX(0,P67-Q67))</f>
        <v/>
      </c>
      <c r="S66" s="21" t="str">
        <f aca="false">IF($B67="","",IF(B67&lt;50000,3,IF(B67&lt;100000,4,5)))</f>
        <v/>
      </c>
      <c r="T66" s="5" t="str">
        <f aca="false">IF($A67="","",IF(OR(M67&gt;=4,I67&lt;=-8%),"防守",IF(OR(M67&gt;=2,I67&lt;=-5%),"警戒","正常")))</f>
        <v/>
      </c>
      <c r="U66" s="5" t="str">
        <f aca="false">IF($A67="","",IF(AND(L67&gt;=3,M67&lt;=2,T67&lt;&gt;"防守"),"是","否"))</f>
        <v/>
      </c>
      <c r="V66" s="5" t="str">
        <f aca="false">IF($A67="","",IF(AND(E67&lt;N67,R67&lt;S67,M67&lt;=2,I67&gt;-15%),"是","否"))</f>
        <v/>
      </c>
      <c r="W66" s="5" t="str">
        <f aca="false">IF($A67="","",IF(OR(M67&gt;=3,I67&lt;=-15%),"是","否"))</f>
        <v/>
      </c>
      <c r="X66" s="18" t="str">
        <f aca="false">IF($A67="","",IFERROR(maxifs(候选池!$AB:$AB,候选池!$A:$A,$A67),0))</f>
        <v/>
      </c>
      <c r="Y66" s="18" t="str">
        <f aca="false">IF($A67="","",IF(OR(M67&gt;=4,I67&lt;=-8%),MAX(0,B67*60%-C67),IF(AND(ISNUMBER(AD67),B67&gt;AD67),IF(B67&lt;30000,0,IF(B67&lt;100000,MAX(0,(B67-AD67)*0.2),MAX(0,(B67-AD67)*0.3))),0)))</f>
        <v/>
      </c>
      <c r="Z66" s="9"/>
      <c r="AA66" s="5" t="str">
        <f aca="false">IF($A67="","",IF($AA$2&lt;&gt;"",$AA$2,""))</f>
        <v/>
      </c>
      <c r="AB66" s="9" t="str">
        <f aca="false">IF($A67="","",IF(B67&lt;30000,0.03,IF(B67&lt;100000,0.02,0.015)))</f>
        <v/>
      </c>
      <c r="AC66" s="21" t="str">
        <f aca="false">IF($A67="","",IFERROR(DATEDIF($A$2,$A67,"m"),0))</f>
        <v/>
      </c>
      <c r="AD66" s="18" t="str">
        <f aca="false">IF($A67="","",IF(OR(AA67="",AB67="",AC67=""),"",AA67*POWER(1+AB67,AC67)))</f>
        <v/>
      </c>
      <c r="AE66" s="29" t="str">
        <f aca="false">IF($A67="","",IF(OR(AD67="",AD67=0),"",B67/AD67-1))</f>
        <v/>
      </c>
      <c r="AG66" s="1" t="str">
        <f aca="false">IF($A67="","",IF(B67&lt;30000,"婴儿",IF(B67&lt;100000,"成长","成熟")))</f>
        <v/>
      </c>
      <c r="AH66" s="24"/>
      <c r="AJ66" s="24"/>
      <c r="AK66" s="24"/>
      <c r="AM66" s="24"/>
      <c r="AP66" s="15"/>
      <c r="AQ66" s="25" t="str">
        <f aca="false">IF($A67="","",B67-$AA$2-SUM($F$2:F67))</f>
        <v/>
      </c>
      <c r="AR66" s="1" t="str">
        <f aca="false">IF($A66="","",30000)</f>
        <v/>
      </c>
      <c r="AS66" s="1" t="str">
        <f aca="false">IF($A66="","",AR66-B66)</f>
        <v/>
      </c>
      <c r="AT66" s="1" t="str">
        <f aca="false">IF($A66="","",IFERROR(B66/AR66,0))</f>
        <v/>
      </c>
      <c r="AU66" s="1" t="str">
        <f aca="false">IF($A66="","",IFERROR(B66*O66,0))</f>
        <v/>
      </c>
      <c r="AV66" s="1" t="str">
        <f aca="false">IF($A66="","",IFERROR(C66/B66,0))</f>
        <v/>
      </c>
      <c r="AW66" s="1" t="str">
        <f aca="false">IF($A66="","",MAX(0,R66-S66))</f>
        <v/>
      </c>
      <c r="AX66" s="1" t="str">
        <f aca="false">IF($A66="","",IF(AW66&gt;0,"优先降持仓数",IF(C66&lt;=0,"现金不足","允许评估")))</f>
        <v/>
      </c>
      <c r="AY66" s="1" t="str">
        <f aca="false">IF($A66="","",IF(B66&lt;30000,"婴儿阶段: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6"/>
      <c r="B67" s="17"/>
      <c r="C67" s="17"/>
      <c r="D67" s="18" t="str">
        <f aca="false">IF($A68="","",SUMIFS(持仓表!$J:$J,持仓表!$A:$A,$A68))</f>
        <v/>
      </c>
      <c r="E67" s="19" t="n">
        <f aca="false">IFERROR(D68/B68,0)</f>
        <v>0</v>
      </c>
      <c r="F67" s="17"/>
      <c r="G67" s="18" t="str">
        <f aca="false">IF($B68="","",MAX($B$2:B68))</f>
        <v/>
      </c>
      <c r="H67" s="19" t="n">
        <f aca="false">IFERROR((B68-F68)/F68,0)</f>
        <v>0</v>
      </c>
      <c r="I67" s="19" t="n">
        <f aca="false">IFERROR((B68-G68)/G68,0)</f>
        <v>0</v>
      </c>
      <c r="J67" s="6"/>
      <c r="K67" s="13"/>
      <c r="L67" s="20"/>
      <c r="M67" s="20"/>
      <c r="N67" s="19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7" s="19" t="str">
        <f aca="false">IF($B68="","",IF(B68&lt;30000,35%,IF(B68&lt;50000,30%,IF(B68&lt;100000,25%,20%))))</f>
        <v/>
      </c>
      <c r="P67" s="21" t="str">
        <f aca="false">IF($A68="","",COUNTIFS(持仓表!$A:$A,$A68,持仓表!$G:$G,"&gt;0"))</f>
        <v/>
      </c>
      <c r="Q67" s="21" t="str">
        <f aca="false">IF($A68="","",COUNTIFS(持仓表!$A:$A,$A68,持仓表!$D:$D,"是",持仓表!$G:$G,"&gt;0"))</f>
        <v/>
      </c>
      <c r="R67" s="21" t="str">
        <f aca="false">IF($A68="","",MAX(0,P68-Q68))</f>
        <v/>
      </c>
      <c r="S67" s="21" t="str">
        <f aca="false">IF($B68="","",IF(B68&lt;50000,3,IF(B68&lt;100000,4,5)))</f>
        <v/>
      </c>
      <c r="T67" s="5" t="str">
        <f aca="false">IF($A68="","",IF(OR(M68&gt;=4,I68&lt;=-8%),"防守",IF(OR(M68&gt;=2,I68&lt;=-5%),"警戒","正常")))</f>
        <v/>
      </c>
      <c r="U67" s="5" t="str">
        <f aca="false">IF($A68="","",IF(AND(L68&gt;=3,M68&lt;=2,T68&lt;&gt;"防守"),"是","否"))</f>
        <v/>
      </c>
      <c r="V67" s="5" t="str">
        <f aca="false">IF($A68="","",IF(AND(E68&lt;N68,R68&lt;S68,M68&lt;=2,I68&gt;-15%),"是","否"))</f>
        <v/>
      </c>
      <c r="W67" s="5" t="str">
        <f aca="false">IF($A68="","",IF(OR(M68&gt;=3,I68&lt;=-15%),"是","否"))</f>
        <v/>
      </c>
      <c r="X67" s="18" t="str">
        <f aca="false">IF($A68="","",IFERROR(maxifs(候选池!$AB:$AB,候选池!$A:$A,$A68),0))</f>
        <v/>
      </c>
      <c r="Y67" s="18" t="str">
        <f aca="false">IF($A68="","",IF(OR(M68&gt;=4,I68&lt;=-8%),MAX(0,B68*60%-C68),IF(AND(ISNUMBER(AD68),B68&gt;AD68),IF(B68&lt;30000,0,IF(B68&lt;100000,MAX(0,(B68-AD68)*0.2),MAX(0,(B68-AD68)*0.3))),0)))</f>
        <v/>
      </c>
      <c r="Z67" s="6"/>
      <c r="AA67" s="5" t="str">
        <f aca="false">IF($A68="","",IF($AA$2&lt;&gt;"",$AA$2,""))</f>
        <v/>
      </c>
      <c r="AB67" s="6" t="str">
        <f aca="false">IF($A68="","",IF(B68&lt;30000,0.03,IF(B68&lt;100000,0.02,0.015)))</f>
        <v/>
      </c>
      <c r="AC67" s="21" t="str">
        <f aca="false">IF($A68="","",IFERROR(DATEDIF($A$2,$A68,"m"),0))</f>
        <v/>
      </c>
      <c r="AD67" s="18" t="str">
        <f aca="false">IF($A68="","",IF(OR(AA68="",AB68="",AC68=""),"",AA68*POWER(1+AB68,AC68)))</f>
        <v/>
      </c>
      <c r="AE67" s="23" t="str">
        <f aca="false">IF($A68="","",IF(OR(AD68="",AD68=0),"",B68/AD68-1))</f>
        <v/>
      </c>
      <c r="AG67" s="1" t="str">
        <f aca="false">IF($A68="","",IF(B68&lt;30000,"婴儿",IF(B68&lt;100000,"成长","成熟")))</f>
        <v/>
      </c>
      <c r="AH67" s="24"/>
      <c r="AJ67" s="24"/>
      <c r="AK67" s="24"/>
      <c r="AM67" s="24"/>
      <c r="AP67" s="15"/>
      <c r="AQ67" s="25" t="str">
        <f aca="false">IF($A68="","",B68-$AA$2-SUM($F$2:F68))</f>
        <v/>
      </c>
      <c r="AR67" s="1" t="str">
        <f aca="false">IF($A67="","",30000)</f>
        <v/>
      </c>
      <c r="AS67" s="1" t="str">
        <f aca="false">IF($A67="","",AR67-B67)</f>
        <v/>
      </c>
      <c r="AT67" s="1" t="str">
        <f aca="false">IF($A67="","",IFERROR(B67/AR67,0))</f>
        <v/>
      </c>
      <c r="AU67" s="1" t="str">
        <f aca="false">IF($A67="","",IFERROR(B67*O67,0))</f>
        <v/>
      </c>
      <c r="AV67" s="1" t="str">
        <f aca="false">IF($A67="","",IFERROR(C67/B67,0))</f>
        <v/>
      </c>
      <c r="AW67" s="1" t="str">
        <f aca="false">IF($A67="","",MAX(0,R67-S67))</f>
        <v/>
      </c>
      <c r="AX67" s="1" t="str">
        <f aca="false">IF($A67="","",IF(AW67&gt;0,"优先降持仓数",IF(C67&lt;=0,"现金不足","允许评估")))</f>
        <v/>
      </c>
      <c r="AY67" s="1" t="str">
        <f aca="false">IF($A67="","",IF(B67&lt;30000,"婴儿阶段: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9"/>
      <c r="B68" s="26"/>
      <c r="C68" s="26"/>
      <c r="D68" s="18" t="str">
        <f aca="false">IF($A69="","",SUMIFS(持仓表!$J:$J,持仓表!$A:$A,$A69))</f>
        <v/>
      </c>
      <c r="E68" s="19" t="n">
        <f aca="false">IFERROR(D69/B69,0)</f>
        <v>0</v>
      </c>
      <c r="F68" s="26"/>
      <c r="G68" s="18" t="str">
        <f aca="false">IF($B69="","",MAX($B$2:B69))</f>
        <v/>
      </c>
      <c r="H68" s="19" t="n">
        <f aca="false">IFERROR((B69-F69)/F69,0)</f>
        <v>0</v>
      </c>
      <c r="I68" s="19" t="n">
        <f aca="false">IFERROR((B69-G69)/G69,0)</f>
        <v>0</v>
      </c>
      <c r="J68" s="9"/>
      <c r="K68" s="14"/>
      <c r="L68" s="27"/>
      <c r="M68" s="27"/>
      <c r="N68" s="19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8" s="19" t="str">
        <f aca="false">IF($B69="","",IF(B69&lt;30000,35%,IF(B69&lt;50000,30%,IF(B69&lt;100000,25%,20%))))</f>
        <v/>
      </c>
      <c r="P68" s="21" t="str">
        <f aca="false">IF($A69="","",COUNTIFS(持仓表!$A:$A,$A69,持仓表!$G:$G,"&gt;0"))</f>
        <v/>
      </c>
      <c r="Q68" s="21" t="str">
        <f aca="false">IF($A69="","",COUNTIFS(持仓表!$A:$A,$A69,持仓表!$D:$D,"是",持仓表!$G:$G,"&gt;0"))</f>
        <v/>
      </c>
      <c r="R68" s="21" t="str">
        <f aca="false">IF($A69="","",MAX(0,P69-Q69))</f>
        <v/>
      </c>
      <c r="S68" s="21" t="str">
        <f aca="false">IF($B69="","",IF(B69&lt;50000,3,IF(B69&lt;100000,4,5)))</f>
        <v/>
      </c>
      <c r="T68" s="5" t="str">
        <f aca="false">IF($A69="","",IF(OR(M69&gt;=4,I69&lt;=-8%),"防守",IF(OR(M69&gt;=2,I69&lt;=-5%),"警戒","正常")))</f>
        <v/>
      </c>
      <c r="U68" s="5" t="str">
        <f aca="false">IF($A69="","",IF(AND(L69&gt;=3,M69&lt;=2,T69&lt;&gt;"防守"),"是","否"))</f>
        <v/>
      </c>
      <c r="V68" s="5" t="str">
        <f aca="false">IF($A69="","",IF(AND(E69&lt;N69,R69&lt;S69,M69&lt;=2,I69&gt;-15%),"是","否"))</f>
        <v/>
      </c>
      <c r="W68" s="5" t="str">
        <f aca="false">IF($A69="","",IF(OR(M69&gt;=3,I69&lt;=-15%),"是","否"))</f>
        <v/>
      </c>
      <c r="X68" s="18" t="str">
        <f aca="false">IF($A69="","",IFERROR(maxifs(候选池!$AB:$AB,候选池!$A:$A,$A69),0))</f>
        <v/>
      </c>
      <c r="Y68" s="18" t="str">
        <f aca="false">IF($A69="","",IF(OR(M69&gt;=4,I69&lt;=-8%),MAX(0,B69*60%-C69),IF(AND(ISNUMBER(AD69),B69&gt;AD69),IF(B69&lt;30000,0,IF(B69&lt;100000,MAX(0,(B69-AD69)*0.2),MAX(0,(B69-AD69)*0.3))),0)))</f>
        <v/>
      </c>
      <c r="Z68" s="9"/>
      <c r="AA68" s="5" t="str">
        <f aca="false">IF($A69="","",IF($AA$2&lt;&gt;"",$AA$2,""))</f>
        <v/>
      </c>
      <c r="AB68" s="9" t="str">
        <f aca="false">IF($A69="","",IF(B69&lt;30000,0.03,IF(B69&lt;100000,0.02,0.015)))</f>
        <v/>
      </c>
      <c r="AC68" s="21" t="str">
        <f aca="false">IF($A69="","",IFERROR(DATEDIF($A$2,$A69,"m"),0))</f>
        <v/>
      </c>
      <c r="AD68" s="18" t="str">
        <f aca="false">IF($A69="","",IF(OR(AA69="",AB69="",AC69=""),"",AA69*POWER(1+AB69,AC69)))</f>
        <v/>
      </c>
      <c r="AE68" s="29" t="str">
        <f aca="false">IF($A69="","",IF(OR(AD69="",AD69=0),"",B69/AD69-1))</f>
        <v/>
      </c>
      <c r="AG68" s="1" t="str">
        <f aca="false">IF($A69="","",IF(B69&lt;30000,"婴儿",IF(B69&lt;100000,"成长","成熟")))</f>
        <v/>
      </c>
      <c r="AH68" s="24"/>
      <c r="AJ68" s="24"/>
      <c r="AK68" s="24"/>
      <c r="AM68" s="24"/>
      <c r="AP68" s="15"/>
      <c r="AQ68" s="25" t="str">
        <f aca="false">IF($A69="","",B69-$AA$2-SUM($F$2:F69))</f>
        <v/>
      </c>
      <c r="AR68" s="1" t="str">
        <f aca="false">IF($A68="","",30000)</f>
        <v/>
      </c>
      <c r="AS68" s="1" t="str">
        <f aca="false">IF($A68="","",AR68-B68)</f>
        <v/>
      </c>
      <c r="AT68" s="1" t="str">
        <f aca="false">IF($A68="","",IFERROR(B68/AR68,0))</f>
        <v/>
      </c>
      <c r="AU68" s="1" t="str">
        <f aca="false">IF($A68="","",IFERROR(B68*O68,0))</f>
        <v/>
      </c>
      <c r="AV68" s="1" t="str">
        <f aca="false">IF($A68="","",IFERROR(C68/B68,0))</f>
        <v/>
      </c>
      <c r="AW68" s="1" t="str">
        <f aca="false">IF($A68="","",MAX(0,R68-S68))</f>
        <v/>
      </c>
      <c r="AX68" s="1" t="str">
        <f aca="false">IF($A68="","",IF(AW68&gt;0,"优先降持仓数",IF(C68&lt;=0,"现金不足","允许评估")))</f>
        <v/>
      </c>
      <c r="AY68" s="1" t="str">
        <f aca="false">IF($A68="","",IF(B68&lt;30000,"婴儿阶段: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6"/>
      <c r="B69" s="17"/>
      <c r="C69" s="17"/>
      <c r="D69" s="18" t="str">
        <f aca="false">IF($A70="","",SUMIFS(持仓表!$J:$J,持仓表!$A:$A,$A70))</f>
        <v/>
      </c>
      <c r="E69" s="19" t="n">
        <f aca="false">IFERROR(D70/B70,0)</f>
        <v>0</v>
      </c>
      <c r="F69" s="17"/>
      <c r="G69" s="18" t="str">
        <f aca="false">IF($B70="","",MAX($B$2:B70))</f>
        <v/>
      </c>
      <c r="H69" s="19" t="n">
        <f aca="false">IFERROR((B70-F70)/F70,0)</f>
        <v>0</v>
      </c>
      <c r="I69" s="19" t="n">
        <f aca="false">IFERROR((B70-G70)/G70,0)</f>
        <v>0</v>
      </c>
      <c r="J69" s="6"/>
      <c r="K69" s="13"/>
      <c r="L69" s="20"/>
      <c r="M69" s="20"/>
      <c r="N69" s="19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9" s="19" t="str">
        <f aca="false">IF($B70="","",IF(B70&lt;30000,35%,IF(B70&lt;50000,30%,IF(B70&lt;100000,25%,20%))))</f>
        <v/>
      </c>
      <c r="P69" s="21" t="str">
        <f aca="false">IF($A70="","",COUNTIFS(持仓表!$A:$A,$A70,持仓表!$G:$G,"&gt;0"))</f>
        <v/>
      </c>
      <c r="Q69" s="21" t="str">
        <f aca="false">IF($A70="","",COUNTIFS(持仓表!$A:$A,$A70,持仓表!$D:$D,"是",持仓表!$G:$G,"&gt;0"))</f>
        <v/>
      </c>
      <c r="R69" s="21" t="str">
        <f aca="false">IF($A70="","",MAX(0,P70-Q70))</f>
        <v/>
      </c>
      <c r="S69" s="21" t="str">
        <f aca="false">IF($B70="","",IF(B70&lt;50000,3,IF(B70&lt;100000,4,5)))</f>
        <v/>
      </c>
      <c r="T69" s="5" t="str">
        <f aca="false">IF($A70="","",IF(OR(M70&gt;=4,I70&lt;=-8%),"防守",IF(OR(M70&gt;=2,I70&lt;=-5%),"警戒","正常")))</f>
        <v/>
      </c>
      <c r="U69" s="5" t="str">
        <f aca="false">IF($A70="","",IF(AND(L70&gt;=3,M70&lt;=2,T70&lt;&gt;"防守"),"是","否"))</f>
        <v/>
      </c>
      <c r="V69" s="5" t="str">
        <f aca="false">IF($A70="","",IF(AND(E70&lt;N70,R70&lt;S70,M70&lt;=2,I70&gt;-15%),"是","否"))</f>
        <v/>
      </c>
      <c r="W69" s="5" t="str">
        <f aca="false">IF($A70="","",IF(OR(M70&gt;=3,I70&lt;=-15%),"是","否"))</f>
        <v/>
      </c>
      <c r="X69" s="18" t="str">
        <f aca="false">IF($A70="","",IFERROR(maxifs(候选池!$AB:$AB,候选池!$A:$A,$A70),0))</f>
        <v/>
      </c>
      <c r="Y69" s="18" t="str">
        <f aca="false">IF($A70="","",IF(OR(M70&gt;=4,I70&lt;=-8%),MAX(0,B70*60%-C70),IF(AND(ISNUMBER(AD70),B70&gt;AD70),IF(B70&lt;30000,0,IF(B70&lt;100000,MAX(0,(B70-AD70)*0.2),MAX(0,(B70-AD70)*0.3))),0)))</f>
        <v/>
      </c>
      <c r="Z69" s="6"/>
      <c r="AA69" s="5" t="str">
        <f aca="false">IF($A70="","",IF($AA$2&lt;&gt;"",$AA$2,""))</f>
        <v/>
      </c>
      <c r="AB69" s="6" t="str">
        <f aca="false">IF($A70="","",IF(B70&lt;30000,0.03,IF(B70&lt;100000,0.02,0.015)))</f>
        <v/>
      </c>
      <c r="AC69" s="21" t="str">
        <f aca="false">IF($A70="","",IFERROR(DATEDIF($A$2,$A70,"m"),0))</f>
        <v/>
      </c>
      <c r="AD69" s="18" t="str">
        <f aca="false">IF($A70="","",IF(OR(AA70="",AB70="",AC70=""),"",AA70*POWER(1+AB70,AC70)))</f>
        <v/>
      </c>
      <c r="AE69" s="23" t="str">
        <f aca="false">IF($A70="","",IF(OR(AD70="",AD70=0),"",B70/AD70-1))</f>
        <v/>
      </c>
      <c r="AG69" s="1" t="str">
        <f aca="false">IF($A70="","",IF(B70&lt;30000,"婴儿",IF(B70&lt;100000,"成长","成熟")))</f>
        <v/>
      </c>
      <c r="AH69" s="24"/>
      <c r="AJ69" s="24"/>
      <c r="AK69" s="24"/>
      <c r="AM69" s="24"/>
      <c r="AP69" s="15"/>
      <c r="AQ69" s="25" t="str">
        <f aca="false">IF($A70="","",B70-$AA$2-SUM($F$2:F70))</f>
        <v/>
      </c>
      <c r="AR69" s="1" t="str">
        <f aca="false">IF($A69="","",30000)</f>
        <v/>
      </c>
      <c r="AS69" s="1" t="str">
        <f aca="false">IF($A69="","",AR69-B69)</f>
        <v/>
      </c>
      <c r="AT69" s="1" t="str">
        <f aca="false">IF($A69="","",IFERROR(B69/AR69,0))</f>
        <v/>
      </c>
      <c r="AU69" s="1" t="str">
        <f aca="false">IF($A69="","",IFERROR(B69*O69,0))</f>
        <v/>
      </c>
      <c r="AV69" s="1" t="str">
        <f aca="false">IF($A69="","",IFERROR(C69/B69,0))</f>
        <v/>
      </c>
      <c r="AW69" s="1" t="str">
        <f aca="false">IF($A69="","",MAX(0,R69-S69))</f>
        <v/>
      </c>
      <c r="AX69" s="1" t="str">
        <f aca="false">IF($A69="","",IF(AW69&gt;0,"优先降持仓数",IF(C69&lt;=0,"现金不足","允许评估")))</f>
        <v/>
      </c>
      <c r="AY69" s="1" t="str">
        <f aca="false">IF($A69="","",IF(B69&lt;30000,"婴儿阶段: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9"/>
      <c r="B70" s="26"/>
      <c r="C70" s="26"/>
      <c r="D70" s="18" t="str">
        <f aca="false">IF($A71="","",SUMIFS(持仓表!$J:$J,持仓表!$A:$A,$A71))</f>
        <v/>
      </c>
      <c r="E70" s="19" t="n">
        <f aca="false">IFERROR(D71/B71,0)</f>
        <v>0</v>
      </c>
      <c r="F70" s="26"/>
      <c r="G70" s="18" t="str">
        <f aca="false">IF($B71="","",MAX($B$2:B71))</f>
        <v/>
      </c>
      <c r="H70" s="19" t="n">
        <f aca="false">IFERROR((B71-F71)/F71,0)</f>
        <v>0</v>
      </c>
      <c r="I70" s="19" t="n">
        <f aca="false">IFERROR((B71-G71)/G71,0)</f>
        <v>0</v>
      </c>
      <c r="J70" s="9"/>
      <c r="K70" s="14"/>
      <c r="L70" s="27"/>
      <c r="M70" s="27"/>
      <c r="N70" s="19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70" s="19" t="str">
        <f aca="false">IF($B71="","",IF(B71&lt;30000,35%,IF(B71&lt;50000,30%,IF(B71&lt;100000,25%,20%))))</f>
        <v/>
      </c>
      <c r="P70" s="21" t="str">
        <f aca="false">IF($A71="","",COUNTIFS(持仓表!$A:$A,$A71,持仓表!$G:$G,"&gt;0"))</f>
        <v/>
      </c>
      <c r="Q70" s="21" t="str">
        <f aca="false">IF($A71="","",COUNTIFS(持仓表!$A:$A,$A71,持仓表!$D:$D,"是",持仓表!$G:$G,"&gt;0"))</f>
        <v/>
      </c>
      <c r="R70" s="21" t="str">
        <f aca="false">IF($A71="","",MAX(0,P71-Q71))</f>
        <v/>
      </c>
      <c r="S70" s="21" t="str">
        <f aca="false">IF($B71="","",IF(B71&lt;50000,3,IF(B71&lt;100000,4,5)))</f>
        <v/>
      </c>
      <c r="T70" s="5" t="str">
        <f aca="false">IF($A71="","",IF(OR(M71&gt;=4,I71&lt;=-8%),"防守",IF(OR(M71&gt;=2,I71&lt;=-5%),"警戒","正常")))</f>
        <v/>
      </c>
      <c r="U70" s="5" t="str">
        <f aca="false">IF($A71="","",IF(AND(L71&gt;=3,M71&lt;=2,T71&lt;&gt;"防守"),"是","否"))</f>
        <v/>
      </c>
      <c r="V70" s="5" t="str">
        <f aca="false">IF($A71="","",IF(AND(E71&lt;N71,R71&lt;S71,M71&lt;=2,I71&gt;-15%),"是","否"))</f>
        <v/>
      </c>
      <c r="W70" s="5" t="str">
        <f aca="false">IF($A71="","",IF(OR(M71&gt;=3,I71&lt;=-15%),"是","否"))</f>
        <v/>
      </c>
      <c r="X70" s="18" t="str">
        <f aca="false">IF($A71="","",IFERROR(maxifs(候选池!$AB:$AB,候选池!$A:$A,$A71),0))</f>
        <v/>
      </c>
      <c r="Y70" s="18" t="str">
        <f aca="false">IF($A71="","",IF(OR(M71&gt;=4,I71&lt;=-8%),MAX(0,B71*60%-C71),IF(AND(ISNUMBER(AD71),B71&gt;AD71),IF(B71&lt;30000,0,IF(B71&lt;100000,MAX(0,(B71-AD71)*0.2),MAX(0,(B71-AD71)*0.3))),0)))</f>
        <v/>
      </c>
      <c r="Z70" s="9"/>
      <c r="AA70" s="5" t="str">
        <f aca="false">IF($A71="","",IF($AA$2&lt;&gt;"",$AA$2,""))</f>
        <v/>
      </c>
      <c r="AB70" s="9" t="str">
        <f aca="false">IF($A71="","",IF(B71&lt;30000,0.03,IF(B71&lt;100000,0.02,0.015)))</f>
        <v/>
      </c>
      <c r="AC70" s="21" t="str">
        <f aca="false">IF($A71="","",IFERROR(DATEDIF($A$2,$A71,"m"),0))</f>
        <v/>
      </c>
      <c r="AD70" s="18" t="str">
        <f aca="false">IF($A71="","",IF(OR(AA71="",AB71="",AC71=""),"",AA71*POWER(1+AB71,AC71)))</f>
        <v/>
      </c>
      <c r="AE70" s="29" t="str">
        <f aca="false">IF($A71="","",IF(OR(AD71="",AD71=0),"",B71/AD71-1))</f>
        <v/>
      </c>
      <c r="AG70" s="1" t="str">
        <f aca="false">IF($A71="","",IF(B71&lt;30000,"婴儿",IF(B71&lt;100000,"成长","成熟")))</f>
        <v/>
      </c>
      <c r="AH70" s="24"/>
      <c r="AJ70" s="24"/>
      <c r="AK70" s="24"/>
      <c r="AM70" s="24"/>
      <c r="AP70" s="15"/>
      <c r="AQ70" s="25" t="str">
        <f aca="false">IF($A71="","",B71-$AA$2-SUM($F$2:F71))</f>
        <v/>
      </c>
      <c r="AR70" s="1" t="str">
        <f aca="false">IF($A70="","",30000)</f>
        <v/>
      </c>
      <c r="AS70" s="1" t="str">
        <f aca="false">IF($A70="","",AR70-B70)</f>
        <v/>
      </c>
      <c r="AT70" s="1" t="str">
        <f aca="false">IF($A70="","",IFERROR(B70/AR70,0))</f>
        <v/>
      </c>
      <c r="AU70" s="1" t="str">
        <f aca="false">IF($A70="","",IFERROR(B70*O70,0))</f>
        <v/>
      </c>
      <c r="AV70" s="1" t="str">
        <f aca="false">IF($A70="","",IFERROR(C70/B70,0))</f>
        <v/>
      </c>
      <c r="AW70" s="1" t="str">
        <f aca="false">IF($A70="","",MAX(0,R70-S70))</f>
        <v/>
      </c>
      <c r="AX70" s="1" t="str">
        <f aca="false">IF($A70="","",IF(AW70&gt;0,"优先降持仓数",IF(C70&lt;=0,"现金不足","允许评估")))</f>
        <v/>
      </c>
      <c r="AY70" s="1" t="str">
        <f aca="false">IF($A70="","",IF(B70&lt;30000,"婴儿阶段: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6"/>
      <c r="B71" s="17"/>
      <c r="C71" s="17"/>
      <c r="D71" s="18" t="str">
        <f aca="false">IF($A72="","",SUMIFS(持仓表!$J:$J,持仓表!$A:$A,$A72))</f>
        <v/>
      </c>
      <c r="E71" s="19" t="n">
        <f aca="false">IFERROR(D72/B72,0)</f>
        <v>0</v>
      </c>
      <c r="F71" s="17"/>
      <c r="G71" s="18" t="str">
        <f aca="false">IF($B72="","",MAX($B$2:B72))</f>
        <v/>
      </c>
      <c r="H71" s="19" t="n">
        <f aca="false">IFERROR((B72-F72)/F72,0)</f>
        <v>0</v>
      </c>
      <c r="I71" s="19" t="n">
        <f aca="false">IFERROR((B72-G72)/G72,0)</f>
        <v>0</v>
      </c>
      <c r="J71" s="6"/>
      <c r="K71" s="13"/>
      <c r="L71" s="20"/>
      <c r="M71" s="20"/>
      <c r="N71" s="19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71" s="19" t="str">
        <f aca="false">IF($B72="","",IF(B72&lt;30000,35%,IF(B72&lt;50000,30%,IF(B72&lt;100000,25%,20%))))</f>
        <v/>
      </c>
      <c r="P71" s="21" t="str">
        <f aca="false">IF($A72="","",COUNTIFS(持仓表!$A:$A,$A72,持仓表!$G:$G,"&gt;0"))</f>
        <v/>
      </c>
      <c r="Q71" s="21" t="str">
        <f aca="false">IF($A72="","",COUNTIFS(持仓表!$A:$A,$A72,持仓表!$D:$D,"是",持仓表!$G:$G,"&gt;0"))</f>
        <v/>
      </c>
      <c r="R71" s="21" t="str">
        <f aca="false">IF($A72="","",MAX(0,P72-Q72))</f>
        <v/>
      </c>
      <c r="S71" s="21" t="str">
        <f aca="false">IF($B72="","",IF(B72&lt;50000,3,IF(B72&lt;100000,4,5)))</f>
        <v/>
      </c>
      <c r="T71" s="5" t="str">
        <f aca="false">IF($A72="","",IF(OR(M72&gt;=4,I72&lt;=-8%),"防守",IF(OR(M72&gt;=2,I72&lt;=-5%),"警戒","正常")))</f>
        <v/>
      </c>
      <c r="U71" s="5" t="str">
        <f aca="false">IF($A72="","",IF(AND(L72&gt;=3,M72&lt;=2,T72&lt;&gt;"防守"),"是","否"))</f>
        <v/>
      </c>
      <c r="V71" s="5" t="str">
        <f aca="false">IF($A72="","",IF(AND(E72&lt;N72,R72&lt;S72,M72&lt;=2,I72&gt;-15%),"是","否"))</f>
        <v/>
      </c>
      <c r="W71" s="5" t="str">
        <f aca="false">IF($A72="","",IF(OR(M72&gt;=3,I72&lt;=-15%),"是","否"))</f>
        <v/>
      </c>
      <c r="X71" s="18" t="str">
        <f aca="false">IF($A72="","",IFERROR(maxifs(候选池!$AB:$AB,候选池!$A:$A,$A72),0))</f>
        <v/>
      </c>
      <c r="Y71" s="18" t="str">
        <f aca="false">IF($A72="","",IF(OR(M72&gt;=4,I72&lt;=-8%),MAX(0,B72*60%-C72),IF(AND(ISNUMBER(AD72),B72&gt;AD72),IF(B72&lt;30000,0,IF(B72&lt;100000,MAX(0,(B72-AD72)*0.2),MAX(0,(B72-AD72)*0.3))),0)))</f>
        <v/>
      </c>
      <c r="Z71" s="6"/>
      <c r="AA71" s="5" t="str">
        <f aca="false">IF($A72="","",IF($AA$2&lt;&gt;"",$AA$2,""))</f>
        <v/>
      </c>
      <c r="AB71" s="6" t="str">
        <f aca="false">IF($A72="","",IF(B72&lt;30000,0.03,IF(B72&lt;100000,0.02,0.015)))</f>
        <v/>
      </c>
      <c r="AC71" s="21" t="str">
        <f aca="false">IF($A72="","",IFERROR(DATEDIF($A$2,$A72,"m"),0))</f>
        <v/>
      </c>
      <c r="AD71" s="18" t="str">
        <f aca="false">IF($A72="","",IF(OR(AA72="",AB72="",AC72=""),"",AA72*POWER(1+AB72,AC72)))</f>
        <v/>
      </c>
      <c r="AE71" s="23" t="str">
        <f aca="false">IF($A72="","",IF(OR(AD72="",AD72=0),"",B72/AD72-1))</f>
        <v/>
      </c>
      <c r="AG71" s="1" t="str">
        <f aca="false">IF($A72="","",IF(B72&lt;30000,"婴儿",IF(B72&lt;100000,"成长","成熟")))</f>
        <v/>
      </c>
      <c r="AH71" s="24"/>
      <c r="AJ71" s="24"/>
      <c r="AK71" s="24"/>
      <c r="AM71" s="24"/>
      <c r="AP71" s="15"/>
      <c r="AQ71" s="25" t="str">
        <f aca="false">IF($A72="","",B72-$AA$2-SUM($F$2:F72))</f>
        <v/>
      </c>
      <c r="AR71" s="1" t="str">
        <f aca="false">IF($A71="","",30000)</f>
        <v/>
      </c>
      <c r="AS71" s="1" t="str">
        <f aca="false">IF($A71="","",AR71-B71)</f>
        <v/>
      </c>
      <c r="AT71" s="1" t="str">
        <f aca="false">IF($A71="","",IFERROR(B71/AR71,0))</f>
        <v/>
      </c>
      <c r="AU71" s="1" t="str">
        <f aca="false">IF($A71="","",IFERROR(B71*O71,0))</f>
        <v/>
      </c>
      <c r="AV71" s="1" t="str">
        <f aca="false">IF($A71="","",IFERROR(C71/B71,0))</f>
        <v/>
      </c>
      <c r="AW71" s="1" t="str">
        <f aca="false">IF($A71="","",MAX(0,R71-S71))</f>
        <v/>
      </c>
      <c r="AX71" s="1" t="str">
        <f aca="false">IF($A71="","",IF(AW71&gt;0,"优先降持仓数",IF(C71&lt;=0,"现金不足","允许评估")))</f>
        <v/>
      </c>
      <c r="AY71" s="1" t="str">
        <f aca="false">IF($A71="","",IF(B71&lt;30000,"婴儿阶段: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9"/>
      <c r="B72" s="26"/>
      <c r="C72" s="26"/>
      <c r="D72" s="18" t="str">
        <f aca="false">IF($A73="","",SUMIFS(持仓表!$J:$J,持仓表!$A:$A,$A73))</f>
        <v/>
      </c>
      <c r="E72" s="19" t="n">
        <f aca="false">IFERROR(D73/B73,0)</f>
        <v>0</v>
      </c>
      <c r="F72" s="26"/>
      <c r="G72" s="18" t="str">
        <f aca="false">IF($B73="","",MAX($B$2:B73))</f>
        <v/>
      </c>
      <c r="H72" s="19" t="n">
        <f aca="false">IFERROR((B73-F73)/F73,0)</f>
        <v>0</v>
      </c>
      <c r="I72" s="19" t="n">
        <f aca="false">IFERROR((B73-G73)/G73,0)</f>
        <v>0</v>
      </c>
      <c r="J72" s="9"/>
      <c r="K72" s="14"/>
      <c r="L72" s="27"/>
      <c r="M72" s="27"/>
      <c r="N72" s="19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72" s="19" t="str">
        <f aca="false">IF($B73="","",IF(B73&lt;30000,35%,IF(B73&lt;50000,30%,IF(B73&lt;100000,25%,20%))))</f>
        <v/>
      </c>
      <c r="P72" s="21" t="str">
        <f aca="false">IF($A73="","",COUNTIFS(持仓表!$A:$A,$A73,持仓表!$G:$G,"&gt;0"))</f>
        <v/>
      </c>
      <c r="Q72" s="21" t="str">
        <f aca="false">IF($A73="","",COUNTIFS(持仓表!$A:$A,$A73,持仓表!$D:$D,"是",持仓表!$G:$G,"&gt;0"))</f>
        <v/>
      </c>
      <c r="R72" s="21" t="str">
        <f aca="false">IF($A73="","",MAX(0,P73-Q73))</f>
        <v/>
      </c>
      <c r="S72" s="21" t="str">
        <f aca="false">IF($B73="","",IF(B73&lt;50000,3,IF(B73&lt;100000,4,5)))</f>
        <v/>
      </c>
      <c r="T72" s="5" t="str">
        <f aca="false">IF($A73="","",IF(OR(M73&gt;=4,I73&lt;=-8%),"防守",IF(OR(M73&gt;=2,I73&lt;=-5%),"警戒","正常")))</f>
        <v/>
      </c>
      <c r="U72" s="5" t="str">
        <f aca="false">IF($A73="","",IF(AND(L73&gt;=3,M73&lt;=2,T73&lt;&gt;"防守"),"是","否"))</f>
        <v/>
      </c>
      <c r="V72" s="5" t="str">
        <f aca="false">IF($A73="","",IF(AND(E73&lt;N73,R73&lt;S73,M73&lt;=2,I73&gt;-15%),"是","否"))</f>
        <v/>
      </c>
      <c r="W72" s="5" t="str">
        <f aca="false">IF($A73="","",IF(OR(M73&gt;=3,I73&lt;=-15%),"是","否"))</f>
        <v/>
      </c>
      <c r="X72" s="18" t="str">
        <f aca="false">IF($A73="","",IFERROR(maxifs(候选池!$AB:$AB,候选池!$A:$A,$A73),0))</f>
        <v/>
      </c>
      <c r="Y72" s="18" t="str">
        <f aca="false">IF($A73="","",IF(OR(M73&gt;=4,I73&lt;=-8%),MAX(0,B73*60%-C73),IF(AND(ISNUMBER(AD73),B73&gt;AD73),IF(B73&lt;30000,0,IF(B73&lt;100000,MAX(0,(B73-AD73)*0.2),MAX(0,(B73-AD73)*0.3))),0)))</f>
        <v/>
      </c>
      <c r="Z72" s="9"/>
      <c r="AA72" s="5" t="str">
        <f aca="false">IF($A73="","",IF($AA$2&lt;&gt;"",$AA$2,""))</f>
        <v/>
      </c>
      <c r="AB72" s="9" t="str">
        <f aca="false">IF($A73="","",IF(B73&lt;30000,0.03,IF(B73&lt;100000,0.02,0.015)))</f>
        <v/>
      </c>
      <c r="AC72" s="21" t="str">
        <f aca="false">IF($A73="","",IFERROR(DATEDIF($A$2,$A73,"m"),0))</f>
        <v/>
      </c>
      <c r="AD72" s="18" t="str">
        <f aca="false">IF($A73="","",IF(OR(AA73="",AB73="",AC73=""),"",AA73*POWER(1+AB73,AC73)))</f>
        <v/>
      </c>
      <c r="AE72" s="29" t="str">
        <f aca="false">IF($A73="","",IF(OR(AD73="",AD73=0),"",B73/AD73-1))</f>
        <v/>
      </c>
      <c r="AG72" s="1" t="str">
        <f aca="false">IF($A73="","",IF(B73&lt;30000,"婴儿",IF(B73&lt;100000,"成长","成熟")))</f>
        <v/>
      </c>
      <c r="AH72" s="24"/>
      <c r="AJ72" s="24"/>
      <c r="AK72" s="24"/>
      <c r="AM72" s="24"/>
      <c r="AP72" s="15"/>
      <c r="AQ72" s="25" t="str">
        <f aca="false">IF($A73="","",B73-$AA$2-SUM($F$2:F73))</f>
        <v/>
      </c>
      <c r="AR72" s="1" t="str">
        <f aca="false">IF($A72="","",30000)</f>
        <v/>
      </c>
      <c r="AS72" s="1" t="str">
        <f aca="false">IF($A72="","",AR72-B72)</f>
        <v/>
      </c>
      <c r="AT72" s="1" t="str">
        <f aca="false">IF($A72="","",IFERROR(B72/AR72,0))</f>
        <v/>
      </c>
      <c r="AU72" s="1" t="str">
        <f aca="false">IF($A72="","",IFERROR(B72*O72,0))</f>
        <v/>
      </c>
      <c r="AV72" s="1" t="str">
        <f aca="false">IF($A72="","",IFERROR(C72/B72,0))</f>
        <v/>
      </c>
      <c r="AW72" s="1" t="str">
        <f aca="false">IF($A72="","",MAX(0,R72-S72))</f>
        <v/>
      </c>
      <c r="AX72" s="1" t="str">
        <f aca="false">IF($A72="","",IF(AW72&gt;0,"优先降持仓数",IF(C72&lt;=0,"现金不足","允许评估")))</f>
        <v/>
      </c>
      <c r="AY72" s="1" t="str">
        <f aca="false">IF($A72="","",IF(B72&lt;30000,"婴儿阶段: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6"/>
      <c r="B73" s="17"/>
      <c r="C73" s="17"/>
      <c r="D73" s="18" t="str">
        <f aca="false">IF($A74="","",SUMIFS(持仓表!$J:$J,持仓表!$A:$A,$A74))</f>
        <v/>
      </c>
      <c r="E73" s="19" t="n">
        <f aca="false">IFERROR(D74/B74,0)</f>
        <v>0</v>
      </c>
      <c r="F73" s="17"/>
      <c r="G73" s="18" t="str">
        <f aca="false">IF($B74="","",MAX($B$2:B74))</f>
        <v/>
      </c>
      <c r="H73" s="19" t="n">
        <f aca="false">IFERROR((B74-F74)/F74,0)</f>
        <v>0</v>
      </c>
      <c r="I73" s="19" t="n">
        <f aca="false">IFERROR((B74-G74)/G74,0)</f>
        <v>0</v>
      </c>
      <c r="J73" s="6"/>
      <c r="K73" s="13"/>
      <c r="L73" s="20"/>
      <c r="M73" s="20"/>
      <c r="N73" s="19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73" s="19" t="str">
        <f aca="false">IF($B74="","",IF(B74&lt;30000,35%,IF(B74&lt;50000,30%,IF(B74&lt;100000,25%,20%))))</f>
        <v/>
      </c>
      <c r="P73" s="21" t="str">
        <f aca="false">IF($A74="","",COUNTIFS(持仓表!$A:$A,$A74,持仓表!$G:$G,"&gt;0"))</f>
        <v/>
      </c>
      <c r="Q73" s="21" t="str">
        <f aca="false">IF($A74="","",COUNTIFS(持仓表!$A:$A,$A74,持仓表!$D:$D,"是",持仓表!$G:$G,"&gt;0"))</f>
        <v/>
      </c>
      <c r="R73" s="21" t="str">
        <f aca="false">IF($A74="","",MAX(0,P74-Q74))</f>
        <v/>
      </c>
      <c r="S73" s="21" t="str">
        <f aca="false">IF($B74="","",IF(B74&lt;50000,3,IF(B74&lt;100000,4,5)))</f>
        <v/>
      </c>
      <c r="T73" s="5" t="str">
        <f aca="false">IF($A74="","",IF(OR(M74&gt;=4,I74&lt;=-8%),"防守",IF(OR(M74&gt;=2,I74&lt;=-5%),"警戒","正常")))</f>
        <v/>
      </c>
      <c r="U73" s="5" t="str">
        <f aca="false">IF($A74="","",IF(AND(L74&gt;=3,M74&lt;=2,T74&lt;&gt;"防守"),"是","否"))</f>
        <v/>
      </c>
      <c r="V73" s="5" t="str">
        <f aca="false">IF($A74="","",IF(AND(E74&lt;N74,R74&lt;S74,M74&lt;=2,I74&gt;-15%),"是","否"))</f>
        <v/>
      </c>
      <c r="W73" s="5" t="str">
        <f aca="false">IF($A74="","",IF(OR(M74&gt;=3,I74&lt;=-15%),"是","否"))</f>
        <v/>
      </c>
      <c r="X73" s="18" t="str">
        <f aca="false">IF($A74="","",IFERROR(maxifs(候选池!$AB:$AB,候选池!$A:$A,$A74),0))</f>
        <v/>
      </c>
      <c r="Y73" s="18" t="str">
        <f aca="false">IF($A74="","",IF(OR(M74&gt;=4,I74&lt;=-8%),MAX(0,B74*60%-C74),IF(AND(ISNUMBER(AD74),B74&gt;AD74),IF(B74&lt;30000,0,IF(B74&lt;100000,MAX(0,(B74-AD74)*0.2),MAX(0,(B74-AD74)*0.3))),0)))</f>
        <v/>
      </c>
      <c r="Z73" s="6"/>
      <c r="AA73" s="5" t="str">
        <f aca="false">IF($A74="","",IF($AA$2&lt;&gt;"",$AA$2,""))</f>
        <v/>
      </c>
      <c r="AB73" s="6" t="str">
        <f aca="false">IF($A74="","",IF(B74&lt;30000,0.03,IF(B74&lt;100000,0.02,0.015)))</f>
        <v/>
      </c>
      <c r="AC73" s="21" t="str">
        <f aca="false">IF($A74="","",IFERROR(DATEDIF($A$2,$A74,"m"),0))</f>
        <v/>
      </c>
      <c r="AD73" s="18" t="str">
        <f aca="false">IF($A74="","",IF(OR(AA74="",AB74="",AC74=""),"",AA74*POWER(1+AB74,AC74)))</f>
        <v/>
      </c>
      <c r="AE73" s="23" t="str">
        <f aca="false">IF($A74="","",IF(OR(AD74="",AD74=0),"",B74/AD74-1))</f>
        <v/>
      </c>
      <c r="AG73" s="1" t="str">
        <f aca="false">IF($A74="","",IF(B74&lt;30000,"婴儿",IF(B74&lt;100000,"成长","成熟")))</f>
        <v/>
      </c>
      <c r="AH73" s="24"/>
      <c r="AJ73" s="24"/>
      <c r="AK73" s="24"/>
      <c r="AM73" s="24"/>
      <c r="AP73" s="15"/>
      <c r="AQ73" s="25" t="str">
        <f aca="false">IF($A74="","",B74-$AA$2-SUM($F$2:F74))</f>
        <v/>
      </c>
      <c r="AR73" s="1" t="str">
        <f aca="false">IF($A73="","",30000)</f>
        <v/>
      </c>
      <c r="AS73" s="1" t="str">
        <f aca="false">IF($A73="","",AR73-B73)</f>
        <v/>
      </c>
      <c r="AT73" s="1" t="str">
        <f aca="false">IF($A73="","",IFERROR(B73/AR73,0))</f>
        <v/>
      </c>
      <c r="AU73" s="1" t="str">
        <f aca="false">IF($A73="","",IFERROR(B73*O73,0))</f>
        <v/>
      </c>
      <c r="AV73" s="1" t="str">
        <f aca="false">IF($A73="","",IFERROR(C73/B73,0))</f>
        <v/>
      </c>
      <c r="AW73" s="1" t="str">
        <f aca="false">IF($A73="","",MAX(0,R73-S73))</f>
        <v/>
      </c>
      <c r="AX73" s="1" t="str">
        <f aca="false">IF($A73="","",IF(AW73&gt;0,"优先降持仓数",IF(C73&lt;=0,"现金不足","允许评估")))</f>
        <v/>
      </c>
      <c r="AY73" s="1" t="str">
        <f aca="false">IF($A73="","",IF(B73&lt;30000,"婴儿阶段: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9"/>
      <c r="B74" s="26"/>
      <c r="C74" s="26"/>
      <c r="D74" s="18" t="str">
        <f aca="false">IF($A75="","",SUMIFS(持仓表!$J:$J,持仓表!$A:$A,$A75))</f>
        <v/>
      </c>
      <c r="E74" s="19" t="n">
        <f aca="false">IFERROR(D75/B75,0)</f>
        <v>0</v>
      </c>
      <c r="F74" s="26"/>
      <c r="G74" s="18" t="str">
        <f aca="false">IF($B75="","",MAX($B$2:B75))</f>
        <v/>
      </c>
      <c r="H74" s="19" t="n">
        <f aca="false">IFERROR((B75-F75)/F75,0)</f>
        <v>0</v>
      </c>
      <c r="I74" s="19" t="n">
        <f aca="false">IFERROR((B75-G75)/G75,0)</f>
        <v>0</v>
      </c>
      <c r="J74" s="9"/>
      <c r="K74" s="14"/>
      <c r="L74" s="27"/>
      <c r="M74" s="27"/>
      <c r="N74" s="19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4" s="19" t="str">
        <f aca="false">IF($B75="","",IF(B75&lt;30000,35%,IF(B75&lt;50000,30%,IF(B75&lt;100000,25%,20%))))</f>
        <v/>
      </c>
      <c r="P74" s="21" t="str">
        <f aca="false">IF($A75="","",COUNTIFS(持仓表!$A:$A,$A75,持仓表!$G:$G,"&gt;0"))</f>
        <v/>
      </c>
      <c r="Q74" s="21" t="str">
        <f aca="false">IF($A75="","",COUNTIFS(持仓表!$A:$A,$A75,持仓表!$D:$D,"是",持仓表!$G:$G,"&gt;0"))</f>
        <v/>
      </c>
      <c r="R74" s="21" t="str">
        <f aca="false">IF($A75="","",MAX(0,P75-Q75))</f>
        <v/>
      </c>
      <c r="S74" s="21" t="str">
        <f aca="false">IF($B75="","",IF(B75&lt;50000,3,IF(B75&lt;100000,4,5)))</f>
        <v/>
      </c>
      <c r="T74" s="5" t="str">
        <f aca="false">IF($A75="","",IF(OR(M75&gt;=4,I75&lt;=-8%),"防守",IF(OR(M75&gt;=2,I75&lt;=-5%),"警戒","正常")))</f>
        <v/>
      </c>
      <c r="U74" s="5" t="str">
        <f aca="false">IF($A75="","",IF(AND(L75&gt;=3,M75&lt;=2,T75&lt;&gt;"防守"),"是","否"))</f>
        <v/>
      </c>
      <c r="V74" s="5" t="str">
        <f aca="false">IF($A75="","",IF(AND(E75&lt;N75,R75&lt;S75,M75&lt;=2,I75&gt;-15%),"是","否"))</f>
        <v/>
      </c>
      <c r="W74" s="5" t="str">
        <f aca="false">IF($A75="","",IF(OR(M75&gt;=3,I75&lt;=-15%),"是","否"))</f>
        <v/>
      </c>
      <c r="X74" s="18" t="str">
        <f aca="false">IF($A75="","",IFERROR(maxifs(候选池!$AB:$AB,候选池!$A:$A,$A75),0))</f>
        <v/>
      </c>
      <c r="Y74" s="18" t="str">
        <f aca="false">IF($A75="","",IF(OR(M75&gt;=4,I75&lt;=-8%),MAX(0,B75*60%-C75),IF(AND(ISNUMBER(AD75),B75&gt;AD75),IF(B75&lt;30000,0,IF(B75&lt;100000,MAX(0,(B75-AD75)*0.2),MAX(0,(B75-AD75)*0.3))),0)))</f>
        <v/>
      </c>
      <c r="Z74" s="9"/>
      <c r="AA74" s="5" t="str">
        <f aca="false">IF($A75="","",IF($AA$2&lt;&gt;"",$AA$2,""))</f>
        <v/>
      </c>
      <c r="AB74" s="9" t="str">
        <f aca="false">IF($A75="","",IF(B75&lt;30000,0.03,IF(B75&lt;100000,0.02,0.015)))</f>
        <v/>
      </c>
      <c r="AC74" s="21" t="str">
        <f aca="false">IF($A75="","",IFERROR(DATEDIF($A$2,$A75,"m"),0))</f>
        <v/>
      </c>
      <c r="AD74" s="18" t="str">
        <f aca="false">IF($A75="","",IF(OR(AA75="",AB75="",AC75=""),"",AA75*POWER(1+AB75,AC75)))</f>
        <v/>
      </c>
      <c r="AE74" s="29" t="str">
        <f aca="false">IF($A75="","",IF(OR(AD75="",AD75=0),"",B75/AD75-1))</f>
        <v/>
      </c>
      <c r="AG74" s="1" t="str">
        <f aca="false">IF($A75="","",IF(B75&lt;30000,"婴儿",IF(B75&lt;100000,"成长","成熟")))</f>
        <v/>
      </c>
      <c r="AH74" s="24"/>
      <c r="AJ74" s="24"/>
      <c r="AK74" s="24"/>
      <c r="AM74" s="24"/>
      <c r="AP74" s="15"/>
      <c r="AQ74" s="25" t="str">
        <f aca="false">IF($A75="","",B75-$AA$2-SUM($F$2:F75))</f>
        <v/>
      </c>
      <c r="AR74" s="1" t="str">
        <f aca="false">IF($A74="","",30000)</f>
        <v/>
      </c>
      <c r="AS74" s="1" t="str">
        <f aca="false">IF($A74="","",AR74-B74)</f>
        <v/>
      </c>
      <c r="AT74" s="1" t="str">
        <f aca="false">IF($A74="","",IFERROR(B74/AR74,0))</f>
        <v/>
      </c>
      <c r="AU74" s="1" t="str">
        <f aca="false">IF($A74="","",IFERROR(B74*O74,0))</f>
        <v/>
      </c>
      <c r="AV74" s="1" t="str">
        <f aca="false">IF($A74="","",IFERROR(C74/B74,0))</f>
        <v/>
      </c>
      <c r="AW74" s="1" t="str">
        <f aca="false">IF($A74="","",MAX(0,R74-S74))</f>
        <v/>
      </c>
      <c r="AX74" s="1" t="str">
        <f aca="false">IF($A74="","",IF(AW74&gt;0,"优先降持仓数",IF(C74&lt;=0,"现金不足","允许评估")))</f>
        <v/>
      </c>
      <c r="AY74" s="1" t="str">
        <f aca="false">IF($A74="","",IF(B74&lt;30000,"婴儿阶段: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6"/>
      <c r="B75" s="17"/>
      <c r="C75" s="17"/>
      <c r="D75" s="18" t="str">
        <f aca="false">IF($A76="","",SUMIFS(持仓表!$J:$J,持仓表!$A:$A,$A76))</f>
        <v/>
      </c>
      <c r="E75" s="19" t="n">
        <f aca="false">IFERROR(D76/B76,0)</f>
        <v>0</v>
      </c>
      <c r="F75" s="17"/>
      <c r="G75" s="18" t="str">
        <f aca="false">IF($B76="","",MAX($B$2:B76))</f>
        <v/>
      </c>
      <c r="H75" s="19" t="n">
        <f aca="false">IFERROR((B76-F76)/F76,0)</f>
        <v>0</v>
      </c>
      <c r="I75" s="19" t="n">
        <f aca="false">IFERROR((B76-G76)/G76,0)</f>
        <v>0</v>
      </c>
      <c r="J75" s="6"/>
      <c r="K75" s="13"/>
      <c r="L75" s="20"/>
      <c r="M75" s="20"/>
      <c r="N75" s="19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5" s="19" t="str">
        <f aca="false">IF($B76="","",IF(B76&lt;30000,35%,IF(B76&lt;50000,30%,IF(B76&lt;100000,25%,20%))))</f>
        <v/>
      </c>
      <c r="P75" s="21" t="str">
        <f aca="false">IF($A76="","",COUNTIFS(持仓表!$A:$A,$A76,持仓表!$G:$G,"&gt;0"))</f>
        <v/>
      </c>
      <c r="Q75" s="21" t="str">
        <f aca="false">IF($A76="","",COUNTIFS(持仓表!$A:$A,$A76,持仓表!$D:$D,"是",持仓表!$G:$G,"&gt;0"))</f>
        <v/>
      </c>
      <c r="R75" s="21" t="str">
        <f aca="false">IF($A76="","",MAX(0,P76-Q76))</f>
        <v/>
      </c>
      <c r="S75" s="21" t="str">
        <f aca="false">IF($B76="","",IF(B76&lt;50000,3,IF(B76&lt;100000,4,5)))</f>
        <v/>
      </c>
      <c r="T75" s="5" t="str">
        <f aca="false">IF($A76="","",IF(OR(M76&gt;=4,I76&lt;=-8%),"防守",IF(OR(M76&gt;=2,I76&lt;=-5%),"警戒","正常")))</f>
        <v/>
      </c>
      <c r="U75" s="5" t="str">
        <f aca="false">IF($A76="","",IF(AND(L76&gt;=3,M76&lt;=2,T76&lt;&gt;"防守"),"是","否"))</f>
        <v/>
      </c>
      <c r="V75" s="5" t="str">
        <f aca="false">IF($A76="","",IF(AND(E76&lt;N76,R76&lt;S76,M76&lt;=2,I76&gt;-15%),"是","否"))</f>
        <v/>
      </c>
      <c r="W75" s="5" t="str">
        <f aca="false">IF($A76="","",IF(OR(M76&gt;=3,I76&lt;=-15%),"是","否"))</f>
        <v/>
      </c>
      <c r="X75" s="18" t="str">
        <f aca="false">IF($A76="","",IFERROR(maxifs(候选池!$AB:$AB,候选池!$A:$A,$A76),0))</f>
        <v/>
      </c>
      <c r="Y75" s="18" t="str">
        <f aca="false">IF($A76="","",IF(OR(M76&gt;=4,I76&lt;=-8%),MAX(0,B76*60%-C76),IF(AND(ISNUMBER(AD76),B76&gt;AD76),IF(B76&lt;30000,0,IF(B76&lt;100000,MAX(0,(B76-AD76)*0.2),MAX(0,(B76-AD76)*0.3))),0)))</f>
        <v/>
      </c>
      <c r="Z75" s="6"/>
      <c r="AA75" s="5" t="str">
        <f aca="false">IF($A76="","",IF($AA$2&lt;&gt;"",$AA$2,""))</f>
        <v/>
      </c>
      <c r="AB75" s="6" t="str">
        <f aca="false">IF($A76="","",IF(B76&lt;30000,0.03,IF(B76&lt;100000,0.02,0.015)))</f>
        <v/>
      </c>
      <c r="AC75" s="21" t="str">
        <f aca="false">IF($A76="","",IFERROR(DATEDIF($A$2,$A76,"m"),0))</f>
        <v/>
      </c>
      <c r="AD75" s="18" t="str">
        <f aca="false">IF($A76="","",IF(OR(AA76="",AB76="",AC76=""),"",AA76*POWER(1+AB76,AC76)))</f>
        <v/>
      </c>
      <c r="AE75" s="23" t="str">
        <f aca="false">IF($A76="","",IF(OR(AD76="",AD76=0),"",B76/AD76-1))</f>
        <v/>
      </c>
      <c r="AG75" s="1" t="str">
        <f aca="false">IF($A76="","",IF(B76&lt;30000,"婴儿",IF(B76&lt;100000,"成长","成熟")))</f>
        <v/>
      </c>
      <c r="AH75" s="24"/>
      <c r="AJ75" s="24"/>
      <c r="AK75" s="24"/>
      <c r="AM75" s="24"/>
      <c r="AP75" s="15"/>
      <c r="AQ75" s="25" t="str">
        <f aca="false">IF($A76="","",B76-$AA$2-SUM($F$2:F76))</f>
        <v/>
      </c>
      <c r="AR75" s="1" t="str">
        <f aca="false">IF($A75="","",30000)</f>
        <v/>
      </c>
      <c r="AS75" s="1" t="str">
        <f aca="false">IF($A75="","",AR75-B75)</f>
        <v/>
      </c>
      <c r="AT75" s="1" t="str">
        <f aca="false">IF($A75="","",IFERROR(B75/AR75,0))</f>
        <v/>
      </c>
      <c r="AU75" s="1" t="str">
        <f aca="false">IF($A75="","",IFERROR(B75*O75,0))</f>
        <v/>
      </c>
      <c r="AV75" s="1" t="str">
        <f aca="false">IF($A75="","",IFERROR(C75/B75,0))</f>
        <v/>
      </c>
      <c r="AW75" s="1" t="str">
        <f aca="false">IF($A75="","",MAX(0,R75-S75))</f>
        <v/>
      </c>
      <c r="AX75" s="1" t="str">
        <f aca="false">IF($A75="","",IF(AW75&gt;0,"优先降持仓数",IF(C75&lt;=0,"现金不足","允许评估")))</f>
        <v/>
      </c>
      <c r="AY75" s="1" t="str">
        <f aca="false">IF($A75="","",IF(B75&lt;30000,"婴儿阶段: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9"/>
      <c r="B76" s="26"/>
      <c r="C76" s="26"/>
      <c r="D76" s="18" t="str">
        <f aca="false">IF($A77="","",SUMIFS(持仓表!$J:$J,持仓表!$A:$A,$A77))</f>
        <v/>
      </c>
      <c r="E76" s="19" t="n">
        <f aca="false">IFERROR(D77/B77,0)</f>
        <v>0</v>
      </c>
      <c r="F76" s="26"/>
      <c r="G76" s="18" t="str">
        <f aca="false">IF($B77="","",MAX($B$2:B77))</f>
        <v/>
      </c>
      <c r="H76" s="19" t="n">
        <f aca="false">IFERROR((B77-F77)/F77,0)</f>
        <v>0</v>
      </c>
      <c r="I76" s="19" t="n">
        <f aca="false">IFERROR((B77-G77)/G77,0)</f>
        <v>0</v>
      </c>
      <c r="J76" s="9"/>
      <c r="K76" s="14"/>
      <c r="L76" s="27"/>
      <c r="M76" s="27"/>
      <c r="N76" s="19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6" s="19" t="str">
        <f aca="false">IF($B77="","",IF(B77&lt;30000,35%,IF(B77&lt;50000,30%,IF(B77&lt;100000,25%,20%))))</f>
        <v/>
      </c>
      <c r="P76" s="21" t="str">
        <f aca="false">IF($A77="","",COUNTIFS(持仓表!$A:$A,$A77,持仓表!$G:$G,"&gt;0"))</f>
        <v/>
      </c>
      <c r="Q76" s="21" t="str">
        <f aca="false">IF($A77="","",COUNTIFS(持仓表!$A:$A,$A77,持仓表!$D:$D,"是",持仓表!$G:$G,"&gt;0"))</f>
        <v/>
      </c>
      <c r="R76" s="21" t="str">
        <f aca="false">IF($A77="","",MAX(0,P77-Q77))</f>
        <v/>
      </c>
      <c r="S76" s="21" t="str">
        <f aca="false">IF($B77="","",IF(B77&lt;50000,3,IF(B77&lt;100000,4,5)))</f>
        <v/>
      </c>
      <c r="T76" s="5" t="str">
        <f aca="false">IF($A77="","",IF(OR(M77&gt;=4,I77&lt;=-8%),"防守",IF(OR(M77&gt;=2,I77&lt;=-5%),"警戒","正常")))</f>
        <v/>
      </c>
      <c r="U76" s="5" t="str">
        <f aca="false">IF($A77="","",IF(AND(L77&gt;=3,M77&lt;=2,T77&lt;&gt;"防守"),"是","否"))</f>
        <v/>
      </c>
      <c r="V76" s="5" t="str">
        <f aca="false">IF($A77="","",IF(AND(E77&lt;N77,R77&lt;S77,M77&lt;=2,I77&gt;-15%),"是","否"))</f>
        <v/>
      </c>
      <c r="W76" s="5" t="str">
        <f aca="false">IF($A77="","",IF(OR(M77&gt;=3,I77&lt;=-15%),"是","否"))</f>
        <v/>
      </c>
      <c r="X76" s="18" t="str">
        <f aca="false">IF($A77="","",IFERROR(maxifs(候选池!$AB:$AB,候选池!$A:$A,$A77),0))</f>
        <v/>
      </c>
      <c r="Y76" s="18" t="str">
        <f aca="false">IF($A77="","",IF(OR(M77&gt;=4,I77&lt;=-8%),MAX(0,B77*60%-C77),IF(AND(ISNUMBER(AD77),B77&gt;AD77),IF(B77&lt;30000,0,IF(B77&lt;100000,MAX(0,(B77-AD77)*0.2),MAX(0,(B77-AD77)*0.3))),0)))</f>
        <v/>
      </c>
      <c r="Z76" s="9"/>
      <c r="AA76" s="5" t="str">
        <f aca="false">IF($A77="","",IF($AA$2&lt;&gt;"",$AA$2,""))</f>
        <v/>
      </c>
      <c r="AB76" s="9" t="str">
        <f aca="false">IF($A77="","",IF(B77&lt;30000,0.03,IF(B77&lt;100000,0.02,0.015)))</f>
        <v/>
      </c>
      <c r="AC76" s="21" t="str">
        <f aca="false">IF($A77="","",IFERROR(DATEDIF($A$2,$A77,"m"),0))</f>
        <v/>
      </c>
      <c r="AD76" s="18" t="str">
        <f aca="false">IF($A77="","",IF(OR(AA77="",AB77="",AC77=""),"",AA77*POWER(1+AB77,AC77)))</f>
        <v/>
      </c>
      <c r="AE76" s="29" t="str">
        <f aca="false">IF($A77="","",IF(OR(AD77="",AD77=0),"",B77/AD77-1))</f>
        <v/>
      </c>
      <c r="AG76" s="1" t="str">
        <f aca="false">IF($A77="","",IF(B77&lt;30000,"婴儿",IF(B77&lt;100000,"成长","成熟")))</f>
        <v/>
      </c>
      <c r="AH76" s="24"/>
      <c r="AJ76" s="24"/>
      <c r="AK76" s="24"/>
      <c r="AM76" s="24"/>
      <c r="AP76" s="15"/>
      <c r="AQ76" s="25" t="str">
        <f aca="false">IF($A77="","",B77-$AA$2-SUM($F$2:F77))</f>
        <v/>
      </c>
      <c r="AR76" s="1" t="str">
        <f aca="false">IF($A76="","",30000)</f>
        <v/>
      </c>
      <c r="AS76" s="1" t="str">
        <f aca="false">IF($A76="","",AR76-B76)</f>
        <v/>
      </c>
      <c r="AT76" s="1" t="str">
        <f aca="false">IF($A76="","",IFERROR(B76/AR76,0))</f>
        <v/>
      </c>
      <c r="AU76" s="1" t="str">
        <f aca="false">IF($A76="","",IFERROR(B76*O76,0))</f>
        <v/>
      </c>
      <c r="AV76" s="1" t="str">
        <f aca="false">IF($A76="","",IFERROR(C76/B76,0))</f>
        <v/>
      </c>
      <c r="AW76" s="1" t="str">
        <f aca="false">IF($A76="","",MAX(0,R76-S76))</f>
        <v/>
      </c>
      <c r="AX76" s="1" t="str">
        <f aca="false">IF($A76="","",IF(AW76&gt;0,"优先降持仓数",IF(C76&lt;=0,"现金不足","允许评估")))</f>
        <v/>
      </c>
      <c r="AY76" s="1" t="str">
        <f aca="false">IF($A76="","",IF(B76&lt;30000,"婴儿阶段: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6"/>
      <c r="B77" s="17"/>
      <c r="C77" s="17"/>
      <c r="D77" s="18" t="str">
        <f aca="false">IF($A78="","",SUMIFS(持仓表!$J:$J,持仓表!$A:$A,$A78))</f>
        <v/>
      </c>
      <c r="E77" s="19" t="n">
        <f aca="false">IFERROR(D78/B78,0)</f>
        <v>0</v>
      </c>
      <c r="F77" s="17"/>
      <c r="G77" s="18" t="str">
        <f aca="false">IF($B78="","",MAX($B$2:B78))</f>
        <v/>
      </c>
      <c r="H77" s="19" t="n">
        <f aca="false">IFERROR((B78-F78)/F78,0)</f>
        <v>0</v>
      </c>
      <c r="I77" s="19" t="n">
        <f aca="false">IFERROR((B78-G78)/G78,0)</f>
        <v>0</v>
      </c>
      <c r="J77" s="6"/>
      <c r="K77" s="13"/>
      <c r="L77" s="20"/>
      <c r="M77" s="20"/>
      <c r="N77" s="19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7" s="19" t="str">
        <f aca="false">IF($B78="","",IF(B78&lt;30000,35%,IF(B78&lt;50000,30%,IF(B78&lt;100000,25%,20%))))</f>
        <v/>
      </c>
      <c r="P77" s="21" t="str">
        <f aca="false">IF($A78="","",COUNTIFS(持仓表!$A:$A,$A78,持仓表!$G:$G,"&gt;0"))</f>
        <v/>
      </c>
      <c r="Q77" s="21" t="str">
        <f aca="false">IF($A78="","",COUNTIFS(持仓表!$A:$A,$A78,持仓表!$D:$D,"是",持仓表!$G:$G,"&gt;0"))</f>
        <v/>
      </c>
      <c r="R77" s="21" t="str">
        <f aca="false">IF($A78="","",MAX(0,P78-Q78))</f>
        <v/>
      </c>
      <c r="S77" s="21" t="str">
        <f aca="false">IF($B78="","",IF(B78&lt;50000,3,IF(B78&lt;100000,4,5)))</f>
        <v/>
      </c>
      <c r="T77" s="5" t="str">
        <f aca="false">IF($A78="","",IF(OR(M78&gt;=4,I78&lt;=-8%),"防守",IF(OR(M78&gt;=2,I78&lt;=-5%),"警戒","正常")))</f>
        <v/>
      </c>
      <c r="U77" s="5" t="str">
        <f aca="false">IF($A78="","",IF(AND(L78&gt;=3,M78&lt;=2,T78&lt;&gt;"防守"),"是","否"))</f>
        <v/>
      </c>
      <c r="V77" s="5" t="str">
        <f aca="false">IF($A78="","",IF(AND(E78&lt;N78,R78&lt;S78,M78&lt;=2,I78&gt;-15%),"是","否"))</f>
        <v/>
      </c>
      <c r="W77" s="5" t="str">
        <f aca="false">IF($A78="","",IF(OR(M78&gt;=3,I78&lt;=-15%),"是","否"))</f>
        <v/>
      </c>
      <c r="X77" s="18" t="str">
        <f aca="false">IF($A78="","",IFERROR(maxifs(候选池!$AB:$AB,候选池!$A:$A,$A78),0))</f>
        <v/>
      </c>
      <c r="Y77" s="18" t="str">
        <f aca="false">IF($A78="","",IF(OR(M78&gt;=4,I78&lt;=-8%),MAX(0,B78*60%-C78),IF(AND(ISNUMBER(AD78),B78&gt;AD78),IF(B78&lt;30000,0,IF(B78&lt;100000,MAX(0,(B78-AD78)*0.2),MAX(0,(B78-AD78)*0.3))),0)))</f>
        <v/>
      </c>
      <c r="Z77" s="6"/>
      <c r="AA77" s="5" t="str">
        <f aca="false">IF($A78="","",IF($AA$2&lt;&gt;"",$AA$2,""))</f>
        <v/>
      </c>
      <c r="AB77" s="6" t="str">
        <f aca="false">IF($A78="","",IF(B78&lt;30000,0.03,IF(B78&lt;100000,0.02,0.015)))</f>
        <v/>
      </c>
      <c r="AC77" s="21" t="str">
        <f aca="false">IF($A78="","",IFERROR(DATEDIF($A$2,$A78,"m"),0))</f>
        <v/>
      </c>
      <c r="AD77" s="18" t="str">
        <f aca="false">IF($A78="","",IF(OR(AA78="",AB78="",AC78=""),"",AA78*POWER(1+AB78,AC78)))</f>
        <v/>
      </c>
      <c r="AE77" s="23" t="str">
        <f aca="false">IF($A78="","",IF(OR(AD78="",AD78=0),"",B78/AD78-1))</f>
        <v/>
      </c>
      <c r="AG77" s="1" t="str">
        <f aca="false">IF($A78="","",IF(B78&lt;30000,"婴儿",IF(B78&lt;100000,"成长","成熟")))</f>
        <v/>
      </c>
      <c r="AH77" s="24"/>
      <c r="AJ77" s="24"/>
      <c r="AK77" s="24"/>
      <c r="AM77" s="24"/>
      <c r="AP77" s="15"/>
      <c r="AQ77" s="25" t="str">
        <f aca="false">IF($A78="","",B78-$AA$2-SUM($F$2:F78))</f>
        <v/>
      </c>
      <c r="AR77" s="1" t="str">
        <f aca="false">IF($A77="","",30000)</f>
        <v/>
      </c>
      <c r="AS77" s="1" t="str">
        <f aca="false">IF($A77="","",AR77-B77)</f>
        <v/>
      </c>
      <c r="AT77" s="1" t="str">
        <f aca="false">IF($A77="","",IFERROR(B77/AR77,0))</f>
        <v/>
      </c>
      <c r="AU77" s="1" t="str">
        <f aca="false">IF($A77="","",IFERROR(B77*O77,0))</f>
        <v/>
      </c>
      <c r="AV77" s="1" t="str">
        <f aca="false">IF($A77="","",IFERROR(C77/B77,0))</f>
        <v/>
      </c>
      <c r="AW77" s="1" t="str">
        <f aca="false">IF($A77="","",MAX(0,R77-S77))</f>
        <v/>
      </c>
      <c r="AX77" s="1" t="str">
        <f aca="false">IF($A77="","",IF(AW77&gt;0,"优先降持仓数",IF(C77&lt;=0,"现金不足","允许评估")))</f>
        <v/>
      </c>
      <c r="AY77" s="1" t="str">
        <f aca="false">IF($A77="","",IF(B77&lt;30000,"婴儿阶段: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9"/>
      <c r="B78" s="26"/>
      <c r="C78" s="26"/>
      <c r="D78" s="18" t="str">
        <f aca="false">IF($A79="","",SUMIFS(持仓表!$J:$J,持仓表!$A:$A,$A79))</f>
        <v/>
      </c>
      <c r="E78" s="19" t="n">
        <f aca="false">IFERROR(D79/B79,0)</f>
        <v>0</v>
      </c>
      <c r="F78" s="26"/>
      <c r="G78" s="18" t="str">
        <f aca="false">IF($B79="","",MAX($B$2:B79))</f>
        <v/>
      </c>
      <c r="H78" s="19" t="n">
        <f aca="false">IFERROR((B79-F79)/F79,0)</f>
        <v>0</v>
      </c>
      <c r="I78" s="19" t="n">
        <f aca="false">IFERROR((B79-G79)/G79,0)</f>
        <v>0</v>
      </c>
      <c r="J78" s="9"/>
      <c r="K78" s="14"/>
      <c r="L78" s="27"/>
      <c r="M78" s="27"/>
      <c r="N78" s="19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8" s="19" t="str">
        <f aca="false">IF($B79="","",IF(B79&lt;30000,35%,IF(B79&lt;50000,30%,IF(B79&lt;100000,25%,20%))))</f>
        <v/>
      </c>
      <c r="P78" s="21" t="str">
        <f aca="false">IF($A79="","",COUNTIFS(持仓表!$A:$A,$A79,持仓表!$G:$G,"&gt;0"))</f>
        <v/>
      </c>
      <c r="Q78" s="21" t="str">
        <f aca="false">IF($A79="","",COUNTIFS(持仓表!$A:$A,$A79,持仓表!$D:$D,"是",持仓表!$G:$G,"&gt;0"))</f>
        <v/>
      </c>
      <c r="R78" s="21" t="str">
        <f aca="false">IF($A79="","",MAX(0,P79-Q79))</f>
        <v/>
      </c>
      <c r="S78" s="21" t="str">
        <f aca="false">IF($B79="","",IF(B79&lt;50000,3,IF(B79&lt;100000,4,5)))</f>
        <v/>
      </c>
      <c r="T78" s="5" t="str">
        <f aca="false">IF($A79="","",IF(OR(M79&gt;=4,I79&lt;=-8%),"防守",IF(OR(M79&gt;=2,I79&lt;=-5%),"警戒","正常")))</f>
        <v/>
      </c>
      <c r="U78" s="5" t="str">
        <f aca="false">IF($A79="","",IF(AND(L79&gt;=3,M79&lt;=2,T79&lt;&gt;"防守"),"是","否"))</f>
        <v/>
      </c>
      <c r="V78" s="5" t="str">
        <f aca="false">IF($A79="","",IF(AND(E79&lt;N79,R79&lt;S79,M79&lt;=2,I79&gt;-15%),"是","否"))</f>
        <v/>
      </c>
      <c r="W78" s="5" t="str">
        <f aca="false">IF($A79="","",IF(OR(M79&gt;=3,I79&lt;=-15%),"是","否"))</f>
        <v/>
      </c>
      <c r="X78" s="18" t="str">
        <f aca="false">IF($A79="","",IFERROR(maxifs(候选池!$AB:$AB,候选池!$A:$A,$A79),0))</f>
        <v/>
      </c>
      <c r="Y78" s="18" t="str">
        <f aca="false">IF($A79="","",IF(OR(M79&gt;=4,I79&lt;=-8%),MAX(0,B79*60%-C79),IF(AND(ISNUMBER(AD79),B79&gt;AD79),IF(B79&lt;30000,0,IF(B79&lt;100000,MAX(0,(B79-AD79)*0.2),MAX(0,(B79-AD79)*0.3))),0)))</f>
        <v/>
      </c>
      <c r="Z78" s="9"/>
      <c r="AA78" s="5" t="str">
        <f aca="false">IF($A79="","",IF($AA$2&lt;&gt;"",$AA$2,""))</f>
        <v/>
      </c>
      <c r="AB78" s="9" t="str">
        <f aca="false">IF($A79="","",IF(B79&lt;30000,0.03,IF(B79&lt;100000,0.02,0.015)))</f>
        <v/>
      </c>
      <c r="AC78" s="21" t="str">
        <f aca="false">IF($A79="","",IFERROR(DATEDIF($A$2,$A79,"m"),0))</f>
        <v/>
      </c>
      <c r="AD78" s="18" t="str">
        <f aca="false">IF($A79="","",IF(OR(AA79="",AB79="",AC79=""),"",AA79*POWER(1+AB79,AC79)))</f>
        <v/>
      </c>
      <c r="AE78" s="29" t="str">
        <f aca="false">IF($A79="","",IF(OR(AD79="",AD79=0),"",B79/AD79-1))</f>
        <v/>
      </c>
      <c r="AG78" s="1" t="str">
        <f aca="false">IF($A79="","",IF(B79&lt;30000,"婴儿",IF(B79&lt;100000,"成长","成熟")))</f>
        <v/>
      </c>
      <c r="AH78" s="24"/>
      <c r="AJ78" s="24"/>
      <c r="AK78" s="24"/>
      <c r="AM78" s="24"/>
      <c r="AP78" s="15"/>
      <c r="AQ78" s="25" t="str">
        <f aca="false">IF($A79="","",B79-$AA$2-SUM($F$2:F79))</f>
        <v/>
      </c>
      <c r="AR78" s="1" t="str">
        <f aca="false">IF($A78="","",30000)</f>
        <v/>
      </c>
      <c r="AS78" s="1" t="str">
        <f aca="false">IF($A78="","",AR78-B78)</f>
        <v/>
      </c>
      <c r="AT78" s="1" t="str">
        <f aca="false">IF($A78="","",IFERROR(B78/AR78,0))</f>
        <v/>
      </c>
      <c r="AU78" s="1" t="str">
        <f aca="false">IF($A78="","",IFERROR(B78*O78,0))</f>
        <v/>
      </c>
      <c r="AV78" s="1" t="str">
        <f aca="false">IF($A78="","",IFERROR(C78/B78,0))</f>
        <v/>
      </c>
      <c r="AW78" s="1" t="str">
        <f aca="false">IF($A78="","",MAX(0,R78-S78))</f>
        <v/>
      </c>
      <c r="AX78" s="1" t="str">
        <f aca="false">IF($A78="","",IF(AW78&gt;0,"优先降持仓数",IF(C78&lt;=0,"现金不足","允许评估")))</f>
        <v/>
      </c>
      <c r="AY78" s="1" t="str">
        <f aca="false">IF($A78="","",IF(B78&lt;30000,"婴儿阶段: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6"/>
      <c r="B79" s="17"/>
      <c r="C79" s="17"/>
      <c r="D79" s="18" t="str">
        <f aca="false">IF($A80="","",SUMIFS(持仓表!$J:$J,持仓表!$A:$A,$A80))</f>
        <v/>
      </c>
      <c r="E79" s="19" t="n">
        <f aca="false">IFERROR(D80/B80,0)</f>
        <v>0</v>
      </c>
      <c r="F79" s="17"/>
      <c r="G79" s="18" t="str">
        <f aca="false">IF($B80="","",MAX($B$2:B80))</f>
        <v/>
      </c>
      <c r="H79" s="19" t="n">
        <f aca="false">IFERROR((B80-F80)/F80,0)</f>
        <v>0</v>
      </c>
      <c r="I79" s="19" t="n">
        <f aca="false">IFERROR((B80-G80)/G80,0)</f>
        <v>0</v>
      </c>
      <c r="J79" s="6"/>
      <c r="K79" s="13"/>
      <c r="L79" s="20"/>
      <c r="M79" s="20"/>
      <c r="N79" s="19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9" s="19" t="str">
        <f aca="false">IF($B80="","",IF(B80&lt;30000,35%,IF(B80&lt;50000,30%,IF(B80&lt;100000,25%,20%))))</f>
        <v/>
      </c>
      <c r="P79" s="21" t="str">
        <f aca="false">IF($A80="","",COUNTIFS(持仓表!$A:$A,$A80,持仓表!$G:$G,"&gt;0"))</f>
        <v/>
      </c>
      <c r="Q79" s="21" t="str">
        <f aca="false">IF($A80="","",COUNTIFS(持仓表!$A:$A,$A80,持仓表!$D:$D,"是",持仓表!$G:$G,"&gt;0"))</f>
        <v/>
      </c>
      <c r="R79" s="21" t="str">
        <f aca="false">IF($A80="","",MAX(0,P80-Q80))</f>
        <v/>
      </c>
      <c r="S79" s="21" t="str">
        <f aca="false">IF($B80="","",IF(B80&lt;50000,3,IF(B80&lt;100000,4,5)))</f>
        <v/>
      </c>
      <c r="T79" s="5" t="str">
        <f aca="false">IF($A80="","",IF(OR(M80&gt;=4,I80&lt;=-8%),"防守",IF(OR(M80&gt;=2,I80&lt;=-5%),"警戒","正常")))</f>
        <v/>
      </c>
      <c r="U79" s="5" t="str">
        <f aca="false">IF($A80="","",IF(AND(L80&gt;=3,M80&lt;=2,T80&lt;&gt;"防守"),"是","否"))</f>
        <v/>
      </c>
      <c r="V79" s="5" t="str">
        <f aca="false">IF($A80="","",IF(AND(E80&lt;N80,R80&lt;S80,M80&lt;=2,I80&gt;-15%),"是","否"))</f>
        <v/>
      </c>
      <c r="W79" s="5" t="str">
        <f aca="false">IF($A80="","",IF(OR(M80&gt;=3,I80&lt;=-15%),"是","否"))</f>
        <v/>
      </c>
      <c r="X79" s="18" t="str">
        <f aca="false">IF($A80="","",IFERROR(maxifs(候选池!$AB:$AB,候选池!$A:$A,$A80),0))</f>
        <v/>
      </c>
      <c r="Y79" s="18" t="str">
        <f aca="false">IF($A80="","",IF(OR(M80&gt;=4,I80&lt;=-8%),MAX(0,B80*60%-C80),IF(AND(ISNUMBER(AD80),B80&gt;AD80),IF(B80&lt;30000,0,IF(B80&lt;100000,MAX(0,(B80-AD80)*0.2),MAX(0,(B80-AD80)*0.3))),0)))</f>
        <v/>
      </c>
      <c r="Z79" s="6"/>
      <c r="AA79" s="5" t="str">
        <f aca="false">IF($A80="","",IF($AA$2&lt;&gt;"",$AA$2,""))</f>
        <v/>
      </c>
      <c r="AB79" s="6" t="str">
        <f aca="false">IF($A80="","",IF(B80&lt;30000,0.03,IF(B80&lt;100000,0.02,0.015)))</f>
        <v/>
      </c>
      <c r="AC79" s="21" t="str">
        <f aca="false">IF($A80="","",IFERROR(DATEDIF($A$2,$A80,"m"),0))</f>
        <v/>
      </c>
      <c r="AD79" s="18" t="str">
        <f aca="false">IF($A80="","",IF(OR(AA80="",AB80="",AC80=""),"",AA80*POWER(1+AB80,AC80)))</f>
        <v/>
      </c>
      <c r="AE79" s="23" t="str">
        <f aca="false">IF($A80="","",IF(OR(AD80="",AD80=0),"",B80/AD80-1))</f>
        <v/>
      </c>
      <c r="AG79" s="1" t="str">
        <f aca="false">IF($A80="","",IF(B80&lt;30000,"婴儿",IF(B80&lt;100000,"成长","成熟")))</f>
        <v/>
      </c>
      <c r="AH79" s="24"/>
      <c r="AJ79" s="24"/>
      <c r="AK79" s="24"/>
      <c r="AM79" s="24"/>
      <c r="AP79" s="15"/>
      <c r="AQ79" s="25" t="str">
        <f aca="false">IF($A80="","",B80-$AA$2-SUM($F$2:F80))</f>
        <v/>
      </c>
      <c r="AR79" s="1" t="str">
        <f aca="false">IF($A79="","",30000)</f>
        <v/>
      </c>
      <c r="AS79" s="1" t="str">
        <f aca="false">IF($A79="","",AR79-B79)</f>
        <v/>
      </c>
      <c r="AT79" s="1" t="str">
        <f aca="false">IF($A79="","",IFERROR(B79/AR79,0))</f>
        <v/>
      </c>
      <c r="AU79" s="1" t="str">
        <f aca="false">IF($A79="","",IFERROR(B79*O79,0))</f>
        <v/>
      </c>
      <c r="AV79" s="1" t="str">
        <f aca="false">IF($A79="","",IFERROR(C79/B79,0))</f>
        <v/>
      </c>
      <c r="AW79" s="1" t="str">
        <f aca="false">IF($A79="","",MAX(0,R79-S79))</f>
        <v/>
      </c>
      <c r="AX79" s="1" t="str">
        <f aca="false">IF($A79="","",IF(AW79&gt;0,"优先降持仓数",IF(C79&lt;=0,"现金不足","允许评估")))</f>
        <v/>
      </c>
      <c r="AY79" s="1" t="str">
        <f aca="false">IF($A79="","",IF(B79&lt;30000,"婴儿阶段: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9"/>
      <c r="B80" s="26"/>
      <c r="C80" s="26"/>
      <c r="D80" s="18" t="str">
        <f aca="false">IF($A81="","",SUMIFS(持仓表!$J:$J,持仓表!$A:$A,$A81))</f>
        <v/>
      </c>
      <c r="E80" s="19" t="n">
        <f aca="false">IFERROR(D81/B81,0)</f>
        <v>0</v>
      </c>
      <c r="F80" s="26"/>
      <c r="G80" s="18" t="str">
        <f aca="false">IF($B81="","",MAX($B$2:B81))</f>
        <v/>
      </c>
      <c r="H80" s="19" t="n">
        <f aca="false">IFERROR((B81-F81)/F81,0)</f>
        <v>0</v>
      </c>
      <c r="I80" s="19" t="n">
        <f aca="false">IFERROR((B81-G81)/G81,0)</f>
        <v>0</v>
      </c>
      <c r="J80" s="9"/>
      <c r="K80" s="14"/>
      <c r="L80" s="27"/>
      <c r="M80" s="27"/>
      <c r="N80" s="19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80" s="19" t="str">
        <f aca="false">IF($B81="","",IF(B81&lt;30000,35%,IF(B81&lt;50000,30%,IF(B81&lt;100000,25%,20%))))</f>
        <v/>
      </c>
      <c r="P80" s="21" t="str">
        <f aca="false">IF($A81="","",COUNTIFS(持仓表!$A:$A,$A81,持仓表!$G:$G,"&gt;0"))</f>
        <v/>
      </c>
      <c r="Q80" s="21" t="str">
        <f aca="false">IF($A81="","",COUNTIFS(持仓表!$A:$A,$A81,持仓表!$D:$D,"是",持仓表!$G:$G,"&gt;0"))</f>
        <v/>
      </c>
      <c r="R80" s="21" t="str">
        <f aca="false">IF($A81="","",MAX(0,P81-Q81))</f>
        <v/>
      </c>
      <c r="S80" s="21" t="str">
        <f aca="false">IF($B81="","",IF(B81&lt;50000,3,IF(B81&lt;100000,4,5)))</f>
        <v/>
      </c>
      <c r="T80" s="5" t="str">
        <f aca="false">IF($A81="","",IF(OR(M81&gt;=4,I81&lt;=-8%),"防守",IF(OR(M81&gt;=2,I81&lt;=-5%),"警戒","正常")))</f>
        <v/>
      </c>
      <c r="U80" s="5" t="str">
        <f aca="false">IF($A81="","",IF(AND(L81&gt;=3,M81&lt;=2,T81&lt;&gt;"防守"),"是","否"))</f>
        <v/>
      </c>
      <c r="V80" s="5" t="str">
        <f aca="false">IF($A81="","",IF(AND(E81&lt;N81,R81&lt;S81,M81&lt;=2,I81&gt;-15%),"是","否"))</f>
        <v/>
      </c>
      <c r="W80" s="5" t="str">
        <f aca="false">IF($A81="","",IF(OR(M81&gt;=3,I81&lt;=-15%),"是","否"))</f>
        <v/>
      </c>
      <c r="X80" s="18" t="str">
        <f aca="false">IF($A81="","",IFERROR(maxifs(候选池!$AB:$AB,候选池!$A:$A,$A81),0))</f>
        <v/>
      </c>
      <c r="Y80" s="18" t="str">
        <f aca="false">IF($A81="","",IF(OR(M81&gt;=4,I81&lt;=-8%),MAX(0,B81*60%-C81),IF(AND(ISNUMBER(AD81),B81&gt;AD81),IF(B81&lt;30000,0,IF(B81&lt;100000,MAX(0,(B81-AD81)*0.2),MAX(0,(B81-AD81)*0.3))),0)))</f>
        <v/>
      </c>
      <c r="Z80" s="9"/>
      <c r="AA80" s="5" t="str">
        <f aca="false">IF($A81="","",IF($AA$2&lt;&gt;"",$AA$2,""))</f>
        <v/>
      </c>
      <c r="AB80" s="9" t="str">
        <f aca="false">IF($A81="","",IF(B81&lt;30000,0.03,IF(B81&lt;100000,0.02,0.015)))</f>
        <v/>
      </c>
      <c r="AC80" s="21" t="str">
        <f aca="false">IF($A81="","",IFERROR(DATEDIF($A$2,$A81,"m"),0))</f>
        <v/>
      </c>
      <c r="AD80" s="18" t="str">
        <f aca="false">IF($A81="","",IF(OR(AA81="",AB81="",AC81=""),"",AA81*POWER(1+AB81,AC81)))</f>
        <v/>
      </c>
      <c r="AE80" s="29" t="str">
        <f aca="false">IF($A81="","",IF(OR(AD81="",AD81=0),"",B81/AD81-1))</f>
        <v/>
      </c>
      <c r="AG80" s="1" t="str">
        <f aca="false">IF($A81="","",IF(B81&lt;30000,"婴儿",IF(B81&lt;100000,"成长","成熟")))</f>
        <v/>
      </c>
      <c r="AH80" s="24"/>
      <c r="AJ80" s="24"/>
      <c r="AK80" s="24"/>
      <c r="AM80" s="24"/>
      <c r="AP80" s="15"/>
      <c r="AQ80" s="25" t="str">
        <f aca="false">IF($A81="","",B81-$AA$2-SUM($F$2:F81))</f>
        <v/>
      </c>
      <c r="AR80" s="1" t="str">
        <f aca="false">IF($A80="","",30000)</f>
        <v/>
      </c>
      <c r="AS80" s="1" t="str">
        <f aca="false">IF($A80="","",AR80-B80)</f>
        <v/>
      </c>
      <c r="AT80" s="1" t="str">
        <f aca="false">IF($A80="","",IFERROR(B80/AR80,0))</f>
        <v/>
      </c>
      <c r="AU80" s="1" t="str">
        <f aca="false">IF($A80="","",IFERROR(B80*O80,0))</f>
        <v/>
      </c>
      <c r="AV80" s="1" t="str">
        <f aca="false">IF($A80="","",IFERROR(C80/B80,0))</f>
        <v/>
      </c>
      <c r="AW80" s="1" t="str">
        <f aca="false">IF($A80="","",MAX(0,R80-S80))</f>
        <v/>
      </c>
      <c r="AX80" s="1" t="str">
        <f aca="false">IF($A80="","",IF(AW80&gt;0,"优先降持仓数",IF(C80&lt;=0,"现金不足","允许评估")))</f>
        <v/>
      </c>
      <c r="AY80" s="1" t="str">
        <f aca="false">IF($A80="","",IF(B80&lt;30000,"婴儿阶段: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6"/>
      <c r="B81" s="17"/>
      <c r="C81" s="17"/>
      <c r="D81" s="18" t="str">
        <f aca="false">IF($A82="","",SUMIFS(持仓表!$J:$J,持仓表!$A:$A,$A82))</f>
        <v/>
      </c>
      <c r="E81" s="19" t="n">
        <f aca="false">IFERROR(D82/B82,0)</f>
        <v>0</v>
      </c>
      <c r="F81" s="17"/>
      <c r="G81" s="18" t="str">
        <f aca="false">IF($B82="","",MAX($B$2:B82))</f>
        <v/>
      </c>
      <c r="H81" s="19" t="n">
        <f aca="false">IFERROR((B82-F82)/F82,0)</f>
        <v>0</v>
      </c>
      <c r="I81" s="19" t="n">
        <f aca="false">IFERROR((B82-G82)/G82,0)</f>
        <v>0</v>
      </c>
      <c r="J81" s="6"/>
      <c r="K81" s="13"/>
      <c r="L81" s="20"/>
      <c r="M81" s="20"/>
      <c r="N81" s="19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81" s="19" t="str">
        <f aca="false">IF($B82="","",IF(B82&lt;30000,35%,IF(B82&lt;50000,30%,IF(B82&lt;100000,25%,20%))))</f>
        <v/>
      </c>
      <c r="P81" s="21" t="str">
        <f aca="false">IF($A82="","",COUNTIFS(持仓表!$A:$A,$A82,持仓表!$G:$G,"&gt;0"))</f>
        <v/>
      </c>
      <c r="Q81" s="21" t="str">
        <f aca="false">IF($A82="","",COUNTIFS(持仓表!$A:$A,$A82,持仓表!$D:$D,"是",持仓表!$G:$G,"&gt;0"))</f>
        <v/>
      </c>
      <c r="R81" s="21" t="str">
        <f aca="false">IF($A82="","",MAX(0,P82-Q82))</f>
        <v/>
      </c>
      <c r="S81" s="21" t="str">
        <f aca="false">IF($B82="","",IF(B82&lt;50000,3,IF(B82&lt;100000,4,5)))</f>
        <v/>
      </c>
      <c r="T81" s="5" t="str">
        <f aca="false">IF($A82="","",IF(OR(M82&gt;=4,I82&lt;=-8%),"防守",IF(OR(M82&gt;=2,I82&lt;=-5%),"警戒","正常")))</f>
        <v/>
      </c>
      <c r="U81" s="5" t="str">
        <f aca="false">IF($A82="","",IF(AND(L82&gt;=3,M82&lt;=2,T82&lt;&gt;"防守"),"是","否"))</f>
        <v/>
      </c>
      <c r="V81" s="5" t="str">
        <f aca="false">IF($A82="","",IF(AND(E82&lt;N82,R82&lt;S82,M82&lt;=2,I82&gt;-15%),"是","否"))</f>
        <v/>
      </c>
      <c r="W81" s="5" t="str">
        <f aca="false">IF($A82="","",IF(OR(M82&gt;=3,I82&lt;=-15%),"是","否"))</f>
        <v/>
      </c>
      <c r="X81" s="18" t="str">
        <f aca="false">IF($A82="","",IFERROR(maxifs(候选池!$AB:$AB,候选池!$A:$A,$A82),0))</f>
        <v/>
      </c>
      <c r="Y81" s="18" t="str">
        <f aca="false">IF($A82="","",IF(OR(M82&gt;=4,I82&lt;=-8%),MAX(0,B82*60%-C82),IF(AND(ISNUMBER(AD82),B82&gt;AD82),IF(B82&lt;30000,0,IF(B82&lt;100000,MAX(0,(B82-AD82)*0.2),MAX(0,(B82-AD82)*0.3))),0)))</f>
        <v/>
      </c>
      <c r="Z81" s="6"/>
      <c r="AA81" s="5" t="str">
        <f aca="false">IF($A82="","",IF($AA$2&lt;&gt;"",$AA$2,""))</f>
        <v/>
      </c>
      <c r="AB81" s="6" t="str">
        <f aca="false">IF($A82="","",IF(B82&lt;30000,0.03,IF(B82&lt;100000,0.02,0.015)))</f>
        <v/>
      </c>
      <c r="AC81" s="21" t="str">
        <f aca="false">IF($A82="","",IFERROR(DATEDIF($A$2,$A82,"m"),0))</f>
        <v/>
      </c>
      <c r="AD81" s="18" t="str">
        <f aca="false">IF($A82="","",IF(OR(AA82="",AB82="",AC82=""),"",AA82*POWER(1+AB82,AC82)))</f>
        <v/>
      </c>
      <c r="AE81" s="23" t="str">
        <f aca="false">IF($A82="","",IF(OR(AD82="",AD82=0),"",B82/AD82-1))</f>
        <v/>
      </c>
      <c r="AG81" s="1" t="str">
        <f aca="false">IF($A82="","",IF(B82&lt;30000,"婴儿",IF(B82&lt;100000,"成长","成熟")))</f>
        <v/>
      </c>
      <c r="AH81" s="24"/>
      <c r="AJ81" s="24"/>
      <c r="AK81" s="24"/>
      <c r="AM81" s="24"/>
      <c r="AP81" s="15"/>
      <c r="AQ81" s="25" t="str">
        <f aca="false">IF($A82="","",B82-$AA$2-SUM($F$2:F82))</f>
        <v/>
      </c>
      <c r="AR81" s="1" t="str">
        <f aca="false">IF($A81="","",30000)</f>
        <v/>
      </c>
      <c r="AS81" s="1" t="str">
        <f aca="false">IF($A81="","",AR81-B81)</f>
        <v/>
      </c>
      <c r="AT81" s="1" t="str">
        <f aca="false">IF($A81="","",IFERROR(B81/AR81,0))</f>
        <v/>
      </c>
      <c r="AU81" s="1" t="str">
        <f aca="false">IF($A81="","",IFERROR(B81*O81,0))</f>
        <v/>
      </c>
      <c r="AV81" s="1" t="str">
        <f aca="false">IF($A81="","",IFERROR(C81/B81,0))</f>
        <v/>
      </c>
      <c r="AW81" s="1" t="str">
        <f aca="false">IF($A81="","",MAX(0,R81-S81))</f>
        <v/>
      </c>
      <c r="AX81" s="1" t="str">
        <f aca="false">IF($A81="","",IF(AW81&gt;0,"优先降持仓数",IF(C81&lt;=0,"现金不足","允许评估")))</f>
        <v/>
      </c>
      <c r="AY81" s="1" t="str">
        <f aca="false">IF($A81="","",IF(B81&lt;30000,"婴儿阶段: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9"/>
      <c r="B82" s="26"/>
      <c r="C82" s="26"/>
      <c r="D82" s="18" t="str">
        <f aca="false">IF($A83="","",SUMIFS(持仓表!$J:$J,持仓表!$A:$A,$A83))</f>
        <v/>
      </c>
      <c r="E82" s="19" t="n">
        <f aca="false">IFERROR(D83/B83,0)</f>
        <v>0</v>
      </c>
      <c r="F82" s="26"/>
      <c r="G82" s="18" t="str">
        <f aca="false">IF($B83="","",MAX($B$2:B83))</f>
        <v/>
      </c>
      <c r="H82" s="19" t="n">
        <f aca="false">IFERROR((B83-F83)/F83,0)</f>
        <v>0</v>
      </c>
      <c r="I82" s="19" t="n">
        <f aca="false">IFERROR((B83-G83)/G83,0)</f>
        <v>0</v>
      </c>
      <c r="J82" s="9"/>
      <c r="K82" s="14"/>
      <c r="L82" s="27"/>
      <c r="M82" s="27"/>
      <c r="N82" s="19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82" s="19" t="str">
        <f aca="false">IF($B83="","",IF(B83&lt;30000,35%,IF(B83&lt;50000,30%,IF(B83&lt;100000,25%,20%))))</f>
        <v/>
      </c>
      <c r="P82" s="21" t="str">
        <f aca="false">IF($A83="","",COUNTIFS(持仓表!$A:$A,$A83,持仓表!$G:$G,"&gt;0"))</f>
        <v/>
      </c>
      <c r="Q82" s="21" t="str">
        <f aca="false">IF($A83="","",COUNTIFS(持仓表!$A:$A,$A83,持仓表!$D:$D,"是",持仓表!$G:$G,"&gt;0"))</f>
        <v/>
      </c>
      <c r="R82" s="21" t="str">
        <f aca="false">IF($A83="","",MAX(0,P83-Q83))</f>
        <v/>
      </c>
      <c r="S82" s="21" t="str">
        <f aca="false">IF($B83="","",IF(B83&lt;50000,3,IF(B83&lt;100000,4,5)))</f>
        <v/>
      </c>
      <c r="T82" s="5" t="str">
        <f aca="false">IF($A83="","",IF(OR(M83&gt;=4,I83&lt;=-8%),"防守",IF(OR(M83&gt;=2,I83&lt;=-5%),"警戒","正常")))</f>
        <v/>
      </c>
      <c r="U82" s="5" t="str">
        <f aca="false">IF($A83="","",IF(AND(L83&gt;=3,M83&lt;=2,T83&lt;&gt;"防守"),"是","否"))</f>
        <v/>
      </c>
      <c r="V82" s="5" t="str">
        <f aca="false">IF($A83="","",IF(AND(E83&lt;N83,R83&lt;S83,M83&lt;=2,I83&gt;-15%),"是","否"))</f>
        <v/>
      </c>
      <c r="W82" s="5" t="str">
        <f aca="false">IF($A83="","",IF(OR(M83&gt;=3,I83&lt;=-15%),"是","否"))</f>
        <v/>
      </c>
      <c r="X82" s="18" t="str">
        <f aca="false">IF($A83="","",IFERROR(maxifs(候选池!$AB:$AB,候选池!$A:$A,$A83),0))</f>
        <v/>
      </c>
      <c r="Y82" s="18" t="str">
        <f aca="false">IF($A83="","",IF(OR(M83&gt;=4,I83&lt;=-8%),MAX(0,B83*60%-C83),IF(AND(ISNUMBER(AD83),B83&gt;AD83),IF(B83&lt;30000,0,IF(B83&lt;100000,MAX(0,(B83-AD83)*0.2),MAX(0,(B83-AD83)*0.3))),0)))</f>
        <v/>
      </c>
      <c r="Z82" s="9"/>
      <c r="AA82" s="5" t="str">
        <f aca="false">IF($A83="","",IF($AA$2&lt;&gt;"",$AA$2,""))</f>
        <v/>
      </c>
      <c r="AB82" s="9" t="str">
        <f aca="false">IF($A83="","",IF(B83&lt;30000,0.03,IF(B83&lt;100000,0.02,0.015)))</f>
        <v/>
      </c>
      <c r="AC82" s="21" t="str">
        <f aca="false">IF($A83="","",IFERROR(DATEDIF($A$2,$A83,"m"),0))</f>
        <v/>
      </c>
      <c r="AD82" s="18" t="str">
        <f aca="false">IF($A83="","",IF(OR(AA83="",AB83="",AC83=""),"",AA83*POWER(1+AB83,AC83)))</f>
        <v/>
      </c>
      <c r="AE82" s="29" t="str">
        <f aca="false">IF($A83="","",IF(OR(AD83="",AD83=0),"",B83/AD83-1))</f>
        <v/>
      </c>
      <c r="AG82" s="1" t="str">
        <f aca="false">IF($A83="","",IF(B83&lt;30000,"婴儿",IF(B83&lt;100000,"成长","成熟")))</f>
        <v/>
      </c>
      <c r="AH82" s="24"/>
      <c r="AJ82" s="24"/>
      <c r="AK82" s="24"/>
      <c r="AM82" s="24"/>
      <c r="AP82" s="15"/>
      <c r="AQ82" s="25" t="str">
        <f aca="false">IF($A83="","",B83-$AA$2-SUM($F$2:F83))</f>
        <v/>
      </c>
      <c r="AR82" s="1" t="str">
        <f aca="false">IF($A82="","",30000)</f>
        <v/>
      </c>
      <c r="AS82" s="1" t="str">
        <f aca="false">IF($A82="","",AR82-B82)</f>
        <v/>
      </c>
      <c r="AT82" s="1" t="str">
        <f aca="false">IF($A82="","",IFERROR(B82/AR82,0))</f>
        <v/>
      </c>
      <c r="AU82" s="1" t="str">
        <f aca="false">IF($A82="","",IFERROR(B82*O82,0))</f>
        <v/>
      </c>
      <c r="AV82" s="1" t="str">
        <f aca="false">IF($A82="","",IFERROR(C82/B82,0))</f>
        <v/>
      </c>
      <c r="AW82" s="1" t="str">
        <f aca="false">IF($A82="","",MAX(0,R82-S82))</f>
        <v/>
      </c>
      <c r="AX82" s="1" t="str">
        <f aca="false">IF($A82="","",IF(AW82&gt;0,"优先降持仓数",IF(C82&lt;=0,"现金不足","允许评估")))</f>
        <v/>
      </c>
      <c r="AY82" s="1" t="str">
        <f aca="false">IF($A82="","",IF(B82&lt;30000,"婴儿阶段: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6"/>
      <c r="B83" s="17"/>
      <c r="C83" s="17"/>
      <c r="D83" s="18" t="str">
        <f aca="false">IF($A84="","",SUMIFS(持仓表!$J:$J,持仓表!$A:$A,$A84))</f>
        <v/>
      </c>
      <c r="E83" s="19" t="n">
        <f aca="false">IFERROR(D84/B84,0)</f>
        <v>0</v>
      </c>
      <c r="F83" s="17"/>
      <c r="G83" s="18" t="str">
        <f aca="false">IF($B84="","",MAX($B$2:B84))</f>
        <v/>
      </c>
      <c r="H83" s="19" t="n">
        <f aca="false">IFERROR((B84-F84)/F84,0)</f>
        <v>0</v>
      </c>
      <c r="I83" s="19" t="n">
        <f aca="false">IFERROR((B84-G84)/G84,0)</f>
        <v>0</v>
      </c>
      <c r="J83" s="6"/>
      <c r="K83" s="13"/>
      <c r="L83" s="20"/>
      <c r="M83" s="20"/>
      <c r="N83" s="19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83" s="19" t="str">
        <f aca="false">IF($B84="","",IF(B84&lt;30000,35%,IF(B84&lt;50000,30%,IF(B84&lt;100000,25%,20%))))</f>
        <v/>
      </c>
      <c r="P83" s="21" t="str">
        <f aca="false">IF($A84="","",COUNTIFS(持仓表!$A:$A,$A84,持仓表!$G:$G,"&gt;0"))</f>
        <v/>
      </c>
      <c r="Q83" s="21" t="str">
        <f aca="false">IF($A84="","",COUNTIFS(持仓表!$A:$A,$A84,持仓表!$D:$D,"是",持仓表!$G:$G,"&gt;0"))</f>
        <v/>
      </c>
      <c r="R83" s="21" t="str">
        <f aca="false">IF($A84="","",MAX(0,P84-Q84))</f>
        <v/>
      </c>
      <c r="S83" s="21" t="str">
        <f aca="false">IF($B84="","",IF(B84&lt;50000,3,IF(B84&lt;100000,4,5)))</f>
        <v/>
      </c>
      <c r="T83" s="5" t="str">
        <f aca="false">IF($A84="","",IF(OR(M84&gt;=4,I84&lt;=-8%),"防守",IF(OR(M84&gt;=2,I84&lt;=-5%),"警戒","正常")))</f>
        <v/>
      </c>
      <c r="U83" s="5" t="str">
        <f aca="false">IF($A84="","",IF(AND(L84&gt;=3,M84&lt;=2,T84&lt;&gt;"防守"),"是","否"))</f>
        <v/>
      </c>
      <c r="V83" s="5" t="str">
        <f aca="false">IF($A84="","",IF(AND(E84&lt;N84,R84&lt;S84,M84&lt;=2,I84&gt;-15%),"是","否"))</f>
        <v/>
      </c>
      <c r="W83" s="5" t="str">
        <f aca="false">IF($A84="","",IF(OR(M84&gt;=3,I84&lt;=-15%),"是","否"))</f>
        <v/>
      </c>
      <c r="X83" s="18" t="str">
        <f aca="false">IF($A84="","",IFERROR(maxifs(候选池!$AB:$AB,候选池!$A:$A,$A84),0))</f>
        <v/>
      </c>
      <c r="Y83" s="18" t="str">
        <f aca="false">IF($A84="","",IF(OR(M84&gt;=4,I84&lt;=-8%),MAX(0,B84*60%-C84),IF(AND(ISNUMBER(AD84),B84&gt;AD84),IF(B84&lt;30000,0,IF(B84&lt;100000,MAX(0,(B84-AD84)*0.2),MAX(0,(B84-AD84)*0.3))),0)))</f>
        <v/>
      </c>
      <c r="Z83" s="6"/>
      <c r="AA83" s="5" t="str">
        <f aca="false">IF($A84="","",IF($AA$2&lt;&gt;"",$AA$2,""))</f>
        <v/>
      </c>
      <c r="AB83" s="6" t="str">
        <f aca="false">IF($A84="","",IF(B84&lt;30000,0.03,IF(B84&lt;100000,0.02,0.015)))</f>
        <v/>
      </c>
      <c r="AC83" s="21" t="str">
        <f aca="false">IF($A84="","",IFERROR(DATEDIF($A$2,$A84,"m"),0))</f>
        <v/>
      </c>
      <c r="AD83" s="18" t="str">
        <f aca="false">IF($A84="","",IF(OR(AA84="",AB84="",AC84=""),"",AA84*POWER(1+AB84,AC84)))</f>
        <v/>
      </c>
      <c r="AE83" s="23" t="str">
        <f aca="false">IF($A84="","",IF(OR(AD84="",AD84=0),"",B84/AD84-1))</f>
        <v/>
      </c>
      <c r="AG83" s="1" t="str">
        <f aca="false">IF($A84="","",IF(B84&lt;30000,"婴儿",IF(B84&lt;100000,"成长","成熟")))</f>
        <v/>
      </c>
      <c r="AH83" s="24"/>
      <c r="AJ83" s="24"/>
      <c r="AK83" s="24"/>
      <c r="AM83" s="24"/>
      <c r="AP83" s="15"/>
      <c r="AQ83" s="25" t="str">
        <f aca="false">IF($A84="","",B84-$AA$2-SUM($F$2:F84))</f>
        <v/>
      </c>
      <c r="AR83" s="1" t="str">
        <f aca="false">IF($A83="","",30000)</f>
        <v/>
      </c>
      <c r="AS83" s="1" t="str">
        <f aca="false">IF($A83="","",AR83-B83)</f>
        <v/>
      </c>
      <c r="AT83" s="1" t="str">
        <f aca="false">IF($A83="","",IFERROR(B83/AR83,0))</f>
        <v/>
      </c>
      <c r="AU83" s="1" t="str">
        <f aca="false">IF($A83="","",IFERROR(B83*O83,0))</f>
        <v/>
      </c>
      <c r="AV83" s="1" t="str">
        <f aca="false">IF($A83="","",IFERROR(C83/B83,0))</f>
        <v/>
      </c>
      <c r="AW83" s="1" t="str">
        <f aca="false">IF($A83="","",MAX(0,R83-S83))</f>
        <v/>
      </c>
      <c r="AX83" s="1" t="str">
        <f aca="false">IF($A83="","",IF(AW83&gt;0,"优先降持仓数",IF(C83&lt;=0,"现金不足","允许评估")))</f>
        <v/>
      </c>
      <c r="AY83" s="1" t="str">
        <f aca="false">IF($A83="","",IF(B83&lt;30000,"婴儿阶段: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9"/>
      <c r="B84" s="26"/>
      <c r="C84" s="26"/>
      <c r="D84" s="18" t="str">
        <f aca="false">IF($A85="","",SUMIFS(持仓表!$J:$J,持仓表!$A:$A,$A85))</f>
        <v/>
      </c>
      <c r="E84" s="19" t="n">
        <f aca="false">IFERROR(D85/B85,0)</f>
        <v>0</v>
      </c>
      <c r="F84" s="26"/>
      <c r="G84" s="18" t="str">
        <f aca="false">IF($B85="","",MAX($B$2:B85))</f>
        <v/>
      </c>
      <c r="H84" s="19" t="n">
        <f aca="false">IFERROR((B85-F85)/F85,0)</f>
        <v>0</v>
      </c>
      <c r="I84" s="19" t="n">
        <f aca="false">IFERROR((B85-G85)/G85,0)</f>
        <v>0</v>
      </c>
      <c r="J84" s="9"/>
      <c r="K84" s="14"/>
      <c r="L84" s="27"/>
      <c r="M84" s="27"/>
      <c r="N84" s="19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4" s="19" t="str">
        <f aca="false">IF($B85="","",IF(B85&lt;30000,35%,IF(B85&lt;50000,30%,IF(B85&lt;100000,25%,20%))))</f>
        <v/>
      </c>
      <c r="P84" s="21" t="str">
        <f aca="false">IF($A85="","",COUNTIFS(持仓表!$A:$A,$A85,持仓表!$G:$G,"&gt;0"))</f>
        <v/>
      </c>
      <c r="Q84" s="21" t="str">
        <f aca="false">IF($A85="","",COUNTIFS(持仓表!$A:$A,$A85,持仓表!$D:$D,"是",持仓表!$G:$G,"&gt;0"))</f>
        <v/>
      </c>
      <c r="R84" s="21" t="str">
        <f aca="false">IF($A85="","",MAX(0,P85-Q85))</f>
        <v/>
      </c>
      <c r="S84" s="21" t="str">
        <f aca="false">IF($B85="","",IF(B85&lt;50000,3,IF(B85&lt;100000,4,5)))</f>
        <v/>
      </c>
      <c r="T84" s="5" t="str">
        <f aca="false">IF($A85="","",IF(OR(M85&gt;=4,I85&lt;=-8%),"防守",IF(OR(M85&gt;=2,I85&lt;=-5%),"警戒","正常")))</f>
        <v/>
      </c>
      <c r="U84" s="5" t="str">
        <f aca="false">IF($A85="","",IF(AND(L85&gt;=3,M85&lt;=2,T85&lt;&gt;"防守"),"是","否"))</f>
        <v/>
      </c>
      <c r="V84" s="5" t="str">
        <f aca="false">IF($A85="","",IF(AND(E85&lt;N85,R85&lt;S85,M85&lt;=2,I85&gt;-15%),"是","否"))</f>
        <v/>
      </c>
      <c r="W84" s="5" t="str">
        <f aca="false">IF($A85="","",IF(OR(M85&gt;=3,I85&lt;=-15%),"是","否"))</f>
        <v/>
      </c>
      <c r="X84" s="18" t="str">
        <f aca="false">IF($A85="","",IFERROR(maxifs(候选池!$AB:$AB,候选池!$A:$A,$A85),0))</f>
        <v/>
      </c>
      <c r="Y84" s="18" t="str">
        <f aca="false">IF($A85="","",IF(OR(M85&gt;=4,I85&lt;=-8%),MAX(0,B85*60%-C85),IF(AND(ISNUMBER(AD85),B85&gt;AD85),IF(B85&lt;30000,0,IF(B85&lt;100000,MAX(0,(B85-AD85)*0.2),MAX(0,(B85-AD85)*0.3))),0)))</f>
        <v/>
      </c>
      <c r="Z84" s="9"/>
      <c r="AA84" s="5" t="str">
        <f aca="false">IF($A85="","",IF($AA$2&lt;&gt;"",$AA$2,""))</f>
        <v/>
      </c>
      <c r="AB84" s="9" t="str">
        <f aca="false">IF($A85="","",IF(B85&lt;30000,0.03,IF(B85&lt;100000,0.02,0.015)))</f>
        <v/>
      </c>
      <c r="AC84" s="21" t="str">
        <f aca="false">IF($A85="","",IFERROR(DATEDIF($A$2,$A85,"m"),0))</f>
        <v/>
      </c>
      <c r="AD84" s="18" t="str">
        <f aca="false">IF($A85="","",IF(OR(AA85="",AB85="",AC85=""),"",AA85*POWER(1+AB85,AC85)))</f>
        <v/>
      </c>
      <c r="AE84" s="29" t="str">
        <f aca="false">IF($A85="","",IF(OR(AD85="",AD85=0),"",B85/AD85-1))</f>
        <v/>
      </c>
      <c r="AG84" s="1" t="str">
        <f aca="false">IF($A85="","",IF(B85&lt;30000,"婴儿",IF(B85&lt;100000,"成长","成熟")))</f>
        <v/>
      </c>
      <c r="AH84" s="24"/>
      <c r="AJ84" s="24"/>
      <c r="AK84" s="24"/>
      <c r="AM84" s="24"/>
      <c r="AP84" s="15"/>
      <c r="AQ84" s="25" t="str">
        <f aca="false">IF($A85="","",B85-$AA$2-SUM($F$2:F85))</f>
        <v/>
      </c>
      <c r="AR84" s="1" t="str">
        <f aca="false">IF($A84="","",30000)</f>
        <v/>
      </c>
      <c r="AS84" s="1" t="str">
        <f aca="false">IF($A84="","",AR84-B84)</f>
        <v/>
      </c>
      <c r="AT84" s="1" t="str">
        <f aca="false">IF($A84="","",IFERROR(B84/AR84,0))</f>
        <v/>
      </c>
      <c r="AU84" s="1" t="str">
        <f aca="false">IF($A84="","",IFERROR(B84*O84,0))</f>
        <v/>
      </c>
      <c r="AV84" s="1" t="str">
        <f aca="false">IF($A84="","",IFERROR(C84/B84,0))</f>
        <v/>
      </c>
      <c r="AW84" s="1" t="str">
        <f aca="false">IF($A84="","",MAX(0,R84-S84))</f>
        <v/>
      </c>
      <c r="AX84" s="1" t="str">
        <f aca="false">IF($A84="","",IF(AW84&gt;0,"优先降持仓数",IF(C84&lt;=0,"现金不足","允许评估")))</f>
        <v/>
      </c>
      <c r="AY84" s="1" t="str">
        <f aca="false">IF($A84="","",IF(B84&lt;30000,"婴儿阶段: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6"/>
      <c r="B85" s="17"/>
      <c r="C85" s="17"/>
      <c r="D85" s="18" t="str">
        <f aca="false">IF($A86="","",SUMIFS(持仓表!$J:$J,持仓表!$A:$A,$A86))</f>
        <v/>
      </c>
      <c r="E85" s="19" t="n">
        <f aca="false">IFERROR(D86/B86,0)</f>
        <v>0</v>
      </c>
      <c r="F85" s="17"/>
      <c r="G85" s="18" t="str">
        <f aca="false">IF($B86="","",MAX($B$2:B86))</f>
        <v/>
      </c>
      <c r="H85" s="19" t="n">
        <f aca="false">IFERROR((B86-F86)/F86,0)</f>
        <v>0</v>
      </c>
      <c r="I85" s="19" t="n">
        <f aca="false">IFERROR((B86-G86)/G86,0)</f>
        <v>0</v>
      </c>
      <c r="J85" s="6"/>
      <c r="K85" s="13"/>
      <c r="L85" s="20"/>
      <c r="M85" s="20"/>
      <c r="N85" s="19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5" s="19" t="str">
        <f aca="false">IF($B86="","",IF(B86&lt;30000,35%,IF(B86&lt;50000,30%,IF(B86&lt;100000,25%,20%))))</f>
        <v/>
      </c>
      <c r="P85" s="21" t="str">
        <f aca="false">IF($A86="","",COUNTIFS(持仓表!$A:$A,$A86,持仓表!$G:$G,"&gt;0"))</f>
        <v/>
      </c>
      <c r="Q85" s="21" t="str">
        <f aca="false">IF($A86="","",COUNTIFS(持仓表!$A:$A,$A86,持仓表!$D:$D,"是",持仓表!$G:$G,"&gt;0"))</f>
        <v/>
      </c>
      <c r="R85" s="21" t="str">
        <f aca="false">IF($A86="","",MAX(0,P86-Q86))</f>
        <v/>
      </c>
      <c r="S85" s="21" t="str">
        <f aca="false">IF($B86="","",IF(B86&lt;50000,3,IF(B86&lt;100000,4,5)))</f>
        <v/>
      </c>
      <c r="T85" s="5" t="str">
        <f aca="false">IF($A86="","",IF(OR(M86&gt;=4,I86&lt;=-8%),"防守",IF(OR(M86&gt;=2,I86&lt;=-5%),"警戒","正常")))</f>
        <v/>
      </c>
      <c r="U85" s="5" t="str">
        <f aca="false">IF($A86="","",IF(AND(L86&gt;=3,M86&lt;=2,T86&lt;&gt;"防守"),"是","否"))</f>
        <v/>
      </c>
      <c r="V85" s="5" t="str">
        <f aca="false">IF($A86="","",IF(AND(E86&lt;N86,R86&lt;S86,M86&lt;=2,I86&gt;-15%),"是","否"))</f>
        <v/>
      </c>
      <c r="W85" s="5" t="str">
        <f aca="false">IF($A86="","",IF(OR(M86&gt;=3,I86&lt;=-15%),"是","否"))</f>
        <v/>
      </c>
      <c r="X85" s="18" t="str">
        <f aca="false">IF($A86="","",IFERROR(maxifs(候选池!$AB:$AB,候选池!$A:$A,$A86),0))</f>
        <v/>
      </c>
      <c r="Y85" s="18" t="str">
        <f aca="false">IF($A86="","",IF(OR(M86&gt;=4,I86&lt;=-8%),MAX(0,B86*60%-C86),IF(AND(ISNUMBER(AD86),B86&gt;AD86),IF(B86&lt;30000,0,IF(B86&lt;100000,MAX(0,(B86-AD86)*0.2),MAX(0,(B86-AD86)*0.3))),0)))</f>
        <v/>
      </c>
      <c r="Z85" s="6"/>
      <c r="AA85" s="5" t="str">
        <f aca="false">IF($A86="","",IF($AA$2&lt;&gt;"",$AA$2,""))</f>
        <v/>
      </c>
      <c r="AB85" s="6" t="str">
        <f aca="false">IF($A86="","",IF(B86&lt;30000,0.03,IF(B86&lt;100000,0.02,0.015)))</f>
        <v/>
      </c>
      <c r="AC85" s="21" t="str">
        <f aca="false">IF($A86="","",IFERROR(DATEDIF($A$2,$A86,"m"),0))</f>
        <v/>
      </c>
      <c r="AD85" s="18" t="str">
        <f aca="false">IF($A86="","",IF(OR(AA86="",AB86="",AC86=""),"",AA86*POWER(1+AB86,AC86)))</f>
        <v/>
      </c>
      <c r="AE85" s="23" t="str">
        <f aca="false">IF($A86="","",IF(OR(AD86="",AD86=0),"",B86/AD86-1))</f>
        <v/>
      </c>
      <c r="AG85" s="1" t="str">
        <f aca="false">IF($A86="","",IF(B86&lt;30000,"婴儿",IF(B86&lt;100000,"成长","成熟")))</f>
        <v/>
      </c>
      <c r="AH85" s="24"/>
      <c r="AJ85" s="24"/>
      <c r="AK85" s="24"/>
      <c r="AM85" s="24"/>
      <c r="AP85" s="15"/>
      <c r="AQ85" s="25" t="str">
        <f aca="false">IF($A86="","",B86-$AA$2-SUM($F$2:F86))</f>
        <v/>
      </c>
      <c r="AR85" s="1" t="str">
        <f aca="false">IF($A85="","",30000)</f>
        <v/>
      </c>
      <c r="AS85" s="1" t="str">
        <f aca="false">IF($A85="","",AR85-B85)</f>
        <v/>
      </c>
      <c r="AT85" s="1" t="str">
        <f aca="false">IF($A85="","",IFERROR(B85/AR85,0))</f>
        <v/>
      </c>
      <c r="AU85" s="1" t="str">
        <f aca="false">IF($A85="","",IFERROR(B85*O85,0))</f>
        <v/>
      </c>
      <c r="AV85" s="1" t="str">
        <f aca="false">IF($A85="","",IFERROR(C85/B85,0))</f>
        <v/>
      </c>
      <c r="AW85" s="1" t="str">
        <f aca="false">IF($A85="","",MAX(0,R85-S85))</f>
        <v/>
      </c>
      <c r="AX85" s="1" t="str">
        <f aca="false">IF($A85="","",IF(AW85&gt;0,"优先降持仓数",IF(C85&lt;=0,"现金不足","允许评估")))</f>
        <v/>
      </c>
      <c r="AY85" s="1" t="str">
        <f aca="false">IF($A85="","",IF(B85&lt;30000,"婴儿阶段: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9"/>
      <c r="B86" s="26"/>
      <c r="C86" s="26"/>
      <c r="D86" s="18" t="str">
        <f aca="false">IF($A87="","",SUMIFS(持仓表!$J:$J,持仓表!$A:$A,$A87))</f>
        <v/>
      </c>
      <c r="E86" s="19" t="n">
        <f aca="false">IFERROR(D87/B87,0)</f>
        <v>0</v>
      </c>
      <c r="F86" s="26"/>
      <c r="G86" s="18" t="str">
        <f aca="false">IF($B87="","",MAX($B$2:B87))</f>
        <v/>
      </c>
      <c r="H86" s="19" t="n">
        <f aca="false">IFERROR((B87-F87)/F87,0)</f>
        <v>0</v>
      </c>
      <c r="I86" s="19" t="n">
        <f aca="false">IFERROR((B87-G87)/G87,0)</f>
        <v>0</v>
      </c>
      <c r="J86" s="9"/>
      <c r="K86" s="14"/>
      <c r="L86" s="27"/>
      <c r="M86" s="27"/>
      <c r="N86" s="19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6" s="19" t="str">
        <f aca="false">IF($B87="","",IF(B87&lt;30000,35%,IF(B87&lt;50000,30%,IF(B87&lt;100000,25%,20%))))</f>
        <v/>
      </c>
      <c r="P86" s="21" t="str">
        <f aca="false">IF($A87="","",COUNTIFS(持仓表!$A:$A,$A87,持仓表!$G:$G,"&gt;0"))</f>
        <v/>
      </c>
      <c r="Q86" s="21" t="str">
        <f aca="false">IF($A87="","",COUNTIFS(持仓表!$A:$A,$A87,持仓表!$D:$D,"是",持仓表!$G:$G,"&gt;0"))</f>
        <v/>
      </c>
      <c r="R86" s="21" t="str">
        <f aca="false">IF($A87="","",MAX(0,P87-Q87))</f>
        <v/>
      </c>
      <c r="S86" s="21" t="str">
        <f aca="false">IF($B87="","",IF(B87&lt;50000,3,IF(B87&lt;100000,4,5)))</f>
        <v/>
      </c>
      <c r="T86" s="5" t="str">
        <f aca="false">IF($A87="","",IF(OR(M87&gt;=4,I87&lt;=-8%),"防守",IF(OR(M87&gt;=2,I87&lt;=-5%),"警戒","正常")))</f>
        <v/>
      </c>
      <c r="U86" s="5" t="str">
        <f aca="false">IF($A87="","",IF(AND(L87&gt;=3,M87&lt;=2,T87&lt;&gt;"防守"),"是","否"))</f>
        <v/>
      </c>
      <c r="V86" s="5" t="str">
        <f aca="false">IF($A87="","",IF(AND(E87&lt;N87,R87&lt;S87,M87&lt;=2,I87&gt;-15%),"是","否"))</f>
        <v/>
      </c>
      <c r="W86" s="5" t="str">
        <f aca="false">IF($A87="","",IF(OR(M87&gt;=3,I87&lt;=-15%),"是","否"))</f>
        <v/>
      </c>
      <c r="X86" s="18" t="str">
        <f aca="false">IF($A87="","",IFERROR(maxifs(候选池!$AB:$AB,候选池!$A:$A,$A87),0))</f>
        <v/>
      </c>
      <c r="Y86" s="18" t="str">
        <f aca="false">IF($A87="","",IF(OR(M87&gt;=4,I87&lt;=-8%),MAX(0,B87*60%-C87),IF(AND(ISNUMBER(AD87),B87&gt;AD87),IF(B87&lt;30000,0,IF(B87&lt;100000,MAX(0,(B87-AD87)*0.2),MAX(0,(B87-AD87)*0.3))),0)))</f>
        <v/>
      </c>
      <c r="Z86" s="9"/>
      <c r="AA86" s="5" t="str">
        <f aca="false">IF($A87="","",IF($AA$2&lt;&gt;"",$AA$2,""))</f>
        <v/>
      </c>
      <c r="AB86" s="9" t="str">
        <f aca="false">IF($A87="","",IF(B87&lt;30000,0.03,IF(B87&lt;100000,0.02,0.015)))</f>
        <v/>
      </c>
      <c r="AC86" s="21" t="str">
        <f aca="false">IF($A87="","",IFERROR(DATEDIF($A$2,$A87,"m"),0))</f>
        <v/>
      </c>
      <c r="AD86" s="18" t="str">
        <f aca="false">IF($A87="","",IF(OR(AA87="",AB87="",AC87=""),"",AA87*POWER(1+AB87,AC87)))</f>
        <v/>
      </c>
      <c r="AE86" s="29" t="str">
        <f aca="false">IF($A87="","",IF(OR(AD87="",AD87=0),"",B87/AD87-1))</f>
        <v/>
      </c>
      <c r="AG86" s="1" t="str">
        <f aca="false">IF($A87="","",IF(B87&lt;30000,"婴儿",IF(B87&lt;100000,"成长","成熟")))</f>
        <v/>
      </c>
      <c r="AH86" s="24"/>
      <c r="AJ86" s="24"/>
      <c r="AK86" s="24"/>
      <c r="AM86" s="24"/>
      <c r="AP86" s="15"/>
      <c r="AQ86" s="25" t="str">
        <f aca="false">IF($A87="","",B87-$AA$2-SUM($F$2:F87))</f>
        <v/>
      </c>
      <c r="AR86" s="1" t="str">
        <f aca="false">IF($A86="","",30000)</f>
        <v/>
      </c>
      <c r="AS86" s="1" t="str">
        <f aca="false">IF($A86="","",AR86-B86)</f>
        <v/>
      </c>
      <c r="AT86" s="1" t="str">
        <f aca="false">IF($A86="","",IFERROR(B86/AR86,0))</f>
        <v/>
      </c>
      <c r="AU86" s="1" t="str">
        <f aca="false">IF($A86="","",IFERROR(B86*O86,0))</f>
        <v/>
      </c>
      <c r="AV86" s="1" t="str">
        <f aca="false">IF($A86="","",IFERROR(C86/B86,0))</f>
        <v/>
      </c>
      <c r="AW86" s="1" t="str">
        <f aca="false">IF($A86="","",MAX(0,R86-S86))</f>
        <v/>
      </c>
      <c r="AX86" s="1" t="str">
        <f aca="false">IF($A86="","",IF(AW86&gt;0,"优先降持仓数",IF(C86&lt;=0,"现金不足","允许评估")))</f>
        <v/>
      </c>
      <c r="AY86" s="1" t="str">
        <f aca="false">IF($A86="","",IF(B86&lt;30000,"婴儿阶段: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6"/>
      <c r="B87" s="17"/>
      <c r="C87" s="17"/>
      <c r="D87" s="18" t="str">
        <f aca="false">IF($A88="","",SUMIFS(持仓表!$J:$J,持仓表!$A:$A,$A88))</f>
        <v/>
      </c>
      <c r="E87" s="19" t="n">
        <f aca="false">IFERROR(D88/B88,0)</f>
        <v>0</v>
      </c>
      <c r="F87" s="17"/>
      <c r="G87" s="18" t="str">
        <f aca="false">IF($B88="","",MAX($B$2:B88))</f>
        <v/>
      </c>
      <c r="H87" s="19" t="n">
        <f aca="false">IFERROR((B88-F88)/F88,0)</f>
        <v>0</v>
      </c>
      <c r="I87" s="19" t="n">
        <f aca="false">IFERROR((B88-G88)/G88,0)</f>
        <v>0</v>
      </c>
      <c r="J87" s="6"/>
      <c r="K87" s="13"/>
      <c r="L87" s="20"/>
      <c r="M87" s="20"/>
      <c r="N87" s="19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7" s="19" t="str">
        <f aca="false">IF($B88="","",IF(B88&lt;30000,35%,IF(B88&lt;50000,30%,IF(B88&lt;100000,25%,20%))))</f>
        <v/>
      </c>
      <c r="P87" s="21" t="str">
        <f aca="false">IF($A88="","",COUNTIFS(持仓表!$A:$A,$A88,持仓表!$G:$G,"&gt;0"))</f>
        <v/>
      </c>
      <c r="Q87" s="21" t="str">
        <f aca="false">IF($A88="","",COUNTIFS(持仓表!$A:$A,$A88,持仓表!$D:$D,"是",持仓表!$G:$G,"&gt;0"))</f>
        <v/>
      </c>
      <c r="R87" s="21" t="str">
        <f aca="false">IF($A88="","",MAX(0,P88-Q88))</f>
        <v/>
      </c>
      <c r="S87" s="21" t="str">
        <f aca="false">IF($B88="","",IF(B88&lt;50000,3,IF(B88&lt;100000,4,5)))</f>
        <v/>
      </c>
      <c r="T87" s="5" t="str">
        <f aca="false">IF($A88="","",IF(OR(M88&gt;=4,I88&lt;=-8%),"防守",IF(OR(M88&gt;=2,I88&lt;=-5%),"警戒","正常")))</f>
        <v/>
      </c>
      <c r="U87" s="5" t="str">
        <f aca="false">IF($A88="","",IF(AND(L88&gt;=3,M88&lt;=2,T88&lt;&gt;"防守"),"是","否"))</f>
        <v/>
      </c>
      <c r="V87" s="5" t="str">
        <f aca="false">IF($A88="","",IF(AND(E88&lt;N88,R88&lt;S88,M88&lt;=2,I88&gt;-15%),"是","否"))</f>
        <v/>
      </c>
      <c r="W87" s="5" t="str">
        <f aca="false">IF($A88="","",IF(OR(M88&gt;=3,I88&lt;=-15%),"是","否"))</f>
        <v/>
      </c>
      <c r="X87" s="18" t="str">
        <f aca="false">IF($A88="","",IFERROR(maxifs(候选池!$AB:$AB,候选池!$A:$A,$A88),0))</f>
        <v/>
      </c>
      <c r="Y87" s="18" t="str">
        <f aca="false">IF($A88="","",IF(OR(M88&gt;=4,I88&lt;=-8%),MAX(0,B88*60%-C88),IF(AND(ISNUMBER(AD88),B88&gt;AD88),IF(B88&lt;30000,0,IF(B88&lt;100000,MAX(0,(B88-AD88)*0.2),MAX(0,(B88-AD88)*0.3))),0)))</f>
        <v/>
      </c>
      <c r="Z87" s="6"/>
      <c r="AA87" s="5" t="str">
        <f aca="false">IF($A88="","",IF($AA$2&lt;&gt;"",$AA$2,""))</f>
        <v/>
      </c>
      <c r="AB87" s="6" t="str">
        <f aca="false">IF($A88="","",IF(B88&lt;30000,0.03,IF(B88&lt;100000,0.02,0.015)))</f>
        <v/>
      </c>
      <c r="AC87" s="21" t="str">
        <f aca="false">IF($A88="","",IFERROR(DATEDIF($A$2,$A88,"m"),0))</f>
        <v/>
      </c>
      <c r="AD87" s="18" t="str">
        <f aca="false">IF($A88="","",IF(OR(AA88="",AB88="",AC88=""),"",AA88*POWER(1+AB88,AC88)))</f>
        <v/>
      </c>
      <c r="AE87" s="23" t="str">
        <f aca="false">IF($A88="","",IF(OR(AD88="",AD88=0),"",B88/AD88-1))</f>
        <v/>
      </c>
      <c r="AG87" s="1" t="str">
        <f aca="false">IF($A88="","",IF(B88&lt;30000,"婴儿",IF(B88&lt;100000,"成长","成熟")))</f>
        <v/>
      </c>
      <c r="AH87" s="24"/>
      <c r="AJ87" s="24"/>
      <c r="AK87" s="24"/>
      <c r="AM87" s="24"/>
      <c r="AP87" s="15"/>
      <c r="AQ87" s="25" t="str">
        <f aca="false">IF($A88="","",B88-$AA$2-SUM($F$2:F88))</f>
        <v/>
      </c>
      <c r="AR87" s="1" t="str">
        <f aca="false">IF($A87="","",30000)</f>
        <v/>
      </c>
      <c r="AS87" s="1" t="str">
        <f aca="false">IF($A87="","",AR87-B87)</f>
        <v/>
      </c>
      <c r="AT87" s="1" t="str">
        <f aca="false">IF($A87="","",IFERROR(B87/AR87,0))</f>
        <v/>
      </c>
      <c r="AU87" s="1" t="str">
        <f aca="false">IF($A87="","",IFERROR(B87*O87,0))</f>
        <v/>
      </c>
      <c r="AV87" s="1" t="str">
        <f aca="false">IF($A87="","",IFERROR(C87/B87,0))</f>
        <v/>
      </c>
      <c r="AW87" s="1" t="str">
        <f aca="false">IF($A87="","",MAX(0,R87-S87))</f>
        <v/>
      </c>
      <c r="AX87" s="1" t="str">
        <f aca="false">IF($A87="","",IF(AW87&gt;0,"优先降持仓数",IF(C87&lt;=0,"现金不足","允许评估")))</f>
        <v/>
      </c>
      <c r="AY87" s="1" t="str">
        <f aca="false">IF($A87="","",IF(B87&lt;30000,"婴儿阶段: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9"/>
      <c r="B88" s="26"/>
      <c r="C88" s="26"/>
      <c r="D88" s="18" t="str">
        <f aca="false">IF($A89="","",SUMIFS(持仓表!$J:$J,持仓表!$A:$A,$A89))</f>
        <v/>
      </c>
      <c r="E88" s="19" t="n">
        <f aca="false">IFERROR(D89/B89,0)</f>
        <v>0</v>
      </c>
      <c r="F88" s="26"/>
      <c r="G88" s="18" t="str">
        <f aca="false">IF($B89="","",MAX($B$2:B89))</f>
        <v/>
      </c>
      <c r="H88" s="19" t="n">
        <f aca="false">IFERROR((B89-F89)/F89,0)</f>
        <v>0</v>
      </c>
      <c r="I88" s="19" t="n">
        <f aca="false">IFERROR((B89-G89)/G89,0)</f>
        <v>0</v>
      </c>
      <c r="J88" s="9"/>
      <c r="K88" s="14"/>
      <c r="L88" s="27"/>
      <c r="M88" s="27"/>
      <c r="N88" s="19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8" s="19" t="str">
        <f aca="false">IF($B89="","",IF(B89&lt;30000,35%,IF(B89&lt;50000,30%,IF(B89&lt;100000,25%,20%))))</f>
        <v/>
      </c>
      <c r="P88" s="21" t="str">
        <f aca="false">IF($A89="","",COUNTIFS(持仓表!$A:$A,$A89,持仓表!$G:$G,"&gt;0"))</f>
        <v/>
      </c>
      <c r="Q88" s="21" t="str">
        <f aca="false">IF($A89="","",COUNTIFS(持仓表!$A:$A,$A89,持仓表!$D:$D,"是",持仓表!$G:$G,"&gt;0"))</f>
        <v/>
      </c>
      <c r="R88" s="21" t="str">
        <f aca="false">IF($A89="","",MAX(0,P89-Q89))</f>
        <v/>
      </c>
      <c r="S88" s="21" t="str">
        <f aca="false">IF($B89="","",IF(B89&lt;50000,3,IF(B89&lt;100000,4,5)))</f>
        <v/>
      </c>
      <c r="T88" s="5" t="str">
        <f aca="false">IF($A89="","",IF(OR(M89&gt;=4,I89&lt;=-8%),"防守",IF(OR(M89&gt;=2,I89&lt;=-5%),"警戒","正常")))</f>
        <v/>
      </c>
      <c r="U88" s="5" t="str">
        <f aca="false">IF($A89="","",IF(AND(L89&gt;=3,M89&lt;=2,T89&lt;&gt;"防守"),"是","否"))</f>
        <v/>
      </c>
      <c r="V88" s="5" t="str">
        <f aca="false">IF($A89="","",IF(AND(E89&lt;N89,R89&lt;S89,M89&lt;=2,I89&gt;-15%),"是","否"))</f>
        <v/>
      </c>
      <c r="W88" s="5" t="str">
        <f aca="false">IF($A89="","",IF(OR(M89&gt;=3,I89&lt;=-15%),"是","否"))</f>
        <v/>
      </c>
      <c r="X88" s="18" t="str">
        <f aca="false">IF($A89="","",IFERROR(maxifs(候选池!$AB:$AB,候选池!$A:$A,$A89),0))</f>
        <v/>
      </c>
      <c r="Y88" s="18" t="str">
        <f aca="false">IF($A89="","",IF(OR(M89&gt;=4,I89&lt;=-8%),MAX(0,B89*60%-C89),IF(AND(ISNUMBER(AD89),B89&gt;AD89),IF(B89&lt;30000,0,IF(B89&lt;100000,MAX(0,(B89-AD89)*0.2),MAX(0,(B89-AD89)*0.3))),0)))</f>
        <v/>
      </c>
      <c r="Z88" s="9"/>
      <c r="AA88" s="5" t="str">
        <f aca="false">IF($A89="","",IF($AA$2&lt;&gt;"",$AA$2,""))</f>
        <v/>
      </c>
      <c r="AB88" s="9" t="str">
        <f aca="false">IF($A89="","",IF(B89&lt;30000,0.03,IF(B89&lt;100000,0.02,0.015)))</f>
        <v/>
      </c>
      <c r="AC88" s="21" t="str">
        <f aca="false">IF($A89="","",IFERROR(DATEDIF($A$2,$A89,"m"),0))</f>
        <v/>
      </c>
      <c r="AD88" s="18" t="str">
        <f aca="false">IF($A89="","",IF(OR(AA89="",AB89="",AC89=""),"",AA89*POWER(1+AB89,AC89)))</f>
        <v/>
      </c>
      <c r="AE88" s="29" t="str">
        <f aca="false">IF($A89="","",IF(OR(AD89="",AD89=0),"",B89/AD89-1))</f>
        <v/>
      </c>
      <c r="AG88" s="1" t="str">
        <f aca="false">IF($A89="","",IF(B89&lt;30000,"婴儿",IF(B89&lt;100000,"成长","成熟")))</f>
        <v/>
      </c>
      <c r="AH88" s="24"/>
      <c r="AJ88" s="24"/>
      <c r="AK88" s="24"/>
      <c r="AM88" s="24"/>
      <c r="AP88" s="15"/>
      <c r="AQ88" s="25" t="str">
        <f aca="false">IF($A89="","",B89-$AA$2-SUM($F$2:F89))</f>
        <v/>
      </c>
      <c r="AR88" s="1" t="str">
        <f aca="false">IF($A88="","",30000)</f>
        <v/>
      </c>
      <c r="AS88" s="1" t="str">
        <f aca="false">IF($A88="","",AR88-B88)</f>
        <v/>
      </c>
      <c r="AT88" s="1" t="str">
        <f aca="false">IF($A88="","",IFERROR(B88/AR88,0))</f>
        <v/>
      </c>
      <c r="AU88" s="1" t="str">
        <f aca="false">IF($A88="","",IFERROR(B88*O88,0))</f>
        <v/>
      </c>
      <c r="AV88" s="1" t="str">
        <f aca="false">IF($A88="","",IFERROR(C88/B88,0))</f>
        <v/>
      </c>
      <c r="AW88" s="1" t="str">
        <f aca="false">IF($A88="","",MAX(0,R88-S88))</f>
        <v/>
      </c>
      <c r="AX88" s="1" t="str">
        <f aca="false">IF($A88="","",IF(AW88&gt;0,"优先降持仓数",IF(C88&lt;=0,"现金不足","允许评估")))</f>
        <v/>
      </c>
      <c r="AY88" s="1" t="str">
        <f aca="false">IF($A88="","",IF(B88&lt;30000,"婴儿阶段: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6"/>
      <c r="B89" s="17"/>
      <c r="C89" s="17"/>
      <c r="D89" s="18" t="str">
        <f aca="false">IF($A90="","",SUMIFS(持仓表!$J:$J,持仓表!$A:$A,$A90))</f>
        <v/>
      </c>
      <c r="E89" s="19" t="n">
        <f aca="false">IFERROR(D90/B90,0)</f>
        <v>0</v>
      </c>
      <c r="F89" s="17"/>
      <c r="G89" s="18" t="str">
        <f aca="false">IF($B90="","",MAX($B$2:B90))</f>
        <v/>
      </c>
      <c r="H89" s="19" t="n">
        <f aca="false">IFERROR((B90-F90)/F90,0)</f>
        <v>0</v>
      </c>
      <c r="I89" s="19" t="n">
        <f aca="false">IFERROR((B90-G90)/G90,0)</f>
        <v>0</v>
      </c>
      <c r="J89" s="6"/>
      <c r="K89" s="13"/>
      <c r="L89" s="20"/>
      <c r="M89" s="20"/>
      <c r="N89" s="19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9" s="19" t="str">
        <f aca="false">IF($B90="","",IF(B90&lt;30000,35%,IF(B90&lt;50000,30%,IF(B90&lt;100000,25%,20%))))</f>
        <v/>
      </c>
      <c r="P89" s="21" t="str">
        <f aca="false">IF($A90="","",COUNTIFS(持仓表!$A:$A,$A90,持仓表!$G:$G,"&gt;0"))</f>
        <v/>
      </c>
      <c r="Q89" s="21" t="str">
        <f aca="false">IF($A90="","",COUNTIFS(持仓表!$A:$A,$A90,持仓表!$D:$D,"是",持仓表!$G:$G,"&gt;0"))</f>
        <v/>
      </c>
      <c r="R89" s="21" t="str">
        <f aca="false">IF($A90="","",MAX(0,P90-Q90))</f>
        <v/>
      </c>
      <c r="S89" s="21" t="str">
        <f aca="false">IF($B90="","",IF(B90&lt;50000,3,IF(B90&lt;100000,4,5)))</f>
        <v/>
      </c>
      <c r="T89" s="5" t="str">
        <f aca="false">IF($A90="","",IF(OR(M90&gt;=4,I90&lt;=-8%),"防守",IF(OR(M90&gt;=2,I90&lt;=-5%),"警戒","正常")))</f>
        <v/>
      </c>
      <c r="U89" s="5" t="str">
        <f aca="false">IF($A90="","",IF(AND(L90&gt;=3,M90&lt;=2,T90&lt;&gt;"防守"),"是","否"))</f>
        <v/>
      </c>
      <c r="V89" s="5" t="str">
        <f aca="false">IF($A90="","",IF(AND(E90&lt;N90,R90&lt;S90,M90&lt;=2,I90&gt;-15%),"是","否"))</f>
        <v/>
      </c>
      <c r="W89" s="5" t="str">
        <f aca="false">IF($A90="","",IF(OR(M90&gt;=3,I90&lt;=-15%),"是","否"))</f>
        <v/>
      </c>
      <c r="X89" s="18" t="str">
        <f aca="false">IF($A90="","",IFERROR(maxifs(候选池!$AB:$AB,候选池!$A:$A,$A90),0))</f>
        <v/>
      </c>
      <c r="Y89" s="18" t="str">
        <f aca="false">IF($A90="","",IF(OR(M90&gt;=4,I90&lt;=-8%),MAX(0,B90*60%-C90),IF(AND(ISNUMBER(AD90),B90&gt;AD90),IF(B90&lt;30000,0,IF(B90&lt;100000,MAX(0,(B90-AD90)*0.2),MAX(0,(B90-AD90)*0.3))),0)))</f>
        <v/>
      </c>
      <c r="Z89" s="6"/>
      <c r="AA89" s="5" t="str">
        <f aca="false">IF($A90="","",IF($AA$2&lt;&gt;"",$AA$2,""))</f>
        <v/>
      </c>
      <c r="AB89" s="6" t="str">
        <f aca="false">IF($A90="","",IF(B90&lt;30000,0.03,IF(B90&lt;100000,0.02,0.015)))</f>
        <v/>
      </c>
      <c r="AC89" s="21" t="str">
        <f aca="false">IF($A90="","",IFERROR(DATEDIF($A$2,$A90,"m"),0))</f>
        <v/>
      </c>
      <c r="AD89" s="18" t="str">
        <f aca="false">IF($A90="","",IF(OR(AA90="",AB90="",AC90=""),"",AA90*POWER(1+AB90,AC90)))</f>
        <v/>
      </c>
      <c r="AE89" s="23" t="str">
        <f aca="false">IF($A90="","",IF(OR(AD90="",AD90=0),"",B90/AD90-1))</f>
        <v/>
      </c>
      <c r="AG89" s="1" t="str">
        <f aca="false">IF($A90="","",IF(B90&lt;30000,"婴儿",IF(B90&lt;100000,"成长","成熟")))</f>
        <v/>
      </c>
      <c r="AH89" s="24"/>
      <c r="AJ89" s="24"/>
      <c r="AK89" s="24"/>
      <c r="AM89" s="24"/>
      <c r="AP89" s="15"/>
      <c r="AQ89" s="25" t="str">
        <f aca="false">IF($A90="","",B90-$AA$2-SUM($F$2:F90))</f>
        <v/>
      </c>
      <c r="AR89" s="1" t="str">
        <f aca="false">IF($A89="","",30000)</f>
        <v/>
      </c>
      <c r="AS89" s="1" t="str">
        <f aca="false">IF($A89="","",AR89-B89)</f>
        <v/>
      </c>
      <c r="AT89" s="1" t="str">
        <f aca="false">IF($A89="","",IFERROR(B89/AR89,0))</f>
        <v/>
      </c>
      <c r="AU89" s="1" t="str">
        <f aca="false">IF($A89="","",IFERROR(B89*O89,0))</f>
        <v/>
      </c>
      <c r="AV89" s="1" t="str">
        <f aca="false">IF($A89="","",IFERROR(C89/B89,0))</f>
        <v/>
      </c>
      <c r="AW89" s="1" t="str">
        <f aca="false">IF($A89="","",MAX(0,R89-S89))</f>
        <v/>
      </c>
      <c r="AX89" s="1" t="str">
        <f aca="false">IF($A89="","",IF(AW89&gt;0,"优先降持仓数",IF(C89&lt;=0,"现金不足","允许评估")))</f>
        <v/>
      </c>
      <c r="AY89" s="1" t="str">
        <f aca="false">IF($A89="","",IF(B89&lt;30000,"婴儿阶段: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9"/>
      <c r="B90" s="26"/>
      <c r="C90" s="26"/>
      <c r="D90" s="18" t="str">
        <f aca="false">IF($A91="","",SUMIFS(持仓表!$J:$J,持仓表!$A:$A,$A91))</f>
        <v/>
      </c>
      <c r="E90" s="19" t="n">
        <f aca="false">IFERROR(D91/B91,0)</f>
        <v>0</v>
      </c>
      <c r="F90" s="26"/>
      <c r="G90" s="18" t="str">
        <f aca="false">IF($B91="","",MAX($B$2:B91))</f>
        <v/>
      </c>
      <c r="H90" s="19" t="n">
        <f aca="false">IFERROR((B91-F91)/F91,0)</f>
        <v>0</v>
      </c>
      <c r="I90" s="19" t="n">
        <f aca="false">IFERROR((B91-G91)/G91,0)</f>
        <v>0</v>
      </c>
      <c r="J90" s="9"/>
      <c r="K90" s="14"/>
      <c r="L90" s="27"/>
      <c r="M90" s="27"/>
      <c r="N90" s="19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90" s="19" t="str">
        <f aca="false">IF($B91="","",IF(B91&lt;30000,35%,IF(B91&lt;50000,30%,IF(B91&lt;100000,25%,20%))))</f>
        <v/>
      </c>
      <c r="P90" s="21" t="str">
        <f aca="false">IF($A91="","",COUNTIFS(持仓表!$A:$A,$A91,持仓表!$G:$G,"&gt;0"))</f>
        <v/>
      </c>
      <c r="Q90" s="21" t="str">
        <f aca="false">IF($A91="","",COUNTIFS(持仓表!$A:$A,$A91,持仓表!$D:$D,"是",持仓表!$G:$G,"&gt;0"))</f>
        <v/>
      </c>
      <c r="R90" s="21" t="str">
        <f aca="false">IF($A91="","",MAX(0,P91-Q91))</f>
        <v/>
      </c>
      <c r="S90" s="21" t="str">
        <f aca="false">IF($B91="","",IF(B91&lt;50000,3,IF(B91&lt;100000,4,5)))</f>
        <v/>
      </c>
      <c r="T90" s="5" t="str">
        <f aca="false">IF($A91="","",IF(OR(M91&gt;=4,I91&lt;=-8%),"防守",IF(OR(M91&gt;=2,I91&lt;=-5%),"警戒","正常")))</f>
        <v/>
      </c>
      <c r="U90" s="5" t="str">
        <f aca="false">IF($A91="","",IF(AND(L91&gt;=3,M91&lt;=2,T91&lt;&gt;"防守"),"是","否"))</f>
        <v/>
      </c>
      <c r="V90" s="5" t="str">
        <f aca="false">IF($A91="","",IF(AND(E91&lt;N91,R91&lt;S91,M91&lt;=2,I91&gt;-15%),"是","否"))</f>
        <v/>
      </c>
      <c r="W90" s="5" t="str">
        <f aca="false">IF($A91="","",IF(OR(M91&gt;=3,I91&lt;=-15%),"是","否"))</f>
        <v/>
      </c>
      <c r="X90" s="18" t="str">
        <f aca="false">IF($A91="","",IFERROR(maxifs(候选池!$AB:$AB,候选池!$A:$A,$A91),0))</f>
        <v/>
      </c>
      <c r="Y90" s="18" t="str">
        <f aca="false">IF($A91="","",IF(OR(M91&gt;=4,I91&lt;=-8%),MAX(0,B91*60%-C91),IF(AND(ISNUMBER(AD91),B91&gt;AD91),IF(B91&lt;30000,0,IF(B91&lt;100000,MAX(0,(B91-AD91)*0.2),MAX(0,(B91-AD91)*0.3))),0)))</f>
        <v/>
      </c>
      <c r="Z90" s="9"/>
      <c r="AA90" s="5" t="str">
        <f aca="false">IF($A91="","",IF($AA$2&lt;&gt;"",$AA$2,""))</f>
        <v/>
      </c>
      <c r="AB90" s="9" t="str">
        <f aca="false">IF($A91="","",IF(B91&lt;30000,0.03,IF(B91&lt;100000,0.02,0.015)))</f>
        <v/>
      </c>
      <c r="AC90" s="21" t="str">
        <f aca="false">IF($A91="","",IFERROR(DATEDIF($A$2,$A91,"m"),0))</f>
        <v/>
      </c>
      <c r="AD90" s="18" t="str">
        <f aca="false">IF($A91="","",IF(OR(AA91="",AB91="",AC91=""),"",AA91*POWER(1+AB91,AC91)))</f>
        <v/>
      </c>
      <c r="AE90" s="29" t="str">
        <f aca="false">IF($A91="","",IF(OR(AD91="",AD91=0),"",B91/AD91-1))</f>
        <v/>
      </c>
      <c r="AG90" s="1" t="str">
        <f aca="false">IF($A91="","",IF(B91&lt;30000,"婴儿",IF(B91&lt;100000,"成长","成熟")))</f>
        <v/>
      </c>
      <c r="AH90" s="24"/>
      <c r="AJ90" s="24"/>
      <c r="AK90" s="24"/>
      <c r="AM90" s="24"/>
      <c r="AP90" s="15"/>
      <c r="AQ90" s="25" t="str">
        <f aca="false">IF($A91="","",B91-$AA$2-SUM($F$2:F91))</f>
        <v/>
      </c>
      <c r="AR90" s="1" t="str">
        <f aca="false">IF($A90="","",30000)</f>
        <v/>
      </c>
      <c r="AS90" s="1" t="str">
        <f aca="false">IF($A90="","",AR90-B90)</f>
        <v/>
      </c>
      <c r="AT90" s="1" t="str">
        <f aca="false">IF($A90="","",IFERROR(B90/AR90,0))</f>
        <v/>
      </c>
      <c r="AU90" s="1" t="str">
        <f aca="false">IF($A90="","",IFERROR(B90*O90,0))</f>
        <v/>
      </c>
      <c r="AV90" s="1" t="str">
        <f aca="false">IF($A90="","",IFERROR(C90/B90,0))</f>
        <v/>
      </c>
      <c r="AW90" s="1" t="str">
        <f aca="false">IF($A90="","",MAX(0,R90-S90))</f>
        <v/>
      </c>
      <c r="AX90" s="1" t="str">
        <f aca="false">IF($A90="","",IF(AW90&gt;0,"优先降持仓数",IF(C90&lt;=0,"现金不足","允许评估")))</f>
        <v/>
      </c>
      <c r="AY90" s="1" t="str">
        <f aca="false">IF($A90="","",IF(B90&lt;30000,"婴儿阶段: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6"/>
      <c r="B91" s="17"/>
      <c r="C91" s="17"/>
      <c r="D91" s="18" t="str">
        <f aca="false">IF($A92="","",SUMIFS(持仓表!$J:$J,持仓表!$A:$A,$A92))</f>
        <v/>
      </c>
      <c r="E91" s="19" t="n">
        <f aca="false">IFERROR(D92/B92,0)</f>
        <v>0</v>
      </c>
      <c r="F91" s="17"/>
      <c r="G91" s="18" t="str">
        <f aca="false">IF($B92="","",MAX($B$2:B92))</f>
        <v/>
      </c>
      <c r="H91" s="19" t="n">
        <f aca="false">IFERROR((B92-F92)/F92,0)</f>
        <v>0</v>
      </c>
      <c r="I91" s="19" t="n">
        <f aca="false">IFERROR((B92-G92)/G92,0)</f>
        <v>0</v>
      </c>
      <c r="J91" s="6"/>
      <c r="K91" s="13"/>
      <c r="L91" s="20"/>
      <c r="M91" s="20"/>
      <c r="N91" s="19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91" s="19" t="str">
        <f aca="false">IF($B92="","",IF(B92&lt;30000,35%,IF(B92&lt;50000,30%,IF(B92&lt;100000,25%,20%))))</f>
        <v/>
      </c>
      <c r="P91" s="21" t="str">
        <f aca="false">IF($A92="","",COUNTIFS(持仓表!$A:$A,$A92,持仓表!$G:$G,"&gt;0"))</f>
        <v/>
      </c>
      <c r="Q91" s="21" t="str">
        <f aca="false">IF($A92="","",COUNTIFS(持仓表!$A:$A,$A92,持仓表!$D:$D,"是",持仓表!$G:$G,"&gt;0"))</f>
        <v/>
      </c>
      <c r="R91" s="21" t="str">
        <f aca="false">IF($A92="","",MAX(0,P92-Q92))</f>
        <v/>
      </c>
      <c r="S91" s="21" t="str">
        <f aca="false">IF($B92="","",IF(B92&lt;50000,3,IF(B92&lt;100000,4,5)))</f>
        <v/>
      </c>
      <c r="T91" s="5" t="str">
        <f aca="false">IF($A92="","",IF(OR(M92&gt;=4,I92&lt;=-8%),"防守",IF(OR(M92&gt;=2,I92&lt;=-5%),"警戒","正常")))</f>
        <v/>
      </c>
      <c r="U91" s="5" t="str">
        <f aca="false">IF($A92="","",IF(AND(L92&gt;=3,M92&lt;=2,T92&lt;&gt;"防守"),"是","否"))</f>
        <v/>
      </c>
      <c r="V91" s="5" t="str">
        <f aca="false">IF($A92="","",IF(AND(E92&lt;N92,R92&lt;S92,M92&lt;=2,I92&gt;-15%),"是","否"))</f>
        <v/>
      </c>
      <c r="W91" s="5" t="str">
        <f aca="false">IF($A92="","",IF(OR(M92&gt;=3,I92&lt;=-15%),"是","否"))</f>
        <v/>
      </c>
      <c r="X91" s="18" t="str">
        <f aca="false">IF($A92="","",IFERROR(maxifs(候选池!$AB:$AB,候选池!$A:$A,$A92),0))</f>
        <v/>
      </c>
      <c r="Y91" s="18" t="str">
        <f aca="false">IF($A92="","",IF(OR(M92&gt;=4,I92&lt;=-8%),MAX(0,B92*60%-C92),IF(AND(ISNUMBER(AD92),B92&gt;AD92),IF(B92&lt;30000,0,IF(B92&lt;100000,MAX(0,(B92-AD92)*0.2),MAX(0,(B92-AD92)*0.3))),0)))</f>
        <v/>
      </c>
      <c r="Z91" s="6"/>
      <c r="AA91" s="5" t="str">
        <f aca="false">IF($A92="","",IF($AA$2&lt;&gt;"",$AA$2,""))</f>
        <v/>
      </c>
      <c r="AB91" s="6" t="str">
        <f aca="false">IF($A92="","",IF(B92&lt;30000,0.03,IF(B92&lt;100000,0.02,0.015)))</f>
        <v/>
      </c>
      <c r="AC91" s="21" t="str">
        <f aca="false">IF($A92="","",IFERROR(DATEDIF($A$2,$A92,"m"),0))</f>
        <v/>
      </c>
      <c r="AD91" s="18" t="str">
        <f aca="false">IF($A92="","",IF(OR(AA92="",AB92="",AC92=""),"",AA92*POWER(1+AB92,AC92)))</f>
        <v/>
      </c>
      <c r="AE91" s="23" t="str">
        <f aca="false">IF($A92="","",IF(OR(AD92="",AD92=0),"",B92/AD92-1))</f>
        <v/>
      </c>
      <c r="AG91" s="1" t="str">
        <f aca="false">IF($A92="","",IF(B92&lt;30000,"婴儿",IF(B92&lt;100000,"成长","成熟")))</f>
        <v/>
      </c>
      <c r="AH91" s="24"/>
      <c r="AJ91" s="24"/>
      <c r="AK91" s="24"/>
      <c r="AM91" s="24"/>
      <c r="AP91" s="15"/>
      <c r="AQ91" s="25" t="str">
        <f aca="false">IF($A92="","",B92-$AA$2-SUM($F$2:F92))</f>
        <v/>
      </c>
      <c r="AR91" s="1" t="str">
        <f aca="false">IF($A91="","",30000)</f>
        <v/>
      </c>
      <c r="AS91" s="1" t="str">
        <f aca="false">IF($A91="","",AR91-B91)</f>
        <v/>
      </c>
      <c r="AT91" s="1" t="str">
        <f aca="false">IF($A91="","",IFERROR(B91/AR91,0))</f>
        <v/>
      </c>
      <c r="AU91" s="1" t="str">
        <f aca="false">IF($A91="","",IFERROR(B91*O91,0))</f>
        <v/>
      </c>
      <c r="AV91" s="1" t="str">
        <f aca="false">IF($A91="","",IFERROR(C91/B91,0))</f>
        <v/>
      </c>
      <c r="AW91" s="1" t="str">
        <f aca="false">IF($A91="","",MAX(0,R91-S91))</f>
        <v/>
      </c>
      <c r="AX91" s="1" t="str">
        <f aca="false">IF($A91="","",IF(AW91&gt;0,"优先降持仓数",IF(C91&lt;=0,"现金不足","允许评估")))</f>
        <v/>
      </c>
      <c r="AY91" s="1" t="str">
        <f aca="false">IF($A91="","",IF(B91&lt;30000,"婴儿阶段: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9"/>
      <c r="B92" s="26"/>
      <c r="C92" s="26"/>
      <c r="D92" s="18" t="str">
        <f aca="false">IF($A93="","",SUMIFS(持仓表!$J:$J,持仓表!$A:$A,$A93))</f>
        <v/>
      </c>
      <c r="E92" s="19" t="n">
        <f aca="false">IFERROR(D93/B93,0)</f>
        <v>0</v>
      </c>
      <c r="F92" s="26"/>
      <c r="G92" s="18" t="str">
        <f aca="false">IF($B93="","",MAX($B$2:B93))</f>
        <v/>
      </c>
      <c r="H92" s="19" t="n">
        <f aca="false">IFERROR((B93-F93)/F93,0)</f>
        <v>0</v>
      </c>
      <c r="I92" s="19" t="n">
        <f aca="false">IFERROR((B93-G93)/G93,0)</f>
        <v>0</v>
      </c>
      <c r="J92" s="9"/>
      <c r="K92" s="14"/>
      <c r="L92" s="27"/>
      <c r="M92" s="27"/>
      <c r="N92" s="19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92" s="19" t="str">
        <f aca="false">IF($B93="","",IF(B93&lt;30000,35%,IF(B93&lt;50000,30%,IF(B93&lt;100000,25%,20%))))</f>
        <v/>
      </c>
      <c r="P92" s="21" t="str">
        <f aca="false">IF($A93="","",COUNTIFS(持仓表!$A:$A,$A93,持仓表!$G:$G,"&gt;0"))</f>
        <v/>
      </c>
      <c r="Q92" s="21" t="str">
        <f aca="false">IF($A93="","",COUNTIFS(持仓表!$A:$A,$A93,持仓表!$D:$D,"是",持仓表!$G:$G,"&gt;0"))</f>
        <v/>
      </c>
      <c r="R92" s="21" t="str">
        <f aca="false">IF($A93="","",MAX(0,P93-Q93))</f>
        <v/>
      </c>
      <c r="S92" s="21" t="str">
        <f aca="false">IF($B93="","",IF(B93&lt;50000,3,IF(B93&lt;100000,4,5)))</f>
        <v/>
      </c>
      <c r="T92" s="5" t="str">
        <f aca="false">IF($A93="","",IF(OR(M93&gt;=4,I93&lt;=-8%),"防守",IF(OR(M93&gt;=2,I93&lt;=-5%),"警戒","正常")))</f>
        <v/>
      </c>
      <c r="U92" s="5" t="str">
        <f aca="false">IF($A93="","",IF(AND(L93&gt;=3,M93&lt;=2,T93&lt;&gt;"防守"),"是","否"))</f>
        <v/>
      </c>
      <c r="V92" s="5" t="str">
        <f aca="false">IF($A93="","",IF(AND(E93&lt;N93,R93&lt;S93,M93&lt;=2,I93&gt;-15%),"是","否"))</f>
        <v/>
      </c>
      <c r="W92" s="5" t="str">
        <f aca="false">IF($A93="","",IF(OR(M93&gt;=3,I93&lt;=-15%),"是","否"))</f>
        <v/>
      </c>
      <c r="X92" s="18" t="str">
        <f aca="false">IF($A93="","",IFERROR(maxifs(候选池!$AB:$AB,候选池!$A:$A,$A93),0))</f>
        <v/>
      </c>
      <c r="Y92" s="18" t="str">
        <f aca="false">IF($A93="","",IF(OR(M93&gt;=4,I93&lt;=-8%),MAX(0,B93*60%-C93),IF(AND(ISNUMBER(AD93),B93&gt;AD93),IF(B93&lt;30000,0,IF(B93&lt;100000,MAX(0,(B93-AD93)*0.2),MAX(0,(B93-AD93)*0.3))),0)))</f>
        <v/>
      </c>
      <c r="Z92" s="9"/>
      <c r="AA92" s="5" t="str">
        <f aca="false">IF($A93="","",IF($AA$2&lt;&gt;"",$AA$2,""))</f>
        <v/>
      </c>
      <c r="AB92" s="9" t="str">
        <f aca="false">IF($A93="","",IF(B93&lt;30000,0.03,IF(B93&lt;100000,0.02,0.015)))</f>
        <v/>
      </c>
      <c r="AC92" s="21" t="str">
        <f aca="false">IF($A93="","",IFERROR(DATEDIF($A$2,$A93,"m"),0))</f>
        <v/>
      </c>
      <c r="AD92" s="18" t="str">
        <f aca="false">IF($A93="","",IF(OR(AA93="",AB93="",AC93=""),"",AA93*POWER(1+AB93,AC93)))</f>
        <v/>
      </c>
      <c r="AE92" s="29" t="str">
        <f aca="false">IF($A93="","",IF(OR(AD93="",AD93=0),"",B93/AD93-1))</f>
        <v/>
      </c>
      <c r="AG92" s="1" t="str">
        <f aca="false">IF($A93="","",IF(B93&lt;30000,"婴儿",IF(B93&lt;100000,"成长","成熟")))</f>
        <v/>
      </c>
      <c r="AH92" s="24"/>
      <c r="AJ92" s="24"/>
      <c r="AK92" s="24"/>
      <c r="AM92" s="24"/>
      <c r="AP92" s="15"/>
      <c r="AQ92" s="25" t="str">
        <f aca="false">IF($A93="","",B93-$AA$2-SUM($F$2:F93))</f>
        <v/>
      </c>
      <c r="AR92" s="1" t="str">
        <f aca="false">IF($A92="","",30000)</f>
        <v/>
      </c>
      <c r="AS92" s="1" t="str">
        <f aca="false">IF($A92="","",AR92-B92)</f>
        <v/>
      </c>
      <c r="AT92" s="1" t="str">
        <f aca="false">IF($A92="","",IFERROR(B92/AR92,0))</f>
        <v/>
      </c>
      <c r="AU92" s="1" t="str">
        <f aca="false">IF($A92="","",IFERROR(B92*O92,0))</f>
        <v/>
      </c>
      <c r="AV92" s="1" t="str">
        <f aca="false">IF($A92="","",IFERROR(C92/B92,0))</f>
        <v/>
      </c>
      <c r="AW92" s="1" t="str">
        <f aca="false">IF($A92="","",MAX(0,R92-S92))</f>
        <v/>
      </c>
      <c r="AX92" s="1" t="str">
        <f aca="false">IF($A92="","",IF(AW92&gt;0,"优先降持仓数",IF(C92&lt;=0,"现金不足","允许评估")))</f>
        <v/>
      </c>
      <c r="AY92" s="1" t="str">
        <f aca="false">IF($A92="","",IF(B92&lt;30000,"婴儿阶段: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6"/>
      <c r="B93" s="17"/>
      <c r="C93" s="17"/>
      <c r="D93" s="18" t="str">
        <f aca="false">IF($A94="","",SUMIFS(持仓表!$J:$J,持仓表!$A:$A,$A94))</f>
        <v/>
      </c>
      <c r="E93" s="19" t="n">
        <f aca="false">IFERROR(D94/B94,0)</f>
        <v>0</v>
      </c>
      <c r="F93" s="17"/>
      <c r="G93" s="18" t="str">
        <f aca="false">IF($B94="","",MAX($B$2:B94))</f>
        <v/>
      </c>
      <c r="H93" s="19" t="n">
        <f aca="false">IFERROR((B94-F94)/F94,0)</f>
        <v>0</v>
      </c>
      <c r="I93" s="19" t="n">
        <f aca="false">IFERROR((B94-G94)/G94,0)</f>
        <v>0</v>
      </c>
      <c r="J93" s="6"/>
      <c r="K93" s="13"/>
      <c r="L93" s="20"/>
      <c r="M93" s="20"/>
      <c r="N93" s="19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93" s="19" t="str">
        <f aca="false">IF($B94="","",IF(B94&lt;30000,35%,IF(B94&lt;50000,30%,IF(B94&lt;100000,25%,20%))))</f>
        <v/>
      </c>
      <c r="P93" s="21" t="str">
        <f aca="false">IF($A94="","",COUNTIFS(持仓表!$A:$A,$A94,持仓表!$G:$G,"&gt;0"))</f>
        <v/>
      </c>
      <c r="Q93" s="21" t="str">
        <f aca="false">IF($A94="","",COUNTIFS(持仓表!$A:$A,$A94,持仓表!$D:$D,"是",持仓表!$G:$G,"&gt;0"))</f>
        <v/>
      </c>
      <c r="R93" s="21" t="str">
        <f aca="false">IF($A94="","",MAX(0,P94-Q94))</f>
        <v/>
      </c>
      <c r="S93" s="21" t="str">
        <f aca="false">IF($B94="","",IF(B94&lt;50000,3,IF(B94&lt;100000,4,5)))</f>
        <v/>
      </c>
      <c r="T93" s="5" t="str">
        <f aca="false">IF($A94="","",IF(OR(M94&gt;=4,I94&lt;=-8%),"防守",IF(OR(M94&gt;=2,I94&lt;=-5%),"警戒","正常")))</f>
        <v/>
      </c>
      <c r="U93" s="5" t="str">
        <f aca="false">IF($A94="","",IF(AND(L94&gt;=3,M94&lt;=2,T94&lt;&gt;"防守"),"是","否"))</f>
        <v/>
      </c>
      <c r="V93" s="5" t="str">
        <f aca="false">IF($A94="","",IF(AND(E94&lt;N94,R94&lt;S94,M94&lt;=2,I94&gt;-15%),"是","否"))</f>
        <v/>
      </c>
      <c r="W93" s="5" t="str">
        <f aca="false">IF($A94="","",IF(OR(M94&gt;=3,I94&lt;=-15%),"是","否"))</f>
        <v/>
      </c>
      <c r="X93" s="18" t="str">
        <f aca="false">IF($A94="","",IFERROR(maxifs(候选池!$AB:$AB,候选池!$A:$A,$A94),0))</f>
        <v/>
      </c>
      <c r="Y93" s="18" t="str">
        <f aca="false">IF($A94="","",IF(OR(M94&gt;=4,I94&lt;=-8%),MAX(0,B94*60%-C94),IF(AND(ISNUMBER(AD94),B94&gt;AD94),IF(B94&lt;30000,0,IF(B94&lt;100000,MAX(0,(B94-AD94)*0.2),MAX(0,(B94-AD94)*0.3))),0)))</f>
        <v/>
      </c>
      <c r="Z93" s="6"/>
      <c r="AA93" s="5" t="str">
        <f aca="false">IF($A94="","",IF($AA$2&lt;&gt;"",$AA$2,""))</f>
        <v/>
      </c>
      <c r="AB93" s="6" t="str">
        <f aca="false">IF($A94="","",IF(B94&lt;30000,0.03,IF(B94&lt;100000,0.02,0.015)))</f>
        <v/>
      </c>
      <c r="AC93" s="21" t="str">
        <f aca="false">IF($A94="","",IFERROR(DATEDIF($A$2,$A94,"m"),0))</f>
        <v/>
      </c>
      <c r="AD93" s="18" t="str">
        <f aca="false">IF($A94="","",IF(OR(AA94="",AB94="",AC94=""),"",AA94*POWER(1+AB94,AC94)))</f>
        <v/>
      </c>
      <c r="AE93" s="23" t="str">
        <f aca="false">IF($A94="","",IF(OR(AD94="",AD94=0),"",B94/AD94-1))</f>
        <v/>
      </c>
      <c r="AG93" s="1" t="str">
        <f aca="false">IF($A94="","",IF(B94&lt;30000,"婴儿",IF(B94&lt;100000,"成长","成熟")))</f>
        <v/>
      </c>
      <c r="AH93" s="24"/>
      <c r="AJ93" s="24"/>
      <c r="AK93" s="24"/>
      <c r="AM93" s="24"/>
      <c r="AP93" s="15"/>
      <c r="AQ93" s="25" t="str">
        <f aca="false">IF($A94="","",B94-$AA$2-SUM($F$2:F94))</f>
        <v/>
      </c>
      <c r="AR93" s="1" t="str">
        <f aca="false">IF($A93="","",30000)</f>
        <v/>
      </c>
      <c r="AS93" s="1" t="str">
        <f aca="false">IF($A93="","",AR93-B93)</f>
        <v/>
      </c>
      <c r="AT93" s="1" t="str">
        <f aca="false">IF($A93="","",IFERROR(B93/AR93,0))</f>
        <v/>
      </c>
      <c r="AU93" s="1" t="str">
        <f aca="false">IF($A93="","",IFERROR(B93*O93,0))</f>
        <v/>
      </c>
      <c r="AV93" s="1" t="str">
        <f aca="false">IF($A93="","",IFERROR(C93/B93,0))</f>
        <v/>
      </c>
      <c r="AW93" s="1" t="str">
        <f aca="false">IF($A93="","",MAX(0,R93-S93))</f>
        <v/>
      </c>
      <c r="AX93" s="1" t="str">
        <f aca="false">IF($A93="","",IF(AW93&gt;0,"优先降持仓数",IF(C93&lt;=0,"现金不足","允许评估")))</f>
        <v/>
      </c>
      <c r="AY93" s="1" t="str">
        <f aca="false">IF($A93="","",IF(B93&lt;30000,"婴儿阶段: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9"/>
      <c r="B94" s="26"/>
      <c r="C94" s="26"/>
      <c r="D94" s="18" t="str">
        <f aca="false">IF($A95="","",SUMIFS(持仓表!$J:$J,持仓表!$A:$A,$A95))</f>
        <v/>
      </c>
      <c r="E94" s="19" t="n">
        <f aca="false">IFERROR(D95/B95,0)</f>
        <v>0</v>
      </c>
      <c r="F94" s="26"/>
      <c r="G94" s="18" t="str">
        <f aca="false">IF($B95="","",MAX($B$2:B95))</f>
        <v/>
      </c>
      <c r="H94" s="19" t="n">
        <f aca="false">IFERROR((B95-F95)/F95,0)</f>
        <v>0</v>
      </c>
      <c r="I94" s="19" t="n">
        <f aca="false">IFERROR((B95-G95)/G95,0)</f>
        <v>0</v>
      </c>
      <c r="J94" s="9"/>
      <c r="K94" s="14"/>
      <c r="L94" s="27"/>
      <c r="M94" s="27"/>
      <c r="N94" s="19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4" s="19" t="str">
        <f aca="false">IF($B95="","",IF(B95&lt;30000,35%,IF(B95&lt;50000,30%,IF(B95&lt;100000,25%,20%))))</f>
        <v/>
      </c>
      <c r="P94" s="21" t="str">
        <f aca="false">IF($A95="","",COUNTIFS(持仓表!$A:$A,$A95,持仓表!$G:$G,"&gt;0"))</f>
        <v/>
      </c>
      <c r="Q94" s="21" t="str">
        <f aca="false">IF($A95="","",COUNTIFS(持仓表!$A:$A,$A95,持仓表!$D:$D,"是",持仓表!$G:$G,"&gt;0"))</f>
        <v/>
      </c>
      <c r="R94" s="21" t="str">
        <f aca="false">IF($A95="","",MAX(0,P95-Q95))</f>
        <v/>
      </c>
      <c r="S94" s="21" t="str">
        <f aca="false">IF($B95="","",IF(B95&lt;50000,3,IF(B95&lt;100000,4,5)))</f>
        <v/>
      </c>
      <c r="T94" s="5" t="str">
        <f aca="false">IF($A95="","",IF(OR(M95&gt;=4,I95&lt;=-8%),"防守",IF(OR(M95&gt;=2,I95&lt;=-5%),"警戒","正常")))</f>
        <v/>
      </c>
      <c r="U94" s="5" t="str">
        <f aca="false">IF($A95="","",IF(AND(L95&gt;=3,M95&lt;=2,T95&lt;&gt;"防守"),"是","否"))</f>
        <v/>
      </c>
      <c r="V94" s="5" t="str">
        <f aca="false">IF($A95="","",IF(AND(E95&lt;N95,R95&lt;S95,M95&lt;=2,I95&gt;-15%),"是","否"))</f>
        <v/>
      </c>
      <c r="W94" s="5" t="str">
        <f aca="false">IF($A95="","",IF(OR(M95&gt;=3,I95&lt;=-15%),"是","否"))</f>
        <v/>
      </c>
      <c r="X94" s="18" t="str">
        <f aca="false">IF($A95="","",IFERROR(maxifs(候选池!$AB:$AB,候选池!$A:$A,$A95),0))</f>
        <v/>
      </c>
      <c r="Y94" s="18" t="str">
        <f aca="false">IF($A95="","",IF(OR(M95&gt;=4,I95&lt;=-8%),MAX(0,B95*60%-C95),IF(AND(ISNUMBER(AD95),B95&gt;AD95),IF(B95&lt;30000,0,IF(B95&lt;100000,MAX(0,(B95-AD95)*0.2),MAX(0,(B95-AD95)*0.3))),0)))</f>
        <v/>
      </c>
      <c r="Z94" s="9"/>
      <c r="AA94" s="5" t="str">
        <f aca="false">IF($A95="","",IF($AA$2&lt;&gt;"",$AA$2,""))</f>
        <v/>
      </c>
      <c r="AB94" s="9" t="str">
        <f aca="false">IF($A95="","",IF(B95&lt;30000,0.03,IF(B95&lt;100000,0.02,0.015)))</f>
        <v/>
      </c>
      <c r="AC94" s="21" t="str">
        <f aca="false">IF($A95="","",IFERROR(DATEDIF($A$2,$A95,"m"),0))</f>
        <v/>
      </c>
      <c r="AD94" s="18" t="str">
        <f aca="false">IF($A95="","",IF(OR(AA95="",AB95="",AC95=""),"",AA95*POWER(1+AB95,AC95)))</f>
        <v/>
      </c>
      <c r="AE94" s="29" t="str">
        <f aca="false">IF($A95="","",IF(OR(AD95="",AD95=0),"",B95/AD95-1))</f>
        <v/>
      </c>
      <c r="AG94" s="1" t="str">
        <f aca="false">IF($A95="","",IF(B95&lt;30000,"婴儿",IF(B95&lt;100000,"成长","成熟")))</f>
        <v/>
      </c>
      <c r="AH94" s="24"/>
      <c r="AJ94" s="24"/>
      <c r="AK94" s="24"/>
      <c r="AM94" s="24"/>
      <c r="AP94" s="15"/>
      <c r="AQ94" s="25" t="str">
        <f aca="false">IF($A95="","",B95-$AA$2-SUM($F$2:F95))</f>
        <v/>
      </c>
      <c r="AR94" s="1" t="str">
        <f aca="false">IF($A94="","",30000)</f>
        <v/>
      </c>
      <c r="AS94" s="1" t="str">
        <f aca="false">IF($A94="","",AR94-B94)</f>
        <v/>
      </c>
      <c r="AT94" s="1" t="str">
        <f aca="false">IF($A94="","",IFERROR(B94/AR94,0))</f>
        <v/>
      </c>
      <c r="AU94" s="1" t="str">
        <f aca="false">IF($A94="","",IFERROR(B94*O94,0))</f>
        <v/>
      </c>
      <c r="AV94" s="1" t="str">
        <f aca="false">IF($A94="","",IFERROR(C94/B94,0))</f>
        <v/>
      </c>
      <c r="AW94" s="1" t="str">
        <f aca="false">IF($A94="","",MAX(0,R94-S94))</f>
        <v/>
      </c>
      <c r="AX94" s="1" t="str">
        <f aca="false">IF($A94="","",IF(AW94&gt;0,"优先降持仓数",IF(C94&lt;=0,"现金不足","允许评估")))</f>
        <v/>
      </c>
      <c r="AY94" s="1" t="str">
        <f aca="false">IF($A94="","",IF(B94&lt;30000,"婴儿阶段: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6"/>
      <c r="B95" s="17"/>
      <c r="C95" s="17"/>
      <c r="D95" s="18" t="str">
        <f aca="false">IF($A96="","",SUMIFS(持仓表!$J:$J,持仓表!$A:$A,$A96))</f>
        <v/>
      </c>
      <c r="E95" s="19" t="n">
        <f aca="false">IFERROR(D96/B96,0)</f>
        <v>0</v>
      </c>
      <c r="F95" s="17"/>
      <c r="G95" s="18" t="str">
        <f aca="false">IF($B96="","",MAX($B$2:B96))</f>
        <v/>
      </c>
      <c r="H95" s="19" t="n">
        <f aca="false">IFERROR((B96-F96)/F96,0)</f>
        <v>0</v>
      </c>
      <c r="I95" s="19" t="n">
        <f aca="false">IFERROR((B96-G96)/G96,0)</f>
        <v>0</v>
      </c>
      <c r="J95" s="6"/>
      <c r="K95" s="13"/>
      <c r="L95" s="20"/>
      <c r="M95" s="20"/>
      <c r="N95" s="19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5" s="19" t="str">
        <f aca="false">IF($B96="","",IF(B96&lt;30000,35%,IF(B96&lt;50000,30%,IF(B96&lt;100000,25%,20%))))</f>
        <v/>
      </c>
      <c r="P95" s="21" t="str">
        <f aca="false">IF($A96="","",COUNTIFS(持仓表!$A:$A,$A96,持仓表!$G:$G,"&gt;0"))</f>
        <v/>
      </c>
      <c r="Q95" s="21" t="str">
        <f aca="false">IF($A96="","",COUNTIFS(持仓表!$A:$A,$A96,持仓表!$D:$D,"是",持仓表!$G:$G,"&gt;0"))</f>
        <v/>
      </c>
      <c r="R95" s="21" t="str">
        <f aca="false">IF($A96="","",MAX(0,P96-Q96))</f>
        <v/>
      </c>
      <c r="S95" s="21" t="str">
        <f aca="false">IF($B96="","",IF(B96&lt;50000,3,IF(B96&lt;100000,4,5)))</f>
        <v/>
      </c>
      <c r="T95" s="5" t="str">
        <f aca="false">IF($A96="","",IF(OR(M96&gt;=4,I96&lt;=-8%),"防守",IF(OR(M96&gt;=2,I96&lt;=-5%),"警戒","正常")))</f>
        <v/>
      </c>
      <c r="U95" s="5" t="str">
        <f aca="false">IF($A96="","",IF(AND(L96&gt;=3,M96&lt;=2,T96&lt;&gt;"防守"),"是","否"))</f>
        <v/>
      </c>
      <c r="V95" s="5" t="str">
        <f aca="false">IF($A96="","",IF(AND(E96&lt;N96,R96&lt;S96,M96&lt;=2,I96&gt;-15%),"是","否"))</f>
        <v/>
      </c>
      <c r="W95" s="5" t="str">
        <f aca="false">IF($A96="","",IF(OR(M96&gt;=3,I96&lt;=-15%),"是","否"))</f>
        <v/>
      </c>
      <c r="X95" s="18" t="str">
        <f aca="false">IF($A96="","",IFERROR(maxifs(候选池!$AB:$AB,候选池!$A:$A,$A96),0))</f>
        <v/>
      </c>
      <c r="Y95" s="18" t="str">
        <f aca="false">IF($A96="","",IF(OR(M96&gt;=4,I96&lt;=-8%),MAX(0,B96*60%-C96),IF(AND(ISNUMBER(AD96),B96&gt;AD96),IF(B96&lt;30000,0,IF(B96&lt;100000,MAX(0,(B96-AD96)*0.2),MAX(0,(B96-AD96)*0.3))),0)))</f>
        <v/>
      </c>
      <c r="Z95" s="6"/>
      <c r="AA95" s="5" t="str">
        <f aca="false">IF($A96="","",IF($AA$2&lt;&gt;"",$AA$2,""))</f>
        <v/>
      </c>
      <c r="AB95" s="6" t="str">
        <f aca="false">IF($A96="","",IF(B96&lt;30000,0.03,IF(B96&lt;100000,0.02,0.015)))</f>
        <v/>
      </c>
      <c r="AC95" s="21" t="str">
        <f aca="false">IF($A96="","",IFERROR(DATEDIF($A$2,$A96,"m"),0))</f>
        <v/>
      </c>
      <c r="AD95" s="18" t="str">
        <f aca="false">IF($A96="","",IF(OR(AA96="",AB96="",AC96=""),"",AA96*POWER(1+AB96,AC96)))</f>
        <v/>
      </c>
      <c r="AE95" s="23" t="str">
        <f aca="false">IF($A96="","",IF(OR(AD96="",AD96=0),"",B96/AD96-1))</f>
        <v/>
      </c>
      <c r="AG95" s="1" t="str">
        <f aca="false">IF($A96="","",IF(B96&lt;30000,"婴儿",IF(B96&lt;100000,"成长","成熟")))</f>
        <v/>
      </c>
      <c r="AH95" s="24"/>
      <c r="AJ95" s="24"/>
      <c r="AK95" s="24"/>
      <c r="AM95" s="24"/>
      <c r="AP95" s="15"/>
      <c r="AQ95" s="25" t="str">
        <f aca="false">IF($A96="","",B96-$AA$2-SUM($F$2:F96))</f>
        <v/>
      </c>
      <c r="AR95" s="1" t="str">
        <f aca="false">IF($A95="","",30000)</f>
        <v/>
      </c>
      <c r="AS95" s="1" t="str">
        <f aca="false">IF($A95="","",AR95-B95)</f>
        <v/>
      </c>
      <c r="AT95" s="1" t="str">
        <f aca="false">IF($A95="","",IFERROR(B95/AR95,0))</f>
        <v/>
      </c>
      <c r="AU95" s="1" t="str">
        <f aca="false">IF($A95="","",IFERROR(B95*O95,0))</f>
        <v/>
      </c>
      <c r="AV95" s="1" t="str">
        <f aca="false">IF($A95="","",IFERROR(C95/B95,0))</f>
        <v/>
      </c>
      <c r="AW95" s="1" t="str">
        <f aca="false">IF($A95="","",MAX(0,R95-S95))</f>
        <v/>
      </c>
      <c r="AX95" s="1" t="str">
        <f aca="false">IF($A95="","",IF(AW95&gt;0,"优先降持仓数",IF(C95&lt;=0,"现金不足","允许评估")))</f>
        <v/>
      </c>
      <c r="AY95" s="1" t="str">
        <f aca="false">IF($A95="","",IF(B95&lt;30000,"婴儿阶段: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9"/>
      <c r="B96" s="26"/>
      <c r="C96" s="26"/>
      <c r="D96" s="18" t="str">
        <f aca="false">IF($A97="","",SUMIFS(持仓表!$J:$J,持仓表!$A:$A,$A97))</f>
        <v/>
      </c>
      <c r="E96" s="19" t="n">
        <f aca="false">IFERROR(D97/B97,0)</f>
        <v>0</v>
      </c>
      <c r="F96" s="26"/>
      <c r="G96" s="18" t="str">
        <f aca="false">IF($B97="","",MAX($B$2:B97))</f>
        <v/>
      </c>
      <c r="H96" s="19" t="n">
        <f aca="false">IFERROR((B97-F97)/F97,0)</f>
        <v>0</v>
      </c>
      <c r="I96" s="19" t="n">
        <f aca="false">IFERROR((B97-G97)/G97,0)</f>
        <v>0</v>
      </c>
      <c r="J96" s="9"/>
      <c r="K96" s="14"/>
      <c r="L96" s="27"/>
      <c r="M96" s="27"/>
      <c r="N96" s="19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6" s="19" t="str">
        <f aca="false">IF($B97="","",IF(B97&lt;30000,35%,IF(B97&lt;50000,30%,IF(B97&lt;100000,25%,20%))))</f>
        <v/>
      </c>
      <c r="P96" s="21" t="str">
        <f aca="false">IF($A97="","",COUNTIFS(持仓表!$A:$A,$A97,持仓表!$G:$G,"&gt;0"))</f>
        <v/>
      </c>
      <c r="Q96" s="21" t="str">
        <f aca="false">IF($A97="","",COUNTIFS(持仓表!$A:$A,$A97,持仓表!$D:$D,"是",持仓表!$G:$G,"&gt;0"))</f>
        <v/>
      </c>
      <c r="R96" s="21" t="str">
        <f aca="false">IF($A97="","",MAX(0,P97-Q97))</f>
        <v/>
      </c>
      <c r="S96" s="21" t="str">
        <f aca="false">IF($B97="","",IF(B97&lt;50000,3,IF(B97&lt;100000,4,5)))</f>
        <v/>
      </c>
      <c r="T96" s="5" t="str">
        <f aca="false">IF($A97="","",IF(OR(M97&gt;=4,I97&lt;=-8%),"防守",IF(OR(M97&gt;=2,I97&lt;=-5%),"警戒","正常")))</f>
        <v/>
      </c>
      <c r="U96" s="5" t="str">
        <f aca="false">IF($A97="","",IF(AND(L97&gt;=3,M97&lt;=2,T97&lt;&gt;"防守"),"是","否"))</f>
        <v/>
      </c>
      <c r="V96" s="5" t="str">
        <f aca="false">IF($A97="","",IF(AND(E97&lt;N97,R97&lt;S97,M97&lt;=2,I97&gt;-15%),"是","否"))</f>
        <v/>
      </c>
      <c r="W96" s="5" t="str">
        <f aca="false">IF($A97="","",IF(OR(M97&gt;=3,I97&lt;=-15%),"是","否"))</f>
        <v/>
      </c>
      <c r="X96" s="18" t="str">
        <f aca="false">IF($A97="","",IFERROR(maxifs(候选池!$AB:$AB,候选池!$A:$A,$A97),0))</f>
        <v/>
      </c>
      <c r="Y96" s="18" t="str">
        <f aca="false">IF($A97="","",IF(OR(M97&gt;=4,I97&lt;=-8%),MAX(0,B97*60%-C97),IF(AND(ISNUMBER(AD97),B97&gt;AD97),IF(B97&lt;30000,0,IF(B97&lt;100000,MAX(0,(B97-AD97)*0.2),MAX(0,(B97-AD97)*0.3))),0)))</f>
        <v/>
      </c>
      <c r="Z96" s="9"/>
      <c r="AA96" s="5" t="str">
        <f aca="false">IF($A97="","",IF($AA$2&lt;&gt;"",$AA$2,""))</f>
        <v/>
      </c>
      <c r="AB96" s="9" t="str">
        <f aca="false">IF($A97="","",IF(B97&lt;30000,0.03,IF(B97&lt;100000,0.02,0.015)))</f>
        <v/>
      </c>
      <c r="AC96" s="21" t="str">
        <f aca="false">IF($A97="","",IFERROR(DATEDIF($A$2,$A97,"m"),0))</f>
        <v/>
      </c>
      <c r="AD96" s="18" t="str">
        <f aca="false">IF($A97="","",IF(OR(AA97="",AB97="",AC97=""),"",AA97*POWER(1+AB97,AC97)))</f>
        <v/>
      </c>
      <c r="AE96" s="29" t="str">
        <f aca="false">IF($A97="","",IF(OR(AD97="",AD97=0),"",B97/AD97-1))</f>
        <v/>
      </c>
      <c r="AG96" s="1" t="str">
        <f aca="false">IF($A97="","",IF(B97&lt;30000,"婴儿",IF(B97&lt;100000,"成长","成熟")))</f>
        <v/>
      </c>
      <c r="AH96" s="24"/>
      <c r="AJ96" s="24"/>
      <c r="AK96" s="24"/>
      <c r="AM96" s="24"/>
      <c r="AP96" s="15"/>
      <c r="AQ96" s="25" t="str">
        <f aca="false">IF($A97="","",B97-$AA$2-SUM($F$2:F97))</f>
        <v/>
      </c>
      <c r="AR96" s="1" t="str">
        <f aca="false">IF($A96="","",30000)</f>
        <v/>
      </c>
      <c r="AS96" s="1" t="str">
        <f aca="false">IF($A96="","",AR96-B96)</f>
        <v/>
      </c>
      <c r="AT96" s="1" t="str">
        <f aca="false">IF($A96="","",IFERROR(B96/AR96,0))</f>
        <v/>
      </c>
      <c r="AU96" s="1" t="str">
        <f aca="false">IF($A96="","",IFERROR(B96*O96,0))</f>
        <v/>
      </c>
      <c r="AV96" s="1" t="str">
        <f aca="false">IF($A96="","",IFERROR(C96/B96,0))</f>
        <v/>
      </c>
      <c r="AW96" s="1" t="str">
        <f aca="false">IF($A96="","",MAX(0,R96-S96))</f>
        <v/>
      </c>
      <c r="AX96" s="1" t="str">
        <f aca="false">IF($A96="","",IF(AW96&gt;0,"优先降持仓数",IF(C96&lt;=0,"现金不足","允许评估")))</f>
        <v/>
      </c>
      <c r="AY96" s="1" t="str">
        <f aca="false">IF($A96="","",IF(B96&lt;30000,"婴儿阶段: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6"/>
      <c r="B97" s="17"/>
      <c r="C97" s="17"/>
      <c r="D97" s="18" t="str">
        <f aca="false">IF($A98="","",SUMIFS(持仓表!$J:$J,持仓表!$A:$A,$A98))</f>
        <v/>
      </c>
      <c r="E97" s="19" t="n">
        <f aca="false">IFERROR(D98/B98,0)</f>
        <v>0</v>
      </c>
      <c r="F97" s="17"/>
      <c r="G97" s="18" t="str">
        <f aca="false">IF($B98="","",MAX($B$2:B98))</f>
        <v/>
      </c>
      <c r="H97" s="19" t="n">
        <f aca="false">IFERROR((B98-F98)/F98,0)</f>
        <v>0</v>
      </c>
      <c r="I97" s="19" t="n">
        <f aca="false">IFERROR((B98-G98)/G98,0)</f>
        <v>0</v>
      </c>
      <c r="J97" s="6"/>
      <c r="K97" s="13"/>
      <c r="L97" s="20"/>
      <c r="M97" s="20"/>
      <c r="N97" s="19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7" s="19" t="str">
        <f aca="false">IF($B98="","",IF(B98&lt;30000,35%,IF(B98&lt;50000,30%,IF(B98&lt;100000,25%,20%))))</f>
        <v/>
      </c>
      <c r="P97" s="21" t="str">
        <f aca="false">IF($A98="","",COUNTIFS(持仓表!$A:$A,$A98,持仓表!$G:$G,"&gt;0"))</f>
        <v/>
      </c>
      <c r="Q97" s="21" t="str">
        <f aca="false">IF($A98="","",COUNTIFS(持仓表!$A:$A,$A98,持仓表!$D:$D,"是",持仓表!$G:$G,"&gt;0"))</f>
        <v/>
      </c>
      <c r="R97" s="21" t="str">
        <f aca="false">IF($A98="","",MAX(0,P98-Q98))</f>
        <v/>
      </c>
      <c r="S97" s="21" t="str">
        <f aca="false">IF($B98="","",IF(B98&lt;50000,3,IF(B98&lt;100000,4,5)))</f>
        <v/>
      </c>
      <c r="T97" s="5" t="str">
        <f aca="false">IF($A98="","",IF(OR(M98&gt;=4,I98&lt;=-8%),"防守",IF(OR(M98&gt;=2,I98&lt;=-5%),"警戒","正常")))</f>
        <v/>
      </c>
      <c r="U97" s="5" t="str">
        <f aca="false">IF($A98="","",IF(AND(L98&gt;=3,M98&lt;=2,T98&lt;&gt;"防守"),"是","否"))</f>
        <v/>
      </c>
      <c r="V97" s="5" t="str">
        <f aca="false">IF($A98="","",IF(AND(E98&lt;N98,R98&lt;S98,M98&lt;=2,I98&gt;-15%),"是","否"))</f>
        <v/>
      </c>
      <c r="W97" s="5" t="str">
        <f aca="false">IF($A98="","",IF(OR(M98&gt;=3,I98&lt;=-15%),"是","否"))</f>
        <v/>
      </c>
      <c r="X97" s="18" t="str">
        <f aca="false">IF($A98="","",IFERROR(maxifs(候选池!$AB:$AB,候选池!$A:$A,$A98),0))</f>
        <v/>
      </c>
      <c r="Y97" s="18" t="str">
        <f aca="false">IF($A98="","",IF(OR(M98&gt;=4,I98&lt;=-8%),MAX(0,B98*60%-C98),IF(AND(ISNUMBER(AD98),B98&gt;AD98),IF(B98&lt;30000,0,IF(B98&lt;100000,MAX(0,(B98-AD98)*0.2),MAX(0,(B98-AD98)*0.3))),0)))</f>
        <v/>
      </c>
      <c r="Z97" s="6"/>
      <c r="AA97" s="5" t="str">
        <f aca="false">IF($A98="","",IF($AA$2&lt;&gt;"",$AA$2,""))</f>
        <v/>
      </c>
      <c r="AB97" s="6" t="str">
        <f aca="false">IF($A98="","",IF(B98&lt;30000,0.03,IF(B98&lt;100000,0.02,0.015)))</f>
        <v/>
      </c>
      <c r="AC97" s="21" t="str">
        <f aca="false">IF($A98="","",IFERROR(DATEDIF($A$2,$A98,"m"),0))</f>
        <v/>
      </c>
      <c r="AD97" s="18" t="str">
        <f aca="false">IF($A98="","",IF(OR(AA98="",AB98="",AC98=""),"",AA98*POWER(1+AB98,AC98)))</f>
        <v/>
      </c>
      <c r="AE97" s="23" t="str">
        <f aca="false">IF($A98="","",IF(OR(AD98="",AD98=0),"",B98/AD98-1))</f>
        <v/>
      </c>
      <c r="AG97" s="1" t="str">
        <f aca="false">IF($A98="","",IF(B98&lt;30000,"婴儿",IF(B98&lt;100000,"成长","成熟")))</f>
        <v/>
      </c>
      <c r="AH97" s="24"/>
      <c r="AJ97" s="24"/>
      <c r="AK97" s="24"/>
      <c r="AM97" s="24"/>
      <c r="AP97" s="15"/>
      <c r="AQ97" s="25" t="str">
        <f aca="false">IF($A98="","",B98-$AA$2-SUM($F$2:F98))</f>
        <v/>
      </c>
      <c r="AR97" s="1" t="str">
        <f aca="false">IF($A97="","",30000)</f>
        <v/>
      </c>
      <c r="AS97" s="1" t="str">
        <f aca="false">IF($A97="","",AR97-B97)</f>
        <v/>
      </c>
      <c r="AT97" s="1" t="str">
        <f aca="false">IF($A97="","",IFERROR(B97/AR97,0))</f>
        <v/>
      </c>
      <c r="AU97" s="1" t="str">
        <f aca="false">IF($A97="","",IFERROR(B97*O97,0))</f>
        <v/>
      </c>
      <c r="AV97" s="1" t="str">
        <f aca="false">IF($A97="","",IFERROR(C97/B97,0))</f>
        <v/>
      </c>
      <c r="AW97" s="1" t="str">
        <f aca="false">IF($A97="","",MAX(0,R97-S97))</f>
        <v/>
      </c>
      <c r="AX97" s="1" t="str">
        <f aca="false">IF($A97="","",IF(AW97&gt;0,"优先降持仓数",IF(C97&lt;=0,"现金不足","允许评估")))</f>
        <v/>
      </c>
      <c r="AY97" s="1" t="str">
        <f aca="false">IF($A97="","",IF(B97&lt;30000,"婴儿阶段: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9"/>
      <c r="B98" s="26"/>
      <c r="C98" s="26"/>
      <c r="D98" s="18" t="str">
        <f aca="false">IF($A99="","",SUMIFS(持仓表!$J:$J,持仓表!$A:$A,$A99))</f>
        <v/>
      </c>
      <c r="E98" s="19" t="n">
        <f aca="false">IFERROR(D99/B99,0)</f>
        <v>0</v>
      </c>
      <c r="F98" s="26"/>
      <c r="G98" s="18" t="str">
        <f aca="false">IF($B99="","",MAX($B$2:B99))</f>
        <v/>
      </c>
      <c r="H98" s="19" t="n">
        <f aca="false">IFERROR((B99-F99)/F99,0)</f>
        <v>0</v>
      </c>
      <c r="I98" s="19" t="n">
        <f aca="false">IFERROR((B99-G99)/G99,0)</f>
        <v>0</v>
      </c>
      <c r="J98" s="9"/>
      <c r="K98" s="14"/>
      <c r="L98" s="27"/>
      <c r="M98" s="27"/>
      <c r="N98" s="19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8" s="19" t="str">
        <f aca="false">IF($B99="","",IF(B99&lt;30000,35%,IF(B99&lt;50000,30%,IF(B99&lt;100000,25%,20%))))</f>
        <v/>
      </c>
      <c r="P98" s="21" t="str">
        <f aca="false">IF($A99="","",COUNTIFS(持仓表!$A:$A,$A99,持仓表!$G:$G,"&gt;0"))</f>
        <v/>
      </c>
      <c r="Q98" s="21" t="str">
        <f aca="false">IF($A99="","",COUNTIFS(持仓表!$A:$A,$A99,持仓表!$D:$D,"是",持仓表!$G:$G,"&gt;0"))</f>
        <v/>
      </c>
      <c r="R98" s="21" t="str">
        <f aca="false">IF($A99="","",MAX(0,P99-Q99))</f>
        <v/>
      </c>
      <c r="S98" s="21" t="str">
        <f aca="false">IF($B99="","",IF(B99&lt;50000,3,IF(B99&lt;100000,4,5)))</f>
        <v/>
      </c>
      <c r="T98" s="5" t="str">
        <f aca="false">IF($A99="","",IF(OR(M99&gt;=4,I99&lt;=-8%),"防守",IF(OR(M99&gt;=2,I99&lt;=-5%),"警戒","正常")))</f>
        <v/>
      </c>
      <c r="U98" s="5" t="str">
        <f aca="false">IF($A99="","",IF(AND(L99&gt;=3,M99&lt;=2,T99&lt;&gt;"防守"),"是","否"))</f>
        <v/>
      </c>
      <c r="V98" s="5" t="str">
        <f aca="false">IF($A99="","",IF(AND(E99&lt;N99,R99&lt;S99,M99&lt;=2,I99&gt;-15%),"是","否"))</f>
        <v/>
      </c>
      <c r="W98" s="5" t="str">
        <f aca="false">IF($A99="","",IF(OR(M99&gt;=3,I99&lt;=-15%),"是","否"))</f>
        <v/>
      </c>
      <c r="X98" s="18" t="str">
        <f aca="false">IF($A99="","",IFERROR(maxifs(候选池!$AB:$AB,候选池!$A:$A,$A99),0))</f>
        <v/>
      </c>
      <c r="Y98" s="18" t="str">
        <f aca="false">IF($A99="","",IF(OR(M99&gt;=4,I99&lt;=-8%),MAX(0,B99*60%-C99),IF(AND(ISNUMBER(AD99),B99&gt;AD99),IF(B99&lt;30000,0,IF(B99&lt;100000,MAX(0,(B99-AD99)*0.2),MAX(0,(B99-AD99)*0.3))),0)))</f>
        <v/>
      </c>
      <c r="Z98" s="9"/>
      <c r="AA98" s="5" t="str">
        <f aca="false">IF($A99="","",IF($AA$2&lt;&gt;"",$AA$2,""))</f>
        <v/>
      </c>
      <c r="AB98" s="9" t="str">
        <f aca="false">IF($A99="","",IF(B99&lt;30000,0.03,IF(B99&lt;100000,0.02,0.015)))</f>
        <v/>
      </c>
      <c r="AC98" s="21" t="str">
        <f aca="false">IF($A99="","",IFERROR(DATEDIF($A$2,$A99,"m"),0))</f>
        <v/>
      </c>
      <c r="AD98" s="18" t="str">
        <f aca="false">IF($A99="","",IF(OR(AA99="",AB99="",AC99=""),"",AA99*POWER(1+AB99,AC99)))</f>
        <v/>
      </c>
      <c r="AE98" s="29" t="str">
        <f aca="false">IF($A99="","",IF(OR(AD99="",AD99=0),"",B99/AD99-1))</f>
        <v/>
      </c>
      <c r="AG98" s="1" t="str">
        <f aca="false">IF($A99="","",IF(B99&lt;30000,"婴儿",IF(B99&lt;100000,"成长","成熟")))</f>
        <v/>
      </c>
      <c r="AH98" s="24"/>
      <c r="AJ98" s="24"/>
      <c r="AK98" s="24"/>
      <c r="AM98" s="24"/>
      <c r="AP98" s="15"/>
      <c r="AQ98" s="25" t="str">
        <f aca="false">IF($A99="","",B99-$AA$2-SUM($F$2:F99))</f>
        <v/>
      </c>
      <c r="AR98" s="1" t="str">
        <f aca="false">IF($A98="","",30000)</f>
        <v/>
      </c>
      <c r="AS98" s="1" t="str">
        <f aca="false">IF($A98="","",AR98-B98)</f>
        <v/>
      </c>
      <c r="AT98" s="1" t="str">
        <f aca="false">IF($A98="","",IFERROR(B98/AR98,0))</f>
        <v/>
      </c>
      <c r="AU98" s="1" t="str">
        <f aca="false">IF($A98="","",IFERROR(B98*O98,0))</f>
        <v/>
      </c>
      <c r="AV98" s="1" t="str">
        <f aca="false">IF($A98="","",IFERROR(C98/B98,0))</f>
        <v/>
      </c>
      <c r="AW98" s="1" t="str">
        <f aca="false">IF($A98="","",MAX(0,R98-S98))</f>
        <v/>
      </c>
      <c r="AX98" s="1" t="str">
        <f aca="false">IF($A98="","",IF(AW98&gt;0,"优先降持仓数",IF(C98&lt;=0,"现金不足","允许评估")))</f>
        <v/>
      </c>
      <c r="AY98" s="1" t="str">
        <f aca="false">IF($A98="","",IF(B98&lt;30000,"婴儿阶段: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6"/>
      <c r="B99" s="17"/>
      <c r="C99" s="17"/>
      <c r="D99" s="18" t="str">
        <f aca="false">IF($A100="","",SUMIFS(持仓表!$J:$J,持仓表!$A:$A,$A100))</f>
        <v/>
      </c>
      <c r="E99" s="19" t="n">
        <f aca="false">IFERROR(D100/B100,0)</f>
        <v>0</v>
      </c>
      <c r="F99" s="17"/>
      <c r="G99" s="18" t="str">
        <f aca="false">IF($B100="","",MAX($B$2:B100))</f>
        <v/>
      </c>
      <c r="H99" s="19" t="n">
        <f aca="false">IFERROR((B100-F100)/F100,0)</f>
        <v>0</v>
      </c>
      <c r="I99" s="19" t="n">
        <f aca="false">IFERROR((B100-G100)/G100,0)</f>
        <v>0</v>
      </c>
      <c r="J99" s="6"/>
      <c r="K99" s="13"/>
      <c r="L99" s="20"/>
      <c r="M99" s="20"/>
      <c r="N99" s="19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9" s="19" t="str">
        <f aca="false">IF($B100="","",IF(B100&lt;30000,35%,IF(B100&lt;50000,30%,IF(B100&lt;100000,25%,20%))))</f>
        <v/>
      </c>
      <c r="P99" s="21" t="str">
        <f aca="false">IF($A100="","",COUNTIFS(持仓表!$A:$A,$A100,持仓表!$G:$G,"&gt;0"))</f>
        <v/>
      </c>
      <c r="Q99" s="21" t="str">
        <f aca="false">IF($A100="","",COUNTIFS(持仓表!$A:$A,$A100,持仓表!$D:$D,"是",持仓表!$G:$G,"&gt;0"))</f>
        <v/>
      </c>
      <c r="R99" s="21" t="str">
        <f aca="false">IF($A100="","",MAX(0,P100-Q100))</f>
        <v/>
      </c>
      <c r="S99" s="21" t="str">
        <f aca="false">IF($B100="","",IF(B100&lt;50000,3,IF(B100&lt;100000,4,5)))</f>
        <v/>
      </c>
      <c r="T99" s="5" t="str">
        <f aca="false">IF($A100="","",IF(OR(M100&gt;=4,I100&lt;=-8%),"防守",IF(OR(M100&gt;=2,I100&lt;=-5%),"警戒","正常")))</f>
        <v/>
      </c>
      <c r="U99" s="5" t="str">
        <f aca="false">IF($A100="","",IF(AND(L100&gt;=3,M100&lt;=2,T100&lt;&gt;"防守"),"是","否"))</f>
        <v/>
      </c>
      <c r="V99" s="5" t="str">
        <f aca="false">IF($A100="","",IF(AND(E100&lt;N100,R100&lt;S100,M100&lt;=2,I100&gt;-15%),"是","否"))</f>
        <v/>
      </c>
      <c r="W99" s="5" t="str">
        <f aca="false">IF($A100="","",IF(OR(M100&gt;=3,I100&lt;=-15%),"是","否"))</f>
        <v/>
      </c>
      <c r="X99" s="18" t="str">
        <f aca="false">IF($A100="","",IFERROR(maxifs(候选池!$AB:$AB,候选池!$A:$A,$A100),0))</f>
        <v/>
      </c>
      <c r="Y99" s="18" t="str">
        <f aca="false">IF($A100="","",IF(OR(M100&gt;=4,I100&lt;=-8%),MAX(0,B100*60%-C100),IF(AND(ISNUMBER(AD100),B100&gt;AD100),IF(B100&lt;30000,0,IF(B100&lt;100000,MAX(0,(B100-AD100)*0.2),MAX(0,(B100-AD100)*0.3))),0)))</f>
        <v/>
      </c>
      <c r="Z99" s="6"/>
      <c r="AA99" s="5" t="str">
        <f aca="false">IF($A100="","",IF($AA$2&lt;&gt;"",$AA$2,""))</f>
        <v/>
      </c>
      <c r="AB99" s="6" t="str">
        <f aca="false">IF($A100="","",IF(B100&lt;30000,0.03,IF(B100&lt;100000,0.02,0.015)))</f>
        <v/>
      </c>
      <c r="AC99" s="21" t="str">
        <f aca="false">IF($A100="","",IFERROR(DATEDIF($A$2,$A100,"m"),0))</f>
        <v/>
      </c>
      <c r="AD99" s="18" t="str">
        <f aca="false">IF($A100="","",IF(OR(AA100="",AB100="",AC100=""),"",AA100*POWER(1+AB100,AC100)))</f>
        <v/>
      </c>
      <c r="AE99" s="23" t="str">
        <f aca="false">IF($A100="","",IF(OR(AD100="",AD100=0),"",B100/AD100-1))</f>
        <v/>
      </c>
      <c r="AG99" s="1" t="str">
        <f aca="false">IF($A100="","",IF(B100&lt;30000,"婴儿",IF(B100&lt;100000,"成长","成熟")))</f>
        <v/>
      </c>
      <c r="AH99" s="24"/>
      <c r="AJ99" s="24"/>
      <c r="AK99" s="24"/>
      <c r="AM99" s="24"/>
      <c r="AP99" s="15"/>
      <c r="AQ99" s="25" t="str">
        <f aca="false">IF($A100="","",B100-$AA$2-SUM($F$2:F100))</f>
        <v/>
      </c>
      <c r="AR99" s="1" t="str">
        <f aca="false">IF($A99="","",30000)</f>
        <v/>
      </c>
      <c r="AS99" s="1" t="str">
        <f aca="false">IF($A99="","",AR99-B99)</f>
        <v/>
      </c>
      <c r="AT99" s="1" t="str">
        <f aca="false">IF($A99="","",IFERROR(B99/AR99,0))</f>
        <v/>
      </c>
      <c r="AU99" s="1" t="str">
        <f aca="false">IF($A99="","",IFERROR(B99*O99,0))</f>
        <v/>
      </c>
      <c r="AV99" s="1" t="str">
        <f aca="false">IF($A99="","",IFERROR(C99/B99,0))</f>
        <v/>
      </c>
      <c r="AW99" s="1" t="str">
        <f aca="false">IF($A99="","",MAX(0,R99-S99))</f>
        <v/>
      </c>
      <c r="AX99" s="1" t="str">
        <f aca="false">IF($A99="","",IF(AW99&gt;0,"优先降持仓数",IF(C99&lt;=0,"现金不足","允许评估")))</f>
        <v/>
      </c>
      <c r="AY99" s="1" t="str">
        <f aca="false">IF($A99="","",IF(B99&lt;30000,"婴儿阶段: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9"/>
      <c r="B100" s="26"/>
      <c r="C100" s="26"/>
      <c r="D100" s="18" t="str">
        <f aca="false">IF($A101="","",SUMIFS(持仓表!$J:$J,持仓表!$A:$A,$A101))</f>
        <v/>
      </c>
      <c r="E100" s="19" t="n">
        <f aca="false">IFERROR(D101/B101,0)</f>
        <v>0</v>
      </c>
      <c r="F100" s="26"/>
      <c r="G100" s="18" t="str">
        <f aca="false">IF($B101="","",MAX($B$2:B101))</f>
        <v/>
      </c>
      <c r="H100" s="19" t="n">
        <f aca="false">IFERROR((B101-F101)/F101,0)</f>
        <v>0</v>
      </c>
      <c r="I100" s="19" t="n">
        <f aca="false">IFERROR((B101-G101)/G101,0)</f>
        <v>0</v>
      </c>
      <c r="J100" s="9"/>
      <c r="K100" s="14"/>
      <c r="L100" s="27"/>
      <c r="M100" s="27"/>
      <c r="N100" s="19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100" s="19" t="str">
        <f aca="false">IF($B101="","",IF(B101&lt;30000,35%,IF(B101&lt;50000,30%,IF(B101&lt;100000,25%,20%))))</f>
        <v/>
      </c>
      <c r="P100" s="21" t="str">
        <f aca="false">IF($A101="","",COUNTIFS(持仓表!$A:$A,$A101,持仓表!$G:$G,"&gt;0"))</f>
        <v/>
      </c>
      <c r="Q100" s="21" t="str">
        <f aca="false">IF($A101="","",COUNTIFS(持仓表!$A:$A,$A101,持仓表!$D:$D,"是",持仓表!$G:$G,"&gt;0"))</f>
        <v/>
      </c>
      <c r="R100" s="21" t="str">
        <f aca="false">IF($A101="","",MAX(0,P101-Q101))</f>
        <v/>
      </c>
      <c r="S100" s="21" t="str">
        <f aca="false">IF($B101="","",IF(B101&lt;50000,3,IF(B101&lt;100000,4,5)))</f>
        <v/>
      </c>
      <c r="T100" s="5" t="str">
        <f aca="false">IF($A101="","",IF(OR(M101&gt;=4,I101&lt;=-8%),"防守",IF(OR(M101&gt;=2,I101&lt;=-5%),"警戒","正常")))</f>
        <v/>
      </c>
      <c r="U100" s="5" t="str">
        <f aca="false">IF($A101="","",IF(AND(L101&gt;=3,M101&lt;=2,T101&lt;&gt;"防守"),"是","否"))</f>
        <v/>
      </c>
      <c r="V100" s="5" t="str">
        <f aca="false">IF($A101="","",IF(AND(E101&lt;N101,R101&lt;S101,M101&lt;=2,I101&gt;-15%),"是","否"))</f>
        <v/>
      </c>
      <c r="W100" s="5" t="str">
        <f aca="false">IF($A101="","",IF(OR(M101&gt;=3,I101&lt;=-15%),"是","否"))</f>
        <v/>
      </c>
      <c r="X100" s="18" t="str">
        <f aca="false">IF($A101="","",IFERROR(maxifs(候选池!$AB:$AB,候选池!$A:$A,$A101),0))</f>
        <v/>
      </c>
      <c r="Y100" s="18" t="str">
        <f aca="false">IF($A101="","",IF(OR(M101&gt;=4,I101&lt;=-8%),MAX(0,B101*60%-C101),IF(AND(ISNUMBER(AD101),B101&gt;AD101),IF(B101&lt;30000,0,IF(B101&lt;100000,MAX(0,(B101-AD101)*0.2),MAX(0,(B101-AD101)*0.3))),0)))</f>
        <v/>
      </c>
      <c r="Z100" s="9"/>
      <c r="AA100" s="5" t="str">
        <f aca="false">IF($A101="","",IF($AA$2&lt;&gt;"",$AA$2,""))</f>
        <v/>
      </c>
      <c r="AB100" s="9" t="str">
        <f aca="false">IF($A101="","",IF(B101&lt;30000,0.03,IF(B101&lt;100000,0.02,0.015)))</f>
        <v/>
      </c>
      <c r="AC100" s="21" t="str">
        <f aca="false">IF($A101="","",IFERROR(DATEDIF($A$2,$A101,"m"),0))</f>
        <v/>
      </c>
      <c r="AD100" s="18" t="str">
        <f aca="false">IF($A101="","",IF(OR(AA101="",AB101="",AC101=""),"",AA101*POWER(1+AB101,AC101)))</f>
        <v/>
      </c>
      <c r="AE100" s="29" t="str">
        <f aca="false">IF($A101="","",IF(OR(AD101="",AD101=0),"",B101/AD101-1))</f>
        <v/>
      </c>
      <c r="AG100" s="1" t="str">
        <f aca="false">IF($A101="","",IF(B101&lt;30000,"婴儿",IF(B101&lt;100000,"成长","成熟")))</f>
        <v/>
      </c>
      <c r="AH100" s="24"/>
      <c r="AJ100" s="24"/>
      <c r="AK100" s="24"/>
      <c r="AM100" s="24"/>
      <c r="AP100" s="15"/>
      <c r="AQ100" s="25" t="str">
        <f aca="false">IF($A101="","",B101-$AA$2-SUM($F$2:F101))</f>
        <v/>
      </c>
      <c r="AR100" s="1" t="str">
        <f aca="false">IF($A100="","",30000)</f>
        <v/>
      </c>
      <c r="AS100" s="1" t="str">
        <f aca="false">IF($A100="","",AR100-B100)</f>
        <v/>
      </c>
      <c r="AT100" s="1" t="str">
        <f aca="false">IF($A100="","",IFERROR(B100/AR100,0))</f>
        <v/>
      </c>
      <c r="AU100" s="1" t="str">
        <f aca="false">IF($A100="","",IFERROR(B100*O100,0))</f>
        <v/>
      </c>
      <c r="AV100" s="1" t="str">
        <f aca="false">IF($A100="","",IFERROR(C100/B100,0))</f>
        <v/>
      </c>
      <c r="AW100" s="1" t="str">
        <f aca="false">IF($A100="","",MAX(0,R100-S100))</f>
        <v/>
      </c>
      <c r="AX100" s="1" t="str">
        <f aca="false">IF($A100="","",IF(AW100&gt;0,"优先降持仓数",IF(C100&lt;=0,"现金不足","允许评估")))</f>
        <v/>
      </c>
      <c r="AY100" s="1" t="str">
        <f aca="false">IF($A100="","",IF(B100&lt;30000,"婴儿阶段: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6"/>
      <c r="B101" s="17"/>
      <c r="C101" s="17"/>
      <c r="D101" s="18" t="str">
        <f aca="false">IF($A102="","",SUMIFS(持仓表!$J:$J,持仓表!$A:$A,$A102))</f>
        <v/>
      </c>
      <c r="E101" s="19" t="n">
        <f aca="false">IFERROR(D102/B102,0)</f>
        <v>0</v>
      </c>
      <c r="F101" s="17"/>
      <c r="G101" s="18" t="str">
        <f aca="false">IF($B102="","",MAX($B$2:B102))</f>
        <v/>
      </c>
      <c r="H101" s="19" t="n">
        <f aca="false">IFERROR((B102-F102)/F102,0)</f>
        <v>0</v>
      </c>
      <c r="I101" s="19" t="n">
        <f aca="false">IFERROR((B102-G102)/G102,0)</f>
        <v>0</v>
      </c>
      <c r="J101" s="6"/>
      <c r="K101" s="13"/>
      <c r="L101" s="20"/>
      <c r="M101" s="20"/>
      <c r="N101" s="19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101" s="19" t="str">
        <f aca="false">IF($B102="","",IF(B102&lt;30000,35%,IF(B102&lt;50000,30%,IF(B102&lt;100000,25%,20%))))</f>
        <v/>
      </c>
      <c r="P101" s="21" t="str">
        <f aca="false">IF($A102="","",COUNTIFS(持仓表!$A:$A,$A102,持仓表!$G:$G,"&gt;0"))</f>
        <v/>
      </c>
      <c r="Q101" s="21" t="str">
        <f aca="false">IF($A102="","",COUNTIFS(持仓表!$A:$A,$A102,持仓表!$D:$D,"是",持仓表!$G:$G,"&gt;0"))</f>
        <v/>
      </c>
      <c r="R101" s="21" t="str">
        <f aca="false">IF($A102="","",MAX(0,P102-Q102))</f>
        <v/>
      </c>
      <c r="S101" s="21" t="str">
        <f aca="false">IF($B102="","",IF(B102&lt;50000,3,IF(B102&lt;100000,4,5)))</f>
        <v/>
      </c>
      <c r="T101" s="5" t="str">
        <f aca="false">IF($A102="","",IF(OR(M102&gt;=4,I102&lt;=-8%),"防守",IF(OR(M102&gt;=2,I102&lt;=-5%),"警戒","正常")))</f>
        <v/>
      </c>
      <c r="U101" s="5" t="str">
        <f aca="false">IF($A102="","",IF(AND(L102&gt;=3,M102&lt;=2,T102&lt;&gt;"防守"),"是","否"))</f>
        <v/>
      </c>
      <c r="V101" s="5" t="str">
        <f aca="false">IF($A102="","",IF(AND(E102&lt;N102,R102&lt;S102,M102&lt;=2,I102&gt;-15%),"是","否"))</f>
        <v/>
      </c>
      <c r="W101" s="5" t="str">
        <f aca="false">IF($A102="","",IF(OR(M102&gt;=3,I102&lt;=-15%),"是","否"))</f>
        <v/>
      </c>
      <c r="X101" s="18" t="str">
        <f aca="false">IF($A102="","",IFERROR(maxifs(候选池!$AB:$AB,候选池!$A:$A,$A102),0))</f>
        <v/>
      </c>
      <c r="Y101" s="18" t="str">
        <f aca="false">IF($A102="","",IF(OR(M102&gt;=4,I102&lt;=-8%),MAX(0,B102*60%-C102),IF(AND(ISNUMBER(AD102),B102&gt;AD102),IF(B102&lt;30000,0,IF(B102&lt;100000,MAX(0,(B102-AD102)*0.2),MAX(0,(B102-AD102)*0.3))),0)))</f>
        <v/>
      </c>
      <c r="Z101" s="6"/>
      <c r="AA101" s="5" t="str">
        <f aca="false">IF($A102="","",IF($AA$2&lt;&gt;"",$AA$2,""))</f>
        <v/>
      </c>
      <c r="AB101" s="6" t="str">
        <f aca="false">IF($A102="","",IF(B102&lt;30000,0.03,IF(B102&lt;100000,0.02,0.015)))</f>
        <v/>
      </c>
      <c r="AC101" s="21" t="str">
        <f aca="false">IF($A102="","",IFERROR(DATEDIF($A$2,$A102,"m"),0))</f>
        <v/>
      </c>
      <c r="AD101" s="18" t="str">
        <f aca="false">IF($A102="","",IF(OR(AA102="",AB102="",AC102=""),"",AA102*POWER(1+AB102,AC102)))</f>
        <v/>
      </c>
      <c r="AE101" s="23" t="str">
        <f aca="false">IF($A102="","",IF(OR(AD102="",AD102=0),"",B102/AD102-1))</f>
        <v/>
      </c>
      <c r="AG101" s="1" t="str">
        <f aca="false">IF($A102="","",IF(B102&lt;30000,"婴儿",IF(B102&lt;100000,"成长","成熟")))</f>
        <v/>
      </c>
      <c r="AH101" s="24"/>
      <c r="AJ101" s="24"/>
      <c r="AK101" s="24"/>
      <c r="AM101" s="24"/>
      <c r="AP101" s="15"/>
      <c r="AQ101" s="25" t="str">
        <f aca="false">IF($A102="","",B102-$AA$2-SUM($F$2:F102))</f>
        <v/>
      </c>
      <c r="AR101" s="1" t="str">
        <f aca="false">IF($A101="","",30000)</f>
        <v/>
      </c>
      <c r="AS101" s="1" t="str">
        <f aca="false">IF($A101="","",AR101-B101)</f>
        <v/>
      </c>
      <c r="AT101" s="1" t="str">
        <f aca="false">IF($A101="","",IFERROR(B101/AR101,0))</f>
        <v/>
      </c>
      <c r="AU101" s="1" t="str">
        <f aca="false">IF($A101="","",IFERROR(B101*O101,0))</f>
        <v/>
      </c>
      <c r="AV101" s="1" t="str">
        <f aca="false">IF($A101="","",IFERROR(C101/B101,0))</f>
        <v/>
      </c>
      <c r="AW101" s="1" t="str">
        <f aca="false">IF($A101="","",MAX(0,R101-S101))</f>
        <v/>
      </c>
      <c r="AX101" s="1" t="str">
        <f aca="false">IF($A101="","",IF(AW101&gt;0,"优先降持仓数",IF(C101&lt;=0,"现金不足","允许评估")))</f>
        <v/>
      </c>
      <c r="AY101" s="1" t="str">
        <f aca="false">IF($A101="","",IF(B101&lt;30000,"婴儿阶段: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9"/>
      <c r="B102" s="26"/>
      <c r="C102" s="26"/>
      <c r="D102" s="18" t="str">
        <f aca="false">IF($A103="","",SUMIFS(持仓表!$J:$J,持仓表!$A:$A,$A103))</f>
        <v/>
      </c>
      <c r="E102" s="19" t="n">
        <f aca="false">IFERROR(D103/B103,0)</f>
        <v>0</v>
      </c>
      <c r="F102" s="26"/>
      <c r="G102" s="18" t="str">
        <f aca="false">IF($B103="","",MAX($B$2:B103))</f>
        <v/>
      </c>
      <c r="H102" s="19" t="n">
        <f aca="false">IFERROR((B103-F103)/F103,0)</f>
        <v>0</v>
      </c>
      <c r="I102" s="19" t="n">
        <f aca="false">IFERROR((B103-G103)/G103,0)</f>
        <v>0</v>
      </c>
      <c r="J102" s="9"/>
      <c r="K102" s="14"/>
      <c r="L102" s="27"/>
      <c r="M102" s="27"/>
      <c r="N102" s="19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102" s="19" t="str">
        <f aca="false">IF($B103="","",IF(B103&lt;30000,35%,IF(B103&lt;50000,30%,IF(B103&lt;100000,25%,20%))))</f>
        <v/>
      </c>
      <c r="P102" s="21" t="str">
        <f aca="false">IF($A103="","",COUNTIFS(持仓表!$A:$A,$A103,持仓表!$G:$G,"&gt;0"))</f>
        <v/>
      </c>
      <c r="Q102" s="21" t="str">
        <f aca="false">IF($A103="","",COUNTIFS(持仓表!$A:$A,$A103,持仓表!$D:$D,"是",持仓表!$G:$G,"&gt;0"))</f>
        <v/>
      </c>
      <c r="R102" s="21" t="str">
        <f aca="false">IF($A103="","",MAX(0,P103-Q103))</f>
        <v/>
      </c>
      <c r="S102" s="21" t="str">
        <f aca="false">IF($B103="","",IF(B103&lt;50000,3,IF(B103&lt;100000,4,5)))</f>
        <v/>
      </c>
      <c r="T102" s="5" t="str">
        <f aca="false">IF($A103="","",IF(OR(M103&gt;=4,I103&lt;=-8%),"防守",IF(OR(M103&gt;=2,I103&lt;=-5%),"警戒","正常")))</f>
        <v/>
      </c>
      <c r="U102" s="5" t="str">
        <f aca="false">IF($A103="","",IF(AND(L103&gt;=3,M103&lt;=2,T103&lt;&gt;"防守"),"是","否"))</f>
        <v/>
      </c>
      <c r="V102" s="5" t="str">
        <f aca="false">IF($A103="","",IF(AND(E103&lt;N103,R103&lt;S103,M103&lt;=2,I103&gt;-15%),"是","否"))</f>
        <v/>
      </c>
      <c r="W102" s="5" t="str">
        <f aca="false">IF($A103="","",IF(OR(M103&gt;=3,I103&lt;=-15%),"是","否"))</f>
        <v/>
      </c>
      <c r="X102" s="18" t="str">
        <f aca="false">IF($A103="","",IFERROR(maxifs(候选池!$AB:$AB,候选池!$A:$A,$A103),0))</f>
        <v/>
      </c>
      <c r="Y102" s="18" t="str">
        <f aca="false">IF($A103="","",IF(OR(M103&gt;=4,I103&lt;=-8%),MAX(0,B103*60%-C103),IF(AND(ISNUMBER(AD103),B103&gt;AD103),IF(B103&lt;30000,0,IF(B103&lt;100000,MAX(0,(B103-AD103)*0.2),MAX(0,(B103-AD103)*0.3))),0)))</f>
        <v/>
      </c>
      <c r="Z102" s="9"/>
      <c r="AA102" s="5" t="str">
        <f aca="false">IF($A103="","",IF($AA$2&lt;&gt;"",$AA$2,""))</f>
        <v/>
      </c>
      <c r="AB102" s="9" t="str">
        <f aca="false">IF($A103="","",IF(B103&lt;30000,0.03,IF(B103&lt;100000,0.02,0.015)))</f>
        <v/>
      </c>
      <c r="AC102" s="21" t="str">
        <f aca="false">IF($A103="","",IFERROR(DATEDIF($A$2,$A103,"m"),0))</f>
        <v/>
      </c>
      <c r="AD102" s="18" t="str">
        <f aca="false">IF($A103="","",IF(OR(AA103="",AB103="",AC103=""),"",AA103*POWER(1+AB103,AC103)))</f>
        <v/>
      </c>
      <c r="AE102" s="29" t="str">
        <f aca="false">IF($A103="","",IF(OR(AD103="",AD103=0),"",B103/AD103-1))</f>
        <v/>
      </c>
      <c r="AG102" s="1" t="str">
        <f aca="false">IF($A103="","",IF(B103&lt;30000,"婴儿",IF(B103&lt;100000,"成长","成熟")))</f>
        <v/>
      </c>
      <c r="AH102" s="24"/>
      <c r="AJ102" s="24"/>
      <c r="AK102" s="24"/>
      <c r="AM102" s="24"/>
      <c r="AP102" s="15"/>
      <c r="AQ102" s="25" t="str">
        <f aca="false">IF($A103="","",B103-$AA$2-SUM($F$2:F103))</f>
        <v/>
      </c>
      <c r="AR102" s="1" t="str">
        <f aca="false">IF($A102="","",30000)</f>
        <v/>
      </c>
      <c r="AS102" s="1" t="str">
        <f aca="false">IF($A102="","",AR102-B102)</f>
        <v/>
      </c>
      <c r="AT102" s="1" t="str">
        <f aca="false">IF($A102="","",IFERROR(B102/AR102,0))</f>
        <v/>
      </c>
      <c r="AU102" s="1" t="str">
        <f aca="false">IF($A102="","",IFERROR(B102*O102,0))</f>
        <v/>
      </c>
      <c r="AV102" s="1" t="str">
        <f aca="false">IF($A102="","",IFERROR(C102/B102,0))</f>
        <v/>
      </c>
      <c r="AW102" s="1" t="str">
        <f aca="false">IF($A102="","",MAX(0,R102-S102))</f>
        <v/>
      </c>
      <c r="AX102" s="1" t="str">
        <f aca="false">IF($A102="","",IF(AW102&gt;0,"优先降持仓数",IF(C102&lt;=0,"现金不足","允许评估")))</f>
        <v/>
      </c>
      <c r="AY102" s="1" t="str">
        <f aca="false">IF($A102="","",IF(B102&lt;30000,"婴儿阶段: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6"/>
      <c r="B103" s="17"/>
      <c r="C103" s="17"/>
      <c r="D103" s="18" t="str">
        <f aca="false">IF($A104="","",SUMIFS(持仓表!$J:$J,持仓表!$A:$A,$A104))</f>
        <v/>
      </c>
      <c r="E103" s="19" t="n">
        <f aca="false">IFERROR(D104/B104,0)</f>
        <v>0</v>
      </c>
      <c r="F103" s="17"/>
      <c r="G103" s="18" t="str">
        <f aca="false">IF($B104="","",MAX($B$2:B104))</f>
        <v/>
      </c>
      <c r="H103" s="19" t="n">
        <f aca="false">IFERROR((B104-F104)/F104,0)</f>
        <v>0</v>
      </c>
      <c r="I103" s="19" t="n">
        <f aca="false">IFERROR((B104-G104)/G104,0)</f>
        <v>0</v>
      </c>
      <c r="J103" s="6"/>
      <c r="K103" s="13"/>
      <c r="L103" s="20"/>
      <c r="M103" s="20"/>
      <c r="N103" s="19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103" s="19" t="str">
        <f aca="false">IF($B104="","",IF(B104&lt;30000,35%,IF(B104&lt;50000,30%,IF(B104&lt;100000,25%,20%))))</f>
        <v/>
      </c>
      <c r="P103" s="21" t="str">
        <f aca="false">IF($A104="","",COUNTIFS(持仓表!$A:$A,$A104,持仓表!$G:$G,"&gt;0"))</f>
        <v/>
      </c>
      <c r="Q103" s="21" t="str">
        <f aca="false">IF($A104="","",COUNTIFS(持仓表!$A:$A,$A104,持仓表!$D:$D,"是",持仓表!$G:$G,"&gt;0"))</f>
        <v/>
      </c>
      <c r="R103" s="21" t="str">
        <f aca="false">IF($A104="","",MAX(0,P104-Q104))</f>
        <v/>
      </c>
      <c r="S103" s="21" t="str">
        <f aca="false">IF($B104="","",IF(B104&lt;50000,3,IF(B104&lt;100000,4,5)))</f>
        <v/>
      </c>
      <c r="T103" s="5" t="str">
        <f aca="false">IF($A104="","",IF(OR(M104&gt;=4,I104&lt;=-8%),"防守",IF(OR(M104&gt;=2,I104&lt;=-5%),"警戒","正常")))</f>
        <v/>
      </c>
      <c r="U103" s="5" t="str">
        <f aca="false">IF($A104="","",IF(AND(L104&gt;=3,M104&lt;=2,T104&lt;&gt;"防守"),"是","否"))</f>
        <v/>
      </c>
      <c r="V103" s="5" t="str">
        <f aca="false">IF($A104="","",IF(AND(E104&lt;N104,R104&lt;S104,M104&lt;=2,I104&gt;-15%),"是","否"))</f>
        <v/>
      </c>
      <c r="W103" s="5" t="str">
        <f aca="false">IF($A104="","",IF(OR(M104&gt;=3,I104&lt;=-15%),"是","否"))</f>
        <v/>
      </c>
      <c r="X103" s="18" t="str">
        <f aca="false">IF($A104="","",IFERROR(maxifs(候选池!$AB:$AB,候选池!$A:$A,$A104),0))</f>
        <v/>
      </c>
      <c r="Y103" s="18" t="str">
        <f aca="false">IF($A104="","",IF(OR(M104&gt;=4,I104&lt;=-8%),MAX(0,B104*60%-C104),IF(AND(ISNUMBER(AD104),B104&gt;AD104),IF(B104&lt;30000,0,IF(B104&lt;100000,MAX(0,(B104-AD104)*0.2),MAX(0,(B104-AD104)*0.3))),0)))</f>
        <v/>
      </c>
      <c r="Z103" s="6"/>
      <c r="AA103" s="5" t="str">
        <f aca="false">IF($A104="","",IF($AA$2&lt;&gt;"",$AA$2,""))</f>
        <v/>
      </c>
      <c r="AB103" s="6" t="str">
        <f aca="false">IF($A104="","",IF(B104&lt;30000,0.03,IF(B104&lt;100000,0.02,0.015)))</f>
        <v/>
      </c>
      <c r="AC103" s="21" t="str">
        <f aca="false">IF($A104="","",IFERROR(DATEDIF($A$2,$A104,"m"),0))</f>
        <v/>
      </c>
      <c r="AD103" s="18" t="str">
        <f aca="false">IF($A104="","",IF(OR(AA104="",AB104="",AC104=""),"",AA104*POWER(1+AB104,AC104)))</f>
        <v/>
      </c>
      <c r="AE103" s="23" t="str">
        <f aca="false">IF($A104="","",IF(OR(AD104="",AD104=0),"",B104/AD104-1))</f>
        <v/>
      </c>
      <c r="AG103" s="1" t="str">
        <f aca="false">IF($A104="","",IF(B104&lt;30000,"婴儿",IF(B104&lt;100000,"成长","成熟")))</f>
        <v/>
      </c>
      <c r="AH103" s="24"/>
      <c r="AJ103" s="24"/>
      <c r="AK103" s="24"/>
      <c r="AM103" s="24"/>
      <c r="AP103" s="15"/>
      <c r="AQ103" s="25" t="str">
        <f aca="false">IF($A104="","",B104-$AA$2-SUM($F$2:F104))</f>
        <v/>
      </c>
      <c r="AR103" s="1" t="str">
        <f aca="false">IF($A103="","",30000)</f>
        <v/>
      </c>
      <c r="AS103" s="1" t="str">
        <f aca="false">IF($A103="","",AR103-B103)</f>
        <v/>
      </c>
      <c r="AT103" s="1" t="str">
        <f aca="false">IF($A103="","",IFERROR(B103/AR103,0))</f>
        <v/>
      </c>
      <c r="AU103" s="1" t="str">
        <f aca="false">IF($A103="","",IFERROR(B103*O103,0))</f>
        <v/>
      </c>
      <c r="AV103" s="1" t="str">
        <f aca="false">IF($A103="","",IFERROR(C103/B103,0))</f>
        <v/>
      </c>
      <c r="AW103" s="1" t="str">
        <f aca="false">IF($A103="","",MAX(0,R103-S103))</f>
        <v/>
      </c>
      <c r="AX103" s="1" t="str">
        <f aca="false">IF($A103="","",IF(AW103&gt;0,"优先降持仓数",IF(C103&lt;=0,"现金不足","允许评估")))</f>
        <v/>
      </c>
      <c r="AY103" s="1" t="str">
        <f aca="false">IF($A103="","",IF(B103&lt;30000,"婴儿阶段: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9"/>
      <c r="B104" s="26"/>
      <c r="C104" s="26"/>
      <c r="D104" s="18" t="str">
        <f aca="false">IF($A105="","",SUMIFS(持仓表!$J:$J,持仓表!$A:$A,$A105))</f>
        <v/>
      </c>
      <c r="E104" s="19" t="n">
        <f aca="false">IFERROR(D105/B105,0)</f>
        <v>0</v>
      </c>
      <c r="F104" s="26"/>
      <c r="G104" s="18" t="str">
        <f aca="false">IF($B105="","",MAX($B$2:B105))</f>
        <v/>
      </c>
      <c r="H104" s="19" t="n">
        <f aca="false">IFERROR((B105-F105)/F105,0)</f>
        <v>0</v>
      </c>
      <c r="I104" s="19" t="n">
        <f aca="false">IFERROR((B105-G105)/G105,0)</f>
        <v>0</v>
      </c>
      <c r="J104" s="9"/>
      <c r="K104" s="14"/>
      <c r="L104" s="27"/>
      <c r="M104" s="27"/>
      <c r="N104" s="19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4" s="19" t="str">
        <f aca="false">IF($B105="","",IF(B105&lt;30000,35%,IF(B105&lt;50000,30%,IF(B105&lt;100000,25%,20%))))</f>
        <v/>
      </c>
      <c r="P104" s="21" t="str">
        <f aca="false">IF($A105="","",COUNTIFS(持仓表!$A:$A,$A105,持仓表!$G:$G,"&gt;0"))</f>
        <v/>
      </c>
      <c r="Q104" s="21" t="str">
        <f aca="false">IF($A105="","",COUNTIFS(持仓表!$A:$A,$A105,持仓表!$D:$D,"是",持仓表!$G:$G,"&gt;0"))</f>
        <v/>
      </c>
      <c r="R104" s="21" t="str">
        <f aca="false">IF($A105="","",MAX(0,P105-Q105))</f>
        <v/>
      </c>
      <c r="S104" s="21" t="str">
        <f aca="false">IF($B105="","",IF(B105&lt;50000,3,IF(B105&lt;100000,4,5)))</f>
        <v/>
      </c>
      <c r="T104" s="5" t="str">
        <f aca="false">IF($A105="","",IF(OR(M105&gt;=4,I105&lt;=-8%),"防守",IF(OR(M105&gt;=2,I105&lt;=-5%),"警戒","正常")))</f>
        <v/>
      </c>
      <c r="U104" s="5" t="str">
        <f aca="false">IF($A105="","",IF(AND(L105&gt;=3,M105&lt;=2,T105&lt;&gt;"防守"),"是","否"))</f>
        <v/>
      </c>
      <c r="V104" s="5" t="str">
        <f aca="false">IF($A105="","",IF(AND(E105&lt;N105,R105&lt;S105,M105&lt;=2,I105&gt;-15%),"是","否"))</f>
        <v/>
      </c>
      <c r="W104" s="5" t="str">
        <f aca="false">IF($A105="","",IF(OR(M105&gt;=3,I105&lt;=-15%),"是","否"))</f>
        <v/>
      </c>
      <c r="X104" s="18" t="str">
        <f aca="false">IF($A105="","",IFERROR(maxifs(候选池!$AB:$AB,候选池!$A:$A,$A105),0))</f>
        <v/>
      </c>
      <c r="Y104" s="18" t="str">
        <f aca="false">IF($A105="","",IF(OR(M105&gt;=4,I105&lt;=-8%),MAX(0,B105*60%-C105),IF(AND(ISNUMBER(AD105),B105&gt;AD105),IF(B105&lt;30000,0,IF(B105&lt;100000,MAX(0,(B105-AD105)*0.2),MAX(0,(B105-AD105)*0.3))),0)))</f>
        <v/>
      </c>
      <c r="Z104" s="9"/>
      <c r="AA104" s="5" t="str">
        <f aca="false">IF($A105="","",IF($AA$2&lt;&gt;"",$AA$2,""))</f>
        <v/>
      </c>
      <c r="AB104" s="9" t="str">
        <f aca="false">IF($A105="","",IF(B105&lt;30000,0.03,IF(B105&lt;100000,0.02,0.015)))</f>
        <v/>
      </c>
      <c r="AC104" s="21" t="str">
        <f aca="false">IF($A105="","",IFERROR(DATEDIF($A$2,$A105,"m"),0))</f>
        <v/>
      </c>
      <c r="AD104" s="18" t="str">
        <f aca="false">IF($A105="","",IF(OR(AA105="",AB105="",AC105=""),"",AA105*POWER(1+AB105,AC105)))</f>
        <v/>
      </c>
      <c r="AE104" s="29" t="str">
        <f aca="false">IF($A105="","",IF(OR(AD105="",AD105=0),"",B105/AD105-1))</f>
        <v/>
      </c>
      <c r="AG104" s="1" t="str">
        <f aca="false">IF($A105="","",IF(B105&lt;30000,"婴儿",IF(B105&lt;100000,"成长","成熟")))</f>
        <v/>
      </c>
      <c r="AH104" s="24"/>
      <c r="AJ104" s="24"/>
      <c r="AK104" s="24"/>
      <c r="AM104" s="24"/>
      <c r="AP104" s="15"/>
      <c r="AQ104" s="25" t="str">
        <f aca="false">IF($A105="","",B105-$AA$2-SUM($F$2:F105))</f>
        <v/>
      </c>
      <c r="AR104" s="1" t="str">
        <f aca="false">IF($A104="","",30000)</f>
        <v/>
      </c>
      <c r="AS104" s="1" t="str">
        <f aca="false">IF($A104="","",AR104-B104)</f>
        <v/>
      </c>
      <c r="AT104" s="1" t="str">
        <f aca="false">IF($A104="","",IFERROR(B104/AR104,0))</f>
        <v/>
      </c>
      <c r="AU104" s="1" t="str">
        <f aca="false">IF($A104="","",IFERROR(B104*O104,0))</f>
        <v/>
      </c>
      <c r="AV104" s="1" t="str">
        <f aca="false">IF($A104="","",IFERROR(C104/B104,0))</f>
        <v/>
      </c>
      <c r="AW104" s="1" t="str">
        <f aca="false">IF($A104="","",MAX(0,R104-S104))</f>
        <v/>
      </c>
      <c r="AX104" s="1" t="str">
        <f aca="false">IF($A104="","",IF(AW104&gt;0,"优先降持仓数",IF(C104&lt;=0,"现金不足","允许评估")))</f>
        <v/>
      </c>
      <c r="AY104" s="1" t="str">
        <f aca="false">IF($A104="","",IF(B104&lt;30000,"婴儿阶段: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6"/>
      <c r="B105" s="17"/>
      <c r="C105" s="17"/>
      <c r="D105" s="18" t="str">
        <f aca="false">IF($A106="","",SUMIFS(持仓表!$J:$J,持仓表!$A:$A,$A106))</f>
        <v/>
      </c>
      <c r="E105" s="19" t="n">
        <f aca="false">IFERROR(D106/B106,0)</f>
        <v>0</v>
      </c>
      <c r="F105" s="17"/>
      <c r="G105" s="18" t="str">
        <f aca="false">IF($B106="","",MAX($B$2:B106))</f>
        <v/>
      </c>
      <c r="H105" s="19" t="n">
        <f aca="false">IFERROR((B106-F106)/F106,0)</f>
        <v>0</v>
      </c>
      <c r="I105" s="19" t="n">
        <f aca="false">IFERROR((B106-G106)/G106,0)</f>
        <v>0</v>
      </c>
      <c r="J105" s="6"/>
      <c r="K105" s="13"/>
      <c r="L105" s="20"/>
      <c r="M105" s="20"/>
      <c r="N105" s="19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5" s="19" t="str">
        <f aca="false">IF($B106="","",IF(B106&lt;30000,35%,IF(B106&lt;50000,30%,IF(B106&lt;100000,25%,20%))))</f>
        <v/>
      </c>
      <c r="P105" s="21" t="str">
        <f aca="false">IF($A106="","",COUNTIFS(持仓表!$A:$A,$A106,持仓表!$G:$G,"&gt;0"))</f>
        <v/>
      </c>
      <c r="Q105" s="21" t="str">
        <f aca="false">IF($A106="","",COUNTIFS(持仓表!$A:$A,$A106,持仓表!$D:$D,"是",持仓表!$G:$G,"&gt;0"))</f>
        <v/>
      </c>
      <c r="R105" s="21" t="str">
        <f aca="false">IF($A106="","",MAX(0,P106-Q106))</f>
        <v/>
      </c>
      <c r="S105" s="21" t="str">
        <f aca="false">IF($B106="","",IF(B106&lt;50000,3,IF(B106&lt;100000,4,5)))</f>
        <v/>
      </c>
      <c r="T105" s="5" t="str">
        <f aca="false">IF($A106="","",IF(OR(M106&gt;=4,I106&lt;=-8%),"防守",IF(OR(M106&gt;=2,I106&lt;=-5%),"警戒","正常")))</f>
        <v/>
      </c>
      <c r="U105" s="5" t="str">
        <f aca="false">IF($A106="","",IF(AND(L106&gt;=3,M106&lt;=2,T106&lt;&gt;"防守"),"是","否"))</f>
        <v/>
      </c>
      <c r="V105" s="5" t="str">
        <f aca="false">IF($A106="","",IF(AND(E106&lt;N106,R106&lt;S106,M106&lt;=2,I106&gt;-15%),"是","否"))</f>
        <v/>
      </c>
      <c r="W105" s="5" t="str">
        <f aca="false">IF($A106="","",IF(OR(M106&gt;=3,I106&lt;=-15%),"是","否"))</f>
        <v/>
      </c>
      <c r="X105" s="18" t="str">
        <f aca="false">IF($A106="","",IFERROR(maxifs(候选池!$AB:$AB,候选池!$A:$A,$A106),0))</f>
        <v/>
      </c>
      <c r="Y105" s="18" t="str">
        <f aca="false">IF($A106="","",IF(OR(M106&gt;=4,I106&lt;=-8%),MAX(0,B106*60%-C106),IF(AND(ISNUMBER(AD106),B106&gt;AD106),IF(B106&lt;30000,0,IF(B106&lt;100000,MAX(0,(B106-AD106)*0.2),MAX(0,(B106-AD106)*0.3))),0)))</f>
        <v/>
      </c>
      <c r="Z105" s="6"/>
      <c r="AA105" s="5" t="str">
        <f aca="false">IF($A106="","",IF($AA$2&lt;&gt;"",$AA$2,""))</f>
        <v/>
      </c>
      <c r="AB105" s="6" t="str">
        <f aca="false">IF($A106="","",IF(B106&lt;30000,0.03,IF(B106&lt;100000,0.02,0.015)))</f>
        <v/>
      </c>
      <c r="AC105" s="21" t="str">
        <f aca="false">IF($A106="","",IFERROR(DATEDIF($A$2,$A106,"m"),0))</f>
        <v/>
      </c>
      <c r="AD105" s="18" t="str">
        <f aca="false">IF($A106="","",IF(OR(AA106="",AB106="",AC106=""),"",AA106*POWER(1+AB106,AC106)))</f>
        <v/>
      </c>
      <c r="AE105" s="23" t="str">
        <f aca="false">IF($A106="","",IF(OR(AD106="",AD106=0),"",B106/AD106-1))</f>
        <v/>
      </c>
      <c r="AG105" s="1" t="str">
        <f aca="false">IF($A106="","",IF(B106&lt;30000,"婴儿",IF(B106&lt;100000,"成长","成熟")))</f>
        <v/>
      </c>
      <c r="AH105" s="24"/>
      <c r="AJ105" s="24"/>
      <c r="AK105" s="24"/>
      <c r="AM105" s="24"/>
      <c r="AP105" s="15"/>
      <c r="AQ105" s="25" t="str">
        <f aca="false">IF($A106="","",B106-$AA$2-SUM($F$2:F106))</f>
        <v/>
      </c>
      <c r="AR105" s="1" t="str">
        <f aca="false">IF($A105="","",30000)</f>
        <v/>
      </c>
      <c r="AS105" s="1" t="str">
        <f aca="false">IF($A105="","",AR105-B105)</f>
        <v/>
      </c>
      <c r="AT105" s="1" t="str">
        <f aca="false">IF($A105="","",IFERROR(B105/AR105,0))</f>
        <v/>
      </c>
      <c r="AU105" s="1" t="str">
        <f aca="false">IF($A105="","",IFERROR(B105*O105,0))</f>
        <v/>
      </c>
      <c r="AV105" s="1" t="str">
        <f aca="false">IF($A105="","",IFERROR(C105/B105,0))</f>
        <v/>
      </c>
      <c r="AW105" s="1" t="str">
        <f aca="false">IF($A105="","",MAX(0,R105-S105))</f>
        <v/>
      </c>
      <c r="AX105" s="1" t="str">
        <f aca="false">IF($A105="","",IF(AW105&gt;0,"优先降持仓数",IF(C105&lt;=0,"现金不足","允许评估")))</f>
        <v/>
      </c>
      <c r="AY105" s="1" t="str">
        <f aca="false">IF($A105="","",IF(B105&lt;30000,"婴儿阶段: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9"/>
      <c r="B106" s="26"/>
      <c r="C106" s="26"/>
      <c r="D106" s="18" t="str">
        <f aca="false">IF($A107="","",SUMIFS(持仓表!$J:$J,持仓表!$A:$A,$A107))</f>
        <v/>
      </c>
      <c r="E106" s="19" t="n">
        <f aca="false">IFERROR(D107/B107,0)</f>
        <v>0</v>
      </c>
      <c r="F106" s="26"/>
      <c r="G106" s="18" t="str">
        <f aca="false">IF($B107="","",MAX($B$2:B107))</f>
        <v/>
      </c>
      <c r="H106" s="19" t="n">
        <f aca="false">IFERROR((B107-F107)/F107,0)</f>
        <v>0</v>
      </c>
      <c r="I106" s="19" t="n">
        <f aca="false">IFERROR((B107-G107)/G107,0)</f>
        <v>0</v>
      </c>
      <c r="J106" s="9"/>
      <c r="K106" s="14"/>
      <c r="L106" s="27"/>
      <c r="M106" s="27"/>
      <c r="N106" s="19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6" s="19" t="str">
        <f aca="false">IF($B107="","",IF(B107&lt;30000,35%,IF(B107&lt;50000,30%,IF(B107&lt;100000,25%,20%))))</f>
        <v/>
      </c>
      <c r="P106" s="21" t="str">
        <f aca="false">IF($A107="","",COUNTIFS(持仓表!$A:$A,$A107,持仓表!$G:$G,"&gt;0"))</f>
        <v/>
      </c>
      <c r="Q106" s="21" t="str">
        <f aca="false">IF($A107="","",COUNTIFS(持仓表!$A:$A,$A107,持仓表!$D:$D,"是",持仓表!$G:$G,"&gt;0"))</f>
        <v/>
      </c>
      <c r="R106" s="21" t="str">
        <f aca="false">IF($A107="","",MAX(0,P107-Q107))</f>
        <v/>
      </c>
      <c r="S106" s="21" t="str">
        <f aca="false">IF($B107="","",IF(B107&lt;50000,3,IF(B107&lt;100000,4,5)))</f>
        <v/>
      </c>
      <c r="T106" s="5" t="str">
        <f aca="false">IF($A107="","",IF(OR(M107&gt;=4,I107&lt;=-8%),"防守",IF(OR(M107&gt;=2,I107&lt;=-5%),"警戒","正常")))</f>
        <v/>
      </c>
      <c r="U106" s="5" t="str">
        <f aca="false">IF($A107="","",IF(AND(L107&gt;=3,M107&lt;=2,T107&lt;&gt;"防守"),"是","否"))</f>
        <v/>
      </c>
      <c r="V106" s="5" t="str">
        <f aca="false">IF($A107="","",IF(AND(E107&lt;N107,R107&lt;S107,M107&lt;=2,I107&gt;-15%),"是","否"))</f>
        <v/>
      </c>
      <c r="W106" s="5" t="str">
        <f aca="false">IF($A107="","",IF(OR(M107&gt;=3,I107&lt;=-15%),"是","否"))</f>
        <v/>
      </c>
      <c r="X106" s="18" t="str">
        <f aca="false">IF($A107="","",IFERROR(maxifs(候选池!$AB:$AB,候选池!$A:$A,$A107),0))</f>
        <v/>
      </c>
      <c r="Y106" s="18" t="str">
        <f aca="false">IF($A107="","",IF(OR(M107&gt;=4,I107&lt;=-8%),MAX(0,B107*60%-C107),IF(AND(ISNUMBER(AD107),B107&gt;AD107),IF(B107&lt;30000,0,IF(B107&lt;100000,MAX(0,(B107-AD107)*0.2),MAX(0,(B107-AD107)*0.3))),0)))</f>
        <v/>
      </c>
      <c r="Z106" s="9"/>
      <c r="AA106" s="5" t="str">
        <f aca="false">IF($A107="","",IF($AA$2&lt;&gt;"",$AA$2,""))</f>
        <v/>
      </c>
      <c r="AB106" s="9" t="str">
        <f aca="false">IF($A107="","",IF(B107&lt;30000,0.03,IF(B107&lt;100000,0.02,0.015)))</f>
        <v/>
      </c>
      <c r="AC106" s="21" t="str">
        <f aca="false">IF($A107="","",IFERROR(DATEDIF($A$2,$A107,"m"),0))</f>
        <v/>
      </c>
      <c r="AD106" s="18" t="str">
        <f aca="false">IF($A107="","",IF(OR(AA107="",AB107="",AC107=""),"",AA107*POWER(1+AB107,AC107)))</f>
        <v/>
      </c>
      <c r="AE106" s="29" t="str">
        <f aca="false">IF($A107="","",IF(OR(AD107="",AD107=0),"",B107/AD107-1))</f>
        <v/>
      </c>
      <c r="AG106" s="1" t="str">
        <f aca="false">IF($A107="","",IF(B107&lt;30000,"婴儿",IF(B107&lt;100000,"成长","成熟")))</f>
        <v/>
      </c>
      <c r="AH106" s="24"/>
      <c r="AJ106" s="24"/>
      <c r="AK106" s="24"/>
      <c r="AM106" s="24"/>
      <c r="AP106" s="15"/>
      <c r="AQ106" s="25" t="str">
        <f aca="false">IF($A107="","",B107-$AA$2-SUM($F$2:F107))</f>
        <v/>
      </c>
      <c r="AR106" s="1" t="str">
        <f aca="false">IF($A106="","",30000)</f>
        <v/>
      </c>
      <c r="AS106" s="1" t="str">
        <f aca="false">IF($A106="","",AR106-B106)</f>
        <v/>
      </c>
      <c r="AT106" s="1" t="str">
        <f aca="false">IF($A106="","",IFERROR(B106/AR106,0))</f>
        <v/>
      </c>
      <c r="AU106" s="1" t="str">
        <f aca="false">IF($A106="","",IFERROR(B106*O106,0))</f>
        <v/>
      </c>
      <c r="AV106" s="1" t="str">
        <f aca="false">IF($A106="","",IFERROR(C106/B106,0))</f>
        <v/>
      </c>
      <c r="AW106" s="1" t="str">
        <f aca="false">IF($A106="","",MAX(0,R106-S106))</f>
        <v/>
      </c>
      <c r="AX106" s="1" t="str">
        <f aca="false">IF($A106="","",IF(AW106&gt;0,"优先降持仓数",IF(C106&lt;=0,"现金不足","允许评估")))</f>
        <v/>
      </c>
      <c r="AY106" s="1" t="str">
        <f aca="false">IF($A106="","",IF(B106&lt;30000,"婴儿阶段: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6"/>
      <c r="B107" s="17"/>
      <c r="C107" s="17"/>
      <c r="D107" s="18" t="str">
        <f aca="false">IF($A108="","",SUMIFS(持仓表!$J:$J,持仓表!$A:$A,$A108))</f>
        <v/>
      </c>
      <c r="E107" s="19" t="n">
        <f aca="false">IFERROR(D108/B108,0)</f>
        <v>0</v>
      </c>
      <c r="F107" s="17"/>
      <c r="G107" s="18" t="str">
        <f aca="false">IF($B108="","",MAX($B$2:B108))</f>
        <v/>
      </c>
      <c r="H107" s="19" t="n">
        <f aca="false">IFERROR((B108-F108)/F108,0)</f>
        <v>0</v>
      </c>
      <c r="I107" s="19" t="n">
        <f aca="false">IFERROR((B108-G108)/G108,0)</f>
        <v>0</v>
      </c>
      <c r="J107" s="6"/>
      <c r="K107" s="13"/>
      <c r="L107" s="20"/>
      <c r="M107" s="20"/>
      <c r="N107" s="19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7" s="19" t="str">
        <f aca="false">IF($B108="","",IF(B108&lt;30000,35%,IF(B108&lt;50000,30%,IF(B108&lt;100000,25%,20%))))</f>
        <v/>
      </c>
      <c r="P107" s="21" t="str">
        <f aca="false">IF($A108="","",COUNTIFS(持仓表!$A:$A,$A108,持仓表!$G:$G,"&gt;0"))</f>
        <v/>
      </c>
      <c r="Q107" s="21" t="str">
        <f aca="false">IF($A108="","",COUNTIFS(持仓表!$A:$A,$A108,持仓表!$D:$D,"是",持仓表!$G:$G,"&gt;0"))</f>
        <v/>
      </c>
      <c r="R107" s="21" t="str">
        <f aca="false">IF($A108="","",MAX(0,P108-Q108))</f>
        <v/>
      </c>
      <c r="S107" s="21" t="str">
        <f aca="false">IF($B108="","",IF(B108&lt;50000,3,IF(B108&lt;100000,4,5)))</f>
        <v/>
      </c>
      <c r="T107" s="5" t="str">
        <f aca="false">IF($A108="","",IF(OR(M108&gt;=4,I108&lt;=-8%),"防守",IF(OR(M108&gt;=2,I108&lt;=-5%),"警戒","正常")))</f>
        <v/>
      </c>
      <c r="U107" s="5" t="str">
        <f aca="false">IF($A108="","",IF(AND(L108&gt;=3,M108&lt;=2,T108&lt;&gt;"防守"),"是","否"))</f>
        <v/>
      </c>
      <c r="V107" s="5" t="str">
        <f aca="false">IF($A108="","",IF(AND(E108&lt;N108,R108&lt;S108,M108&lt;=2,I108&gt;-15%),"是","否"))</f>
        <v/>
      </c>
      <c r="W107" s="5" t="str">
        <f aca="false">IF($A108="","",IF(OR(M108&gt;=3,I108&lt;=-15%),"是","否"))</f>
        <v/>
      </c>
      <c r="X107" s="18" t="str">
        <f aca="false">IF($A108="","",IFERROR(maxifs(候选池!$AB:$AB,候选池!$A:$A,$A108),0))</f>
        <v/>
      </c>
      <c r="Y107" s="18" t="str">
        <f aca="false">IF($A108="","",IF(OR(M108&gt;=4,I108&lt;=-8%),MAX(0,B108*60%-C108),IF(AND(ISNUMBER(AD108),B108&gt;AD108),IF(B108&lt;30000,0,IF(B108&lt;100000,MAX(0,(B108-AD108)*0.2),MAX(0,(B108-AD108)*0.3))),0)))</f>
        <v/>
      </c>
      <c r="Z107" s="6"/>
      <c r="AA107" s="5" t="str">
        <f aca="false">IF($A108="","",IF($AA$2&lt;&gt;"",$AA$2,""))</f>
        <v/>
      </c>
      <c r="AB107" s="6" t="str">
        <f aca="false">IF($A108="","",IF(B108&lt;30000,0.03,IF(B108&lt;100000,0.02,0.015)))</f>
        <v/>
      </c>
      <c r="AC107" s="21" t="str">
        <f aca="false">IF($A108="","",IFERROR(DATEDIF($A$2,$A108,"m"),0))</f>
        <v/>
      </c>
      <c r="AD107" s="18" t="str">
        <f aca="false">IF($A108="","",IF(OR(AA108="",AB108="",AC108=""),"",AA108*POWER(1+AB108,AC108)))</f>
        <v/>
      </c>
      <c r="AE107" s="23" t="str">
        <f aca="false">IF($A108="","",IF(OR(AD108="",AD108=0),"",B108/AD108-1))</f>
        <v/>
      </c>
      <c r="AG107" s="1" t="str">
        <f aca="false">IF($A108="","",IF(B108&lt;30000,"婴儿",IF(B108&lt;100000,"成长","成熟")))</f>
        <v/>
      </c>
      <c r="AH107" s="24"/>
      <c r="AJ107" s="24"/>
      <c r="AK107" s="24"/>
      <c r="AM107" s="24"/>
      <c r="AP107" s="15"/>
      <c r="AQ107" s="25" t="str">
        <f aca="false">IF($A108="","",B108-$AA$2-SUM($F$2:F108))</f>
        <v/>
      </c>
      <c r="AR107" s="1" t="str">
        <f aca="false">IF($A107="","",30000)</f>
        <v/>
      </c>
      <c r="AS107" s="1" t="str">
        <f aca="false">IF($A107="","",AR107-B107)</f>
        <v/>
      </c>
      <c r="AT107" s="1" t="str">
        <f aca="false">IF($A107="","",IFERROR(B107/AR107,0))</f>
        <v/>
      </c>
      <c r="AU107" s="1" t="str">
        <f aca="false">IF($A107="","",IFERROR(B107*O107,0))</f>
        <v/>
      </c>
      <c r="AV107" s="1" t="str">
        <f aca="false">IF($A107="","",IFERROR(C107/B107,0))</f>
        <v/>
      </c>
      <c r="AW107" s="1" t="str">
        <f aca="false">IF($A107="","",MAX(0,R107-S107))</f>
        <v/>
      </c>
      <c r="AX107" s="1" t="str">
        <f aca="false">IF($A107="","",IF(AW107&gt;0,"优先降持仓数",IF(C107&lt;=0,"现金不足","允许评估")))</f>
        <v/>
      </c>
      <c r="AY107" s="1" t="str">
        <f aca="false">IF($A107="","",IF(B107&lt;30000,"婴儿阶段: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9"/>
      <c r="B108" s="26"/>
      <c r="C108" s="26"/>
      <c r="D108" s="18" t="str">
        <f aca="false">IF($A109="","",SUMIFS(持仓表!$J:$J,持仓表!$A:$A,$A109))</f>
        <v/>
      </c>
      <c r="E108" s="19" t="n">
        <f aca="false">IFERROR(D109/B109,0)</f>
        <v>0</v>
      </c>
      <c r="F108" s="26"/>
      <c r="G108" s="18" t="str">
        <f aca="false">IF($B109="","",MAX($B$2:B109))</f>
        <v/>
      </c>
      <c r="H108" s="19" t="n">
        <f aca="false">IFERROR((B109-F109)/F109,0)</f>
        <v>0</v>
      </c>
      <c r="I108" s="19" t="n">
        <f aca="false">IFERROR((B109-G109)/G109,0)</f>
        <v>0</v>
      </c>
      <c r="J108" s="9"/>
      <c r="K108" s="14"/>
      <c r="L108" s="27"/>
      <c r="M108" s="27"/>
      <c r="N108" s="19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8" s="19" t="str">
        <f aca="false">IF($B109="","",IF(B109&lt;30000,35%,IF(B109&lt;50000,30%,IF(B109&lt;100000,25%,20%))))</f>
        <v/>
      </c>
      <c r="P108" s="21" t="str">
        <f aca="false">IF($A109="","",COUNTIFS(持仓表!$A:$A,$A109,持仓表!$G:$G,"&gt;0"))</f>
        <v/>
      </c>
      <c r="Q108" s="21" t="str">
        <f aca="false">IF($A109="","",COUNTIFS(持仓表!$A:$A,$A109,持仓表!$D:$D,"是",持仓表!$G:$G,"&gt;0"))</f>
        <v/>
      </c>
      <c r="R108" s="21" t="str">
        <f aca="false">IF($A109="","",MAX(0,P109-Q109))</f>
        <v/>
      </c>
      <c r="S108" s="21" t="str">
        <f aca="false">IF($B109="","",IF(B109&lt;50000,3,IF(B109&lt;100000,4,5)))</f>
        <v/>
      </c>
      <c r="T108" s="5" t="str">
        <f aca="false">IF($A109="","",IF(OR(M109&gt;=4,I109&lt;=-8%),"防守",IF(OR(M109&gt;=2,I109&lt;=-5%),"警戒","正常")))</f>
        <v/>
      </c>
      <c r="U108" s="5" t="str">
        <f aca="false">IF($A109="","",IF(AND(L109&gt;=3,M109&lt;=2,T109&lt;&gt;"防守"),"是","否"))</f>
        <v/>
      </c>
      <c r="V108" s="5" t="str">
        <f aca="false">IF($A109="","",IF(AND(E109&lt;N109,R109&lt;S109,M109&lt;=2,I109&gt;-15%),"是","否"))</f>
        <v/>
      </c>
      <c r="W108" s="5" t="str">
        <f aca="false">IF($A109="","",IF(OR(M109&gt;=3,I109&lt;=-15%),"是","否"))</f>
        <v/>
      </c>
      <c r="X108" s="18" t="str">
        <f aca="false">IF($A109="","",IFERROR(maxifs(候选池!$AB:$AB,候选池!$A:$A,$A109),0))</f>
        <v/>
      </c>
      <c r="Y108" s="18" t="str">
        <f aca="false">IF($A109="","",IF(OR(M109&gt;=4,I109&lt;=-8%),MAX(0,B109*60%-C109),IF(AND(ISNUMBER(AD109),B109&gt;AD109),IF(B109&lt;30000,0,IF(B109&lt;100000,MAX(0,(B109-AD109)*0.2),MAX(0,(B109-AD109)*0.3))),0)))</f>
        <v/>
      </c>
      <c r="Z108" s="9"/>
      <c r="AA108" s="5" t="str">
        <f aca="false">IF($A109="","",IF($AA$2&lt;&gt;"",$AA$2,""))</f>
        <v/>
      </c>
      <c r="AB108" s="9" t="str">
        <f aca="false">IF($A109="","",IF(B109&lt;30000,0.03,IF(B109&lt;100000,0.02,0.015)))</f>
        <v/>
      </c>
      <c r="AC108" s="21" t="str">
        <f aca="false">IF($A109="","",IFERROR(DATEDIF($A$2,$A109,"m"),0))</f>
        <v/>
      </c>
      <c r="AD108" s="18" t="str">
        <f aca="false">IF($A109="","",IF(OR(AA109="",AB109="",AC109=""),"",AA109*POWER(1+AB109,AC109)))</f>
        <v/>
      </c>
      <c r="AE108" s="29" t="str">
        <f aca="false">IF($A109="","",IF(OR(AD109="",AD109=0),"",B109/AD109-1))</f>
        <v/>
      </c>
      <c r="AG108" s="1" t="str">
        <f aca="false">IF($A109="","",IF(B109&lt;30000,"婴儿",IF(B109&lt;100000,"成长","成熟")))</f>
        <v/>
      </c>
      <c r="AH108" s="24"/>
      <c r="AJ108" s="24"/>
      <c r="AK108" s="24"/>
      <c r="AM108" s="24"/>
      <c r="AP108" s="15"/>
      <c r="AQ108" s="25" t="str">
        <f aca="false">IF($A109="","",B109-$AA$2-SUM($F$2:F109))</f>
        <v/>
      </c>
      <c r="AR108" s="1" t="str">
        <f aca="false">IF($A108="","",30000)</f>
        <v/>
      </c>
      <c r="AS108" s="1" t="str">
        <f aca="false">IF($A108="","",AR108-B108)</f>
        <v/>
      </c>
      <c r="AT108" s="1" t="str">
        <f aca="false">IF($A108="","",IFERROR(B108/AR108,0))</f>
        <v/>
      </c>
      <c r="AU108" s="1" t="str">
        <f aca="false">IF($A108="","",IFERROR(B108*O108,0))</f>
        <v/>
      </c>
      <c r="AV108" s="1" t="str">
        <f aca="false">IF($A108="","",IFERROR(C108/B108,0))</f>
        <v/>
      </c>
      <c r="AW108" s="1" t="str">
        <f aca="false">IF($A108="","",MAX(0,R108-S108))</f>
        <v/>
      </c>
      <c r="AX108" s="1" t="str">
        <f aca="false">IF($A108="","",IF(AW108&gt;0,"优先降持仓数",IF(C108&lt;=0,"现金不足","允许评估")))</f>
        <v/>
      </c>
      <c r="AY108" s="1" t="str">
        <f aca="false">IF($A108="","",IF(B108&lt;30000,"婴儿阶段: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6"/>
      <c r="B109" s="17"/>
      <c r="C109" s="17"/>
      <c r="D109" s="18" t="str">
        <f aca="false">IF($A110="","",SUMIFS(持仓表!$J:$J,持仓表!$A:$A,$A110))</f>
        <v/>
      </c>
      <c r="E109" s="19" t="n">
        <f aca="false">IFERROR(D110/B110,0)</f>
        <v>0</v>
      </c>
      <c r="F109" s="17"/>
      <c r="G109" s="18" t="str">
        <f aca="false">IF($B110="","",MAX($B$2:B110))</f>
        <v/>
      </c>
      <c r="H109" s="19" t="n">
        <f aca="false">IFERROR((B110-F110)/F110,0)</f>
        <v>0</v>
      </c>
      <c r="I109" s="19" t="n">
        <f aca="false">IFERROR((B110-G110)/G110,0)</f>
        <v>0</v>
      </c>
      <c r="J109" s="6"/>
      <c r="K109" s="13"/>
      <c r="L109" s="20"/>
      <c r="M109" s="20"/>
      <c r="N109" s="19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9" s="19" t="str">
        <f aca="false">IF($B110="","",IF(B110&lt;30000,35%,IF(B110&lt;50000,30%,IF(B110&lt;100000,25%,20%))))</f>
        <v/>
      </c>
      <c r="P109" s="21" t="str">
        <f aca="false">IF($A110="","",COUNTIFS(持仓表!$A:$A,$A110,持仓表!$G:$G,"&gt;0"))</f>
        <v/>
      </c>
      <c r="Q109" s="21" t="str">
        <f aca="false">IF($A110="","",COUNTIFS(持仓表!$A:$A,$A110,持仓表!$D:$D,"是",持仓表!$G:$G,"&gt;0"))</f>
        <v/>
      </c>
      <c r="R109" s="21" t="str">
        <f aca="false">IF($A110="","",MAX(0,P110-Q110))</f>
        <v/>
      </c>
      <c r="S109" s="21" t="str">
        <f aca="false">IF($B110="","",IF(B110&lt;50000,3,IF(B110&lt;100000,4,5)))</f>
        <v/>
      </c>
      <c r="T109" s="5" t="str">
        <f aca="false">IF($A110="","",IF(OR(M110&gt;=4,I110&lt;=-8%),"防守",IF(OR(M110&gt;=2,I110&lt;=-5%),"警戒","正常")))</f>
        <v/>
      </c>
      <c r="U109" s="5" t="str">
        <f aca="false">IF($A110="","",IF(AND(L110&gt;=3,M110&lt;=2,T110&lt;&gt;"防守"),"是","否"))</f>
        <v/>
      </c>
      <c r="V109" s="5" t="str">
        <f aca="false">IF($A110="","",IF(AND(E110&lt;N110,R110&lt;S110,M110&lt;=2,I110&gt;-15%),"是","否"))</f>
        <v/>
      </c>
      <c r="W109" s="5" t="str">
        <f aca="false">IF($A110="","",IF(OR(M110&gt;=3,I110&lt;=-15%),"是","否"))</f>
        <v/>
      </c>
      <c r="X109" s="18" t="str">
        <f aca="false">IF($A110="","",IFERROR(maxifs(候选池!$AB:$AB,候选池!$A:$A,$A110),0))</f>
        <v/>
      </c>
      <c r="Y109" s="18" t="str">
        <f aca="false">IF($A110="","",IF(OR(M110&gt;=4,I110&lt;=-8%),MAX(0,B110*60%-C110),IF(AND(ISNUMBER(AD110),B110&gt;AD110),IF(B110&lt;30000,0,IF(B110&lt;100000,MAX(0,(B110-AD110)*0.2),MAX(0,(B110-AD110)*0.3))),0)))</f>
        <v/>
      </c>
      <c r="Z109" s="6"/>
      <c r="AA109" s="5" t="str">
        <f aca="false">IF($A110="","",IF($AA$2&lt;&gt;"",$AA$2,""))</f>
        <v/>
      </c>
      <c r="AB109" s="6" t="str">
        <f aca="false">IF($A110="","",IF(B110&lt;30000,0.03,IF(B110&lt;100000,0.02,0.015)))</f>
        <v/>
      </c>
      <c r="AC109" s="21" t="str">
        <f aca="false">IF($A110="","",IFERROR(DATEDIF($A$2,$A110,"m"),0))</f>
        <v/>
      </c>
      <c r="AD109" s="18" t="str">
        <f aca="false">IF($A110="","",IF(OR(AA110="",AB110="",AC110=""),"",AA110*POWER(1+AB110,AC110)))</f>
        <v/>
      </c>
      <c r="AE109" s="23" t="str">
        <f aca="false">IF($A110="","",IF(OR(AD110="",AD110=0),"",B110/AD110-1))</f>
        <v/>
      </c>
      <c r="AG109" s="1" t="str">
        <f aca="false">IF($A110="","",IF(B110&lt;30000,"婴儿",IF(B110&lt;100000,"成长","成熟")))</f>
        <v/>
      </c>
      <c r="AH109" s="24"/>
      <c r="AJ109" s="24"/>
      <c r="AK109" s="24"/>
      <c r="AM109" s="24"/>
      <c r="AP109" s="15"/>
      <c r="AQ109" s="25" t="str">
        <f aca="false">IF($A110="","",B110-$AA$2-SUM($F$2:F110))</f>
        <v/>
      </c>
      <c r="AR109" s="1" t="str">
        <f aca="false">IF($A109="","",30000)</f>
        <v/>
      </c>
      <c r="AS109" s="1" t="str">
        <f aca="false">IF($A109="","",AR109-B109)</f>
        <v/>
      </c>
      <c r="AT109" s="1" t="str">
        <f aca="false">IF($A109="","",IFERROR(B109/AR109,0))</f>
        <v/>
      </c>
      <c r="AU109" s="1" t="str">
        <f aca="false">IF($A109="","",IFERROR(B109*O109,0))</f>
        <v/>
      </c>
      <c r="AV109" s="1" t="str">
        <f aca="false">IF($A109="","",IFERROR(C109/B109,0))</f>
        <v/>
      </c>
      <c r="AW109" s="1" t="str">
        <f aca="false">IF($A109="","",MAX(0,R109-S109))</f>
        <v/>
      </c>
      <c r="AX109" s="1" t="str">
        <f aca="false">IF($A109="","",IF(AW109&gt;0,"优先降持仓数",IF(C109&lt;=0,"现金不足","允许评估")))</f>
        <v/>
      </c>
      <c r="AY109" s="1" t="str">
        <f aca="false">IF($A109="","",IF(B109&lt;30000,"婴儿阶段: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9"/>
      <c r="B110" s="26"/>
      <c r="C110" s="26"/>
      <c r="D110" s="18" t="str">
        <f aca="false">IF($A111="","",SUMIFS(持仓表!$J:$J,持仓表!$A:$A,$A111))</f>
        <v/>
      </c>
      <c r="E110" s="19" t="n">
        <f aca="false">IFERROR(D111/B111,0)</f>
        <v>0</v>
      </c>
      <c r="F110" s="26"/>
      <c r="G110" s="18" t="str">
        <f aca="false">IF($B111="","",MAX($B$2:B111))</f>
        <v/>
      </c>
      <c r="H110" s="19" t="n">
        <f aca="false">IFERROR((B111-F111)/F111,0)</f>
        <v>0</v>
      </c>
      <c r="I110" s="19" t="n">
        <f aca="false">IFERROR((B111-G111)/G111,0)</f>
        <v>0</v>
      </c>
      <c r="J110" s="9"/>
      <c r="K110" s="14"/>
      <c r="L110" s="27"/>
      <c r="M110" s="27"/>
      <c r="N110" s="19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10" s="19" t="str">
        <f aca="false">IF($B111="","",IF(B111&lt;30000,35%,IF(B111&lt;50000,30%,IF(B111&lt;100000,25%,20%))))</f>
        <v/>
      </c>
      <c r="P110" s="21" t="str">
        <f aca="false">IF($A111="","",COUNTIFS(持仓表!$A:$A,$A111,持仓表!$G:$G,"&gt;0"))</f>
        <v/>
      </c>
      <c r="Q110" s="21" t="str">
        <f aca="false">IF($A111="","",COUNTIFS(持仓表!$A:$A,$A111,持仓表!$D:$D,"是",持仓表!$G:$G,"&gt;0"))</f>
        <v/>
      </c>
      <c r="R110" s="21" t="str">
        <f aca="false">IF($A111="","",MAX(0,P111-Q111))</f>
        <v/>
      </c>
      <c r="S110" s="21" t="str">
        <f aca="false">IF($B111="","",IF(B111&lt;50000,3,IF(B111&lt;100000,4,5)))</f>
        <v/>
      </c>
      <c r="T110" s="5" t="str">
        <f aca="false">IF($A111="","",IF(OR(M111&gt;=4,I111&lt;=-8%),"防守",IF(OR(M111&gt;=2,I111&lt;=-5%),"警戒","正常")))</f>
        <v/>
      </c>
      <c r="U110" s="5" t="str">
        <f aca="false">IF($A111="","",IF(AND(L111&gt;=3,M111&lt;=2,T111&lt;&gt;"防守"),"是","否"))</f>
        <v/>
      </c>
      <c r="V110" s="5" t="str">
        <f aca="false">IF($A111="","",IF(AND(E111&lt;N111,R111&lt;S111,M111&lt;=2,I111&gt;-15%),"是","否"))</f>
        <v/>
      </c>
      <c r="W110" s="5" t="str">
        <f aca="false">IF($A111="","",IF(OR(M111&gt;=3,I111&lt;=-15%),"是","否"))</f>
        <v/>
      </c>
      <c r="X110" s="18" t="str">
        <f aca="false">IF($A111="","",IFERROR(maxifs(候选池!$AB:$AB,候选池!$A:$A,$A111),0))</f>
        <v/>
      </c>
      <c r="Y110" s="18" t="str">
        <f aca="false">IF($A111="","",IF(OR(M111&gt;=4,I111&lt;=-8%),MAX(0,B111*60%-C111),IF(AND(ISNUMBER(AD111),B111&gt;AD111),IF(B111&lt;30000,0,IF(B111&lt;100000,MAX(0,(B111-AD111)*0.2),MAX(0,(B111-AD111)*0.3))),0)))</f>
        <v/>
      </c>
      <c r="Z110" s="9"/>
      <c r="AA110" s="5" t="str">
        <f aca="false">IF($A111="","",IF($AA$2&lt;&gt;"",$AA$2,""))</f>
        <v/>
      </c>
      <c r="AB110" s="9" t="str">
        <f aca="false">IF($A111="","",IF(B111&lt;30000,0.03,IF(B111&lt;100000,0.02,0.015)))</f>
        <v/>
      </c>
      <c r="AC110" s="21" t="str">
        <f aca="false">IF($A111="","",IFERROR(DATEDIF($A$2,$A111,"m"),0))</f>
        <v/>
      </c>
      <c r="AD110" s="18" t="str">
        <f aca="false">IF($A111="","",IF(OR(AA111="",AB111="",AC111=""),"",AA111*POWER(1+AB111,AC111)))</f>
        <v/>
      </c>
      <c r="AE110" s="29" t="str">
        <f aca="false">IF($A111="","",IF(OR(AD111="",AD111=0),"",B111/AD111-1))</f>
        <v/>
      </c>
      <c r="AG110" s="1" t="str">
        <f aca="false">IF($A111="","",IF(B111&lt;30000,"婴儿",IF(B111&lt;100000,"成长","成熟")))</f>
        <v/>
      </c>
      <c r="AH110" s="24"/>
      <c r="AJ110" s="24"/>
      <c r="AK110" s="24"/>
      <c r="AM110" s="24"/>
      <c r="AP110" s="15"/>
      <c r="AQ110" s="25" t="str">
        <f aca="false">IF($A111="","",B111-$AA$2-SUM($F$2:F111))</f>
        <v/>
      </c>
      <c r="AR110" s="1" t="str">
        <f aca="false">IF($A110="","",30000)</f>
        <v/>
      </c>
      <c r="AS110" s="1" t="str">
        <f aca="false">IF($A110="","",AR110-B110)</f>
        <v/>
      </c>
      <c r="AT110" s="1" t="str">
        <f aca="false">IF($A110="","",IFERROR(B110/AR110,0))</f>
        <v/>
      </c>
      <c r="AU110" s="1" t="str">
        <f aca="false">IF($A110="","",IFERROR(B110*O110,0))</f>
        <v/>
      </c>
      <c r="AV110" s="1" t="str">
        <f aca="false">IF($A110="","",IFERROR(C110/B110,0))</f>
        <v/>
      </c>
      <c r="AW110" s="1" t="str">
        <f aca="false">IF($A110="","",MAX(0,R110-S110))</f>
        <v/>
      </c>
      <c r="AX110" s="1" t="str">
        <f aca="false">IF($A110="","",IF(AW110&gt;0,"优先降持仓数",IF(C110&lt;=0,"现金不足","允许评估")))</f>
        <v/>
      </c>
      <c r="AY110" s="1" t="str">
        <f aca="false">IF($A110="","",IF(B110&lt;30000,"婴儿阶段: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6"/>
      <c r="B111" s="17"/>
      <c r="C111" s="17"/>
      <c r="D111" s="18" t="str">
        <f aca="false">IF($A112="","",SUMIFS(持仓表!$J:$J,持仓表!$A:$A,$A112))</f>
        <v/>
      </c>
      <c r="E111" s="19" t="n">
        <f aca="false">IFERROR(D112/B112,0)</f>
        <v>0</v>
      </c>
      <c r="F111" s="17"/>
      <c r="G111" s="18" t="str">
        <f aca="false">IF($B112="","",MAX($B$2:B112))</f>
        <v/>
      </c>
      <c r="H111" s="19" t="n">
        <f aca="false">IFERROR((B112-F112)/F112,0)</f>
        <v>0</v>
      </c>
      <c r="I111" s="19" t="n">
        <f aca="false">IFERROR((B112-G112)/G112,0)</f>
        <v>0</v>
      </c>
      <c r="J111" s="6"/>
      <c r="K111" s="13"/>
      <c r="L111" s="20"/>
      <c r="M111" s="20"/>
      <c r="N111" s="19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11" s="19" t="str">
        <f aca="false">IF($B112="","",IF(B112&lt;30000,35%,IF(B112&lt;50000,30%,IF(B112&lt;100000,25%,20%))))</f>
        <v/>
      </c>
      <c r="P111" s="21" t="str">
        <f aca="false">IF($A112="","",COUNTIFS(持仓表!$A:$A,$A112,持仓表!$G:$G,"&gt;0"))</f>
        <v/>
      </c>
      <c r="Q111" s="21" t="str">
        <f aca="false">IF($A112="","",COUNTIFS(持仓表!$A:$A,$A112,持仓表!$D:$D,"是",持仓表!$G:$G,"&gt;0"))</f>
        <v/>
      </c>
      <c r="R111" s="21" t="str">
        <f aca="false">IF($A112="","",MAX(0,P112-Q112))</f>
        <v/>
      </c>
      <c r="S111" s="21" t="str">
        <f aca="false">IF($B112="","",IF(B112&lt;50000,3,IF(B112&lt;100000,4,5)))</f>
        <v/>
      </c>
      <c r="T111" s="5" t="str">
        <f aca="false">IF($A112="","",IF(OR(M112&gt;=4,I112&lt;=-8%),"防守",IF(OR(M112&gt;=2,I112&lt;=-5%),"警戒","正常")))</f>
        <v/>
      </c>
      <c r="U111" s="5" t="str">
        <f aca="false">IF($A112="","",IF(AND(L112&gt;=3,M112&lt;=2,T112&lt;&gt;"防守"),"是","否"))</f>
        <v/>
      </c>
      <c r="V111" s="5" t="str">
        <f aca="false">IF($A112="","",IF(AND(E112&lt;N112,R112&lt;S112,M112&lt;=2,I112&gt;-15%),"是","否"))</f>
        <v/>
      </c>
      <c r="W111" s="5" t="str">
        <f aca="false">IF($A112="","",IF(OR(M112&gt;=3,I112&lt;=-15%),"是","否"))</f>
        <v/>
      </c>
      <c r="X111" s="18" t="str">
        <f aca="false">IF($A112="","",IFERROR(maxifs(候选池!$AB:$AB,候选池!$A:$A,$A112),0))</f>
        <v/>
      </c>
      <c r="Y111" s="18" t="str">
        <f aca="false">IF($A112="","",IF(OR(M112&gt;=4,I112&lt;=-8%),MAX(0,B112*60%-C112),IF(AND(ISNUMBER(AD112),B112&gt;AD112),IF(B112&lt;30000,0,IF(B112&lt;100000,MAX(0,(B112-AD112)*0.2),MAX(0,(B112-AD112)*0.3))),0)))</f>
        <v/>
      </c>
      <c r="Z111" s="6"/>
      <c r="AA111" s="5" t="str">
        <f aca="false">IF($A112="","",IF($AA$2&lt;&gt;"",$AA$2,""))</f>
        <v/>
      </c>
      <c r="AB111" s="6" t="str">
        <f aca="false">IF($A112="","",IF(B112&lt;30000,0.03,IF(B112&lt;100000,0.02,0.015)))</f>
        <v/>
      </c>
      <c r="AC111" s="21" t="str">
        <f aca="false">IF($A112="","",IFERROR(DATEDIF($A$2,$A112,"m"),0))</f>
        <v/>
      </c>
      <c r="AD111" s="18" t="str">
        <f aca="false">IF($A112="","",IF(OR(AA112="",AB112="",AC112=""),"",AA112*POWER(1+AB112,AC112)))</f>
        <v/>
      </c>
      <c r="AE111" s="23" t="str">
        <f aca="false">IF($A112="","",IF(OR(AD112="",AD112=0),"",B112/AD112-1))</f>
        <v/>
      </c>
      <c r="AG111" s="1" t="str">
        <f aca="false">IF($A112="","",IF(B112&lt;30000,"婴儿",IF(B112&lt;100000,"成长","成熟")))</f>
        <v/>
      </c>
      <c r="AH111" s="24"/>
      <c r="AJ111" s="24"/>
      <c r="AK111" s="24"/>
      <c r="AM111" s="24"/>
      <c r="AP111" s="15"/>
      <c r="AQ111" s="25" t="str">
        <f aca="false">IF($A112="","",B112-$AA$2-SUM($F$2:F112))</f>
        <v/>
      </c>
      <c r="AR111" s="1" t="str">
        <f aca="false">IF($A111="","",30000)</f>
        <v/>
      </c>
      <c r="AS111" s="1" t="str">
        <f aca="false">IF($A111="","",AR111-B111)</f>
        <v/>
      </c>
      <c r="AT111" s="1" t="str">
        <f aca="false">IF($A111="","",IFERROR(B111/AR111,0))</f>
        <v/>
      </c>
      <c r="AU111" s="1" t="str">
        <f aca="false">IF($A111="","",IFERROR(B111*O111,0))</f>
        <v/>
      </c>
      <c r="AV111" s="1" t="str">
        <f aca="false">IF($A111="","",IFERROR(C111/B111,0))</f>
        <v/>
      </c>
      <c r="AW111" s="1" t="str">
        <f aca="false">IF($A111="","",MAX(0,R111-S111))</f>
        <v/>
      </c>
      <c r="AX111" s="1" t="str">
        <f aca="false">IF($A111="","",IF(AW111&gt;0,"优先降持仓数",IF(C111&lt;=0,"现金不足","允许评估")))</f>
        <v/>
      </c>
      <c r="AY111" s="1" t="str">
        <f aca="false">IF($A111="","",IF(B111&lt;30000,"婴儿阶段: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9"/>
      <c r="B112" s="26"/>
      <c r="C112" s="26"/>
      <c r="D112" s="18" t="str">
        <f aca="false">IF($A113="","",SUMIFS(持仓表!$J:$J,持仓表!$A:$A,$A113))</f>
        <v/>
      </c>
      <c r="E112" s="19" t="n">
        <f aca="false">IFERROR(D113/B113,0)</f>
        <v>0</v>
      </c>
      <c r="F112" s="26"/>
      <c r="G112" s="18" t="str">
        <f aca="false">IF($B113="","",MAX($B$2:B113))</f>
        <v/>
      </c>
      <c r="H112" s="19" t="n">
        <f aca="false">IFERROR((B113-F113)/F113,0)</f>
        <v>0</v>
      </c>
      <c r="I112" s="19" t="n">
        <f aca="false">IFERROR((B113-G113)/G113,0)</f>
        <v>0</v>
      </c>
      <c r="J112" s="9"/>
      <c r="K112" s="14"/>
      <c r="L112" s="27"/>
      <c r="M112" s="27"/>
      <c r="N112" s="19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12" s="19" t="str">
        <f aca="false">IF($B113="","",IF(B113&lt;30000,35%,IF(B113&lt;50000,30%,IF(B113&lt;100000,25%,20%))))</f>
        <v/>
      </c>
      <c r="P112" s="21" t="str">
        <f aca="false">IF($A113="","",COUNTIFS(持仓表!$A:$A,$A113,持仓表!$G:$G,"&gt;0"))</f>
        <v/>
      </c>
      <c r="Q112" s="21" t="str">
        <f aca="false">IF($A113="","",COUNTIFS(持仓表!$A:$A,$A113,持仓表!$D:$D,"是",持仓表!$G:$G,"&gt;0"))</f>
        <v/>
      </c>
      <c r="R112" s="21" t="str">
        <f aca="false">IF($A113="","",MAX(0,P113-Q113))</f>
        <v/>
      </c>
      <c r="S112" s="21" t="str">
        <f aca="false">IF($B113="","",IF(B113&lt;50000,3,IF(B113&lt;100000,4,5)))</f>
        <v/>
      </c>
      <c r="T112" s="5" t="str">
        <f aca="false">IF($A113="","",IF(OR(M113&gt;=4,I113&lt;=-8%),"防守",IF(OR(M113&gt;=2,I113&lt;=-5%),"警戒","正常")))</f>
        <v/>
      </c>
      <c r="U112" s="5" t="str">
        <f aca="false">IF($A113="","",IF(AND(L113&gt;=3,M113&lt;=2,T113&lt;&gt;"防守"),"是","否"))</f>
        <v/>
      </c>
      <c r="V112" s="5" t="str">
        <f aca="false">IF($A113="","",IF(AND(E113&lt;N113,R113&lt;S113,M113&lt;=2,I113&gt;-15%),"是","否"))</f>
        <v/>
      </c>
      <c r="W112" s="5" t="str">
        <f aca="false">IF($A113="","",IF(OR(M113&gt;=3,I113&lt;=-15%),"是","否"))</f>
        <v/>
      </c>
      <c r="X112" s="18" t="str">
        <f aca="false">IF($A113="","",IFERROR(maxifs(候选池!$AB:$AB,候选池!$A:$A,$A113),0))</f>
        <v/>
      </c>
      <c r="Y112" s="18" t="str">
        <f aca="false">IF($A113="","",IF(OR(M113&gt;=4,I113&lt;=-8%),MAX(0,B113*60%-C113),IF(AND(ISNUMBER(AD113),B113&gt;AD113),IF(B113&lt;30000,0,IF(B113&lt;100000,MAX(0,(B113-AD113)*0.2),MAX(0,(B113-AD113)*0.3))),0)))</f>
        <v/>
      </c>
      <c r="Z112" s="9"/>
      <c r="AA112" s="5" t="str">
        <f aca="false">IF($A113="","",IF($AA$2&lt;&gt;"",$AA$2,""))</f>
        <v/>
      </c>
      <c r="AB112" s="9" t="str">
        <f aca="false">IF($A113="","",IF(B113&lt;30000,0.03,IF(B113&lt;100000,0.02,0.015)))</f>
        <v/>
      </c>
      <c r="AC112" s="21" t="str">
        <f aca="false">IF($A113="","",IFERROR(DATEDIF($A$2,$A113,"m"),0))</f>
        <v/>
      </c>
      <c r="AD112" s="18" t="str">
        <f aca="false">IF($A113="","",IF(OR(AA113="",AB113="",AC113=""),"",AA113*POWER(1+AB113,AC113)))</f>
        <v/>
      </c>
      <c r="AE112" s="29" t="str">
        <f aca="false">IF($A113="","",IF(OR(AD113="",AD113=0),"",B113/AD113-1))</f>
        <v/>
      </c>
      <c r="AG112" s="1" t="str">
        <f aca="false">IF($A113="","",IF(B113&lt;30000,"婴儿",IF(B113&lt;100000,"成长","成熟")))</f>
        <v/>
      </c>
      <c r="AH112" s="24"/>
      <c r="AJ112" s="24"/>
      <c r="AK112" s="24"/>
      <c r="AM112" s="24"/>
      <c r="AP112" s="15"/>
      <c r="AQ112" s="25" t="str">
        <f aca="false">IF($A113="","",B113-$AA$2-SUM($F$2:F113))</f>
        <v/>
      </c>
      <c r="AR112" s="1" t="str">
        <f aca="false">IF($A112="","",30000)</f>
        <v/>
      </c>
      <c r="AS112" s="1" t="str">
        <f aca="false">IF($A112="","",AR112-B112)</f>
        <v/>
      </c>
      <c r="AT112" s="1" t="str">
        <f aca="false">IF($A112="","",IFERROR(B112/AR112,0))</f>
        <v/>
      </c>
      <c r="AU112" s="1" t="str">
        <f aca="false">IF($A112="","",IFERROR(B112*O112,0))</f>
        <v/>
      </c>
      <c r="AV112" s="1" t="str">
        <f aca="false">IF($A112="","",IFERROR(C112/B112,0))</f>
        <v/>
      </c>
      <c r="AW112" s="1" t="str">
        <f aca="false">IF($A112="","",MAX(0,R112-S112))</f>
        <v/>
      </c>
      <c r="AX112" s="1" t="str">
        <f aca="false">IF($A112="","",IF(AW112&gt;0,"优先降持仓数",IF(C112&lt;=0,"现金不足","允许评估")))</f>
        <v/>
      </c>
      <c r="AY112" s="1" t="str">
        <f aca="false">IF($A112="","",IF(B112&lt;30000,"婴儿阶段: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6"/>
      <c r="B113" s="17"/>
      <c r="C113" s="17"/>
      <c r="D113" s="18" t="str">
        <f aca="false">IF($A114="","",SUMIFS(持仓表!$J:$J,持仓表!$A:$A,$A114))</f>
        <v/>
      </c>
      <c r="E113" s="19" t="n">
        <f aca="false">IFERROR(D114/B114,0)</f>
        <v>0</v>
      </c>
      <c r="F113" s="17"/>
      <c r="G113" s="18" t="str">
        <f aca="false">IF($B114="","",MAX($B$2:B114))</f>
        <v/>
      </c>
      <c r="H113" s="19" t="n">
        <f aca="false">IFERROR((B114-F114)/F114,0)</f>
        <v>0</v>
      </c>
      <c r="I113" s="19" t="n">
        <f aca="false">IFERROR((B114-G114)/G114,0)</f>
        <v>0</v>
      </c>
      <c r="J113" s="6"/>
      <c r="K113" s="13"/>
      <c r="L113" s="20"/>
      <c r="M113" s="20"/>
      <c r="N113" s="19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13" s="19" t="str">
        <f aca="false">IF($B114="","",IF(B114&lt;30000,35%,IF(B114&lt;50000,30%,IF(B114&lt;100000,25%,20%))))</f>
        <v/>
      </c>
      <c r="P113" s="21" t="str">
        <f aca="false">IF($A114="","",COUNTIFS(持仓表!$A:$A,$A114,持仓表!$G:$G,"&gt;0"))</f>
        <v/>
      </c>
      <c r="Q113" s="21" t="str">
        <f aca="false">IF($A114="","",COUNTIFS(持仓表!$A:$A,$A114,持仓表!$D:$D,"是",持仓表!$G:$G,"&gt;0"))</f>
        <v/>
      </c>
      <c r="R113" s="21" t="str">
        <f aca="false">IF($A114="","",MAX(0,P114-Q114))</f>
        <v/>
      </c>
      <c r="S113" s="21" t="str">
        <f aca="false">IF($B114="","",IF(B114&lt;50000,3,IF(B114&lt;100000,4,5)))</f>
        <v/>
      </c>
      <c r="T113" s="5" t="str">
        <f aca="false">IF($A114="","",IF(OR(M114&gt;=4,I114&lt;=-8%),"防守",IF(OR(M114&gt;=2,I114&lt;=-5%),"警戒","正常")))</f>
        <v/>
      </c>
      <c r="U113" s="5" t="str">
        <f aca="false">IF($A114="","",IF(AND(L114&gt;=3,M114&lt;=2,T114&lt;&gt;"防守"),"是","否"))</f>
        <v/>
      </c>
      <c r="V113" s="5" t="str">
        <f aca="false">IF($A114="","",IF(AND(E114&lt;N114,R114&lt;S114,M114&lt;=2,I114&gt;-15%),"是","否"))</f>
        <v/>
      </c>
      <c r="W113" s="5" t="str">
        <f aca="false">IF($A114="","",IF(OR(M114&gt;=3,I114&lt;=-15%),"是","否"))</f>
        <v/>
      </c>
      <c r="X113" s="18" t="str">
        <f aca="false">IF($A114="","",IFERROR(maxifs(候选池!$AB:$AB,候选池!$A:$A,$A114),0))</f>
        <v/>
      </c>
      <c r="Y113" s="18" t="str">
        <f aca="false">IF($A114="","",IF(OR(M114&gt;=4,I114&lt;=-8%),MAX(0,B114*60%-C114),IF(AND(ISNUMBER(AD114),B114&gt;AD114),IF(B114&lt;30000,0,IF(B114&lt;100000,MAX(0,(B114-AD114)*0.2),MAX(0,(B114-AD114)*0.3))),0)))</f>
        <v/>
      </c>
      <c r="Z113" s="6"/>
      <c r="AA113" s="5" t="str">
        <f aca="false">IF($A114="","",IF($AA$2&lt;&gt;"",$AA$2,""))</f>
        <v/>
      </c>
      <c r="AB113" s="6" t="str">
        <f aca="false">IF($A114="","",IF(B114&lt;30000,0.03,IF(B114&lt;100000,0.02,0.015)))</f>
        <v/>
      </c>
      <c r="AC113" s="21" t="str">
        <f aca="false">IF($A114="","",IFERROR(DATEDIF($A$2,$A114,"m"),0))</f>
        <v/>
      </c>
      <c r="AD113" s="18" t="str">
        <f aca="false">IF($A114="","",IF(OR(AA114="",AB114="",AC114=""),"",AA114*POWER(1+AB114,AC114)))</f>
        <v/>
      </c>
      <c r="AE113" s="23" t="str">
        <f aca="false">IF($A114="","",IF(OR(AD114="",AD114=0),"",B114/AD114-1))</f>
        <v/>
      </c>
      <c r="AG113" s="1" t="str">
        <f aca="false">IF($A114="","",IF(B114&lt;30000,"婴儿",IF(B114&lt;100000,"成长","成熟")))</f>
        <v/>
      </c>
      <c r="AH113" s="24"/>
      <c r="AJ113" s="24"/>
      <c r="AK113" s="24"/>
      <c r="AM113" s="24"/>
      <c r="AP113" s="15"/>
      <c r="AQ113" s="25" t="str">
        <f aca="false">IF($A114="","",B114-$AA$2-SUM($F$2:F114))</f>
        <v/>
      </c>
      <c r="AR113" s="1" t="str">
        <f aca="false">IF($A113="","",30000)</f>
        <v/>
      </c>
      <c r="AS113" s="1" t="str">
        <f aca="false">IF($A113="","",AR113-B113)</f>
        <v/>
      </c>
      <c r="AT113" s="1" t="str">
        <f aca="false">IF($A113="","",IFERROR(B113/AR113,0))</f>
        <v/>
      </c>
      <c r="AU113" s="1" t="str">
        <f aca="false">IF($A113="","",IFERROR(B113*O113,0))</f>
        <v/>
      </c>
      <c r="AV113" s="1" t="str">
        <f aca="false">IF($A113="","",IFERROR(C113/B113,0))</f>
        <v/>
      </c>
      <c r="AW113" s="1" t="str">
        <f aca="false">IF($A113="","",MAX(0,R113-S113))</f>
        <v/>
      </c>
      <c r="AX113" s="1" t="str">
        <f aca="false">IF($A113="","",IF(AW113&gt;0,"优先降持仓数",IF(C113&lt;=0,"现金不足","允许评估")))</f>
        <v/>
      </c>
      <c r="AY113" s="1" t="str">
        <f aca="false">IF($A113="","",IF(B113&lt;30000,"婴儿阶段: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9"/>
      <c r="B114" s="26"/>
      <c r="C114" s="26"/>
      <c r="D114" s="18" t="str">
        <f aca="false">IF($A115="","",SUMIFS(持仓表!$J:$J,持仓表!$A:$A,$A115))</f>
        <v/>
      </c>
      <c r="E114" s="19" t="n">
        <f aca="false">IFERROR(D115/B115,0)</f>
        <v>0</v>
      </c>
      <c r="F114" s="26"/>
      <c r="G114" s="18" t="str">
        <f aca="false">IF($B115="","",MAX($B$2:B115))</f>
        <v/>
      </c>
      <c r="H114" s="19" t="n">
        <f aca="false">IFERROR((B115-F115)/F115,0)</f>
        <v>0</v>
      </c>
      <c r="I114" s="19" t="n">
        <f aca="false">IFERROR((B115-G115)/G115,0)</f>
        <v>0</v>
      </c>
      <c r="J114" s="9"/>
      <c r="K114" s="14"/>
      <c r="L114" s="27"/>
      <c r="M114" s="27"/>
      <c r="N114" s="19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4" s="19" t="str">
        <f aca="false">IF($B115="","",IF(B115&lt;30000,35%,IF(B115&lt;50000,30%,IF(B115&lt;100000,25%,20%))))</f>
        <v/>
      </c>
      <c r="P114" s="21" t="str">
        <f aca="false">IF($A115="","",COUNTIFS(持仓表!$A:$A,$A115,持仓表!$G:$G,"&gt;0"))</f>
        <v/>
      </c>
      <c r="Q114" s="21" t="str">
        <f aca="false">IF($A115="","",COUNTIFS(持仓表!$A:$A,$A115,持仓表!$D:$D,"是",持仓表!$G:$G,"&gt;0"))</f>
        <v/>
      </c>
      <c r="R114" s="21" t="str">
        <f aca="false">IF($A115="","",MAX(0,P115-Q115))</f>
        <v/>
      </c>
      <c r="S114" s="21" t="str">
        <f aca="false">IF($B115="","",IF(B115&lt;50000,3,IF(B115&lt;100000,4,5)))</f>
        <v/>
      </c>
      <c r="T114" s="5" t="str">
        <f aca="false">IF($A115="","",IF(OR(M115&gt;=4,I115&lt;=-8%),"防守",IF(OR(M115&gt;=2,I115&lt;=-5%),"警戒","正常")))</f>
        <v/>
      </c>
      <c r="U114" s="5" t="str">
        <f aca="false">IF($A115="","",IF(AND(L115&gt;=3,M115&lt;=2,T115&lt;&gt;"防守"),"是","否"))</f>
        <v/>
      </c>
      <c r="V114" s="5" t="str">
        <f aca="false">IF($A115="","",IF(AND(E115&lt;N115,R115&lt;S115,M115&lt;=2,I115&gt;-15%),"是","否"))</f>
        <v/>
      </c>
      <c r="W114" s="5" t="str">
        <f aca="false">IF($A115="","",IF(OR(M115&gt;=3,I115&lt;=-15%),"是","否"))</f>
        <v/>
      </c>
      <c r="X114" s="18" t="str">
        <f aca="false">IF($A115="","",IFERROR(maxifs(候选池!$AB:$AB,候选池!$A:$A,$A115),0))</f>
        <v/>
      </c>
      <c r="Y114" s="18" t="str">
        <f aca="false">IF($A115="","",IF(OR(M115&gt;=4,I115&lt;=-8%),MAX(0,B115*60%-C115),IF(AND(ISNUMBER(AD115),B115&gt;AD115),IF(B115&lt;30000,0,IF(B115&lt;100000,MAX(0,(B115-AD115)*0.2),MAX(0,(B115-AD115)*0.3))),0)))</f>
        <v/>
      </c>
      <c r="Z114" s="9"/>
      <c r="AA114" s="5" t="str">
        <f aca="false">IF($A115="","",IF($AA$2&lt;&gt;"",$AA$2,""))</f>
        <v/>
      </c>
      <c r="AB114" s="9" t="str">
        <f aca="false">IF($A115="","",IF(B115&lt;30000,0.03,IF(B115&lt;100000,0.02,0.015)))</f>
        <v/>
      </c>
      <c r="AC114" s="21" t="str">
        <f aca="false">IF($A115="","",IFERROR(DATEDIF($A$2,$A115,"m"),0))</f>
        <v/>
      </c>
      <c r="AD114" s="18" t="str">
        <f aca="false">IF($A115="","",IF(OR(AA115="",AB115="",AC115=""),"",AA115*POWER(1+AB115,AC115)))</f>
        <v/>
      </c>
      <c r="AE114" s="29" t="str">
        <f aca="false">IF($A115="","",IF(OR(AD115="",AD115=0),"",B115/AD115-1))</f>
        <v/>
      </c>
      <c r="AG114" s="1" t="str">
        <f aca="false">IF($A115="","",IF(B115&lt;30000,"婴儿",IF(B115&lt;100000,"成长","成熟")))</f>
        <v/>
      </c>
      <c r="AH114" s="24"/>
      <c r="AJ114" s="24"/>
      <c r="AK114" s="24"/>
      <c r="AM114" s="24"/>
      <c r="AP114" s="15"/>
      <c r="AQ114" s="25" t="str">
        <f aca="false">IF($A115="","",B115-$AA$2-SUM($F$2:F115))</f>
        <v/>
      </c>
      <c r="AR114" s="1" t="str">
        <f aca="false">IF($A114="","",30000)</f>
        <v/>
      </c>
      <c r="AS114" s="1" t="str">
        <f aca="false">IF($A114="","",AR114-B114)</f>
        <v/>
      </c>
      <c r="AT114" s="1" t="str">
        <f aca="false">IF($A114="","",IFERROR(B114/AR114,0))</f>
        <v/>
      </c>
      <c r="AU114" s="1" t="str">
        <f aca="false">IF($A114="","",IFERROR(B114*O114,0))</f>
        <v/>
      </c>
      <c r="AV114" s="1" t="str">
        <f aca="false">IF($A114="","",IFERROR(C114/B114,0))</f>
        <v/>
      </c>
      <c r="AW114" s="1" t="str">
        <f aca="false">IF($A114="","",MAX(0,R114-S114))</f>
        <v/>
      </c>
      <c r="AX114" s="1" t="str">
        <f aca="false">IF($A114="","",IF(AW114&gt;0,"优先降持仓数",IF(C114&lt;=0,"现金不足","允许评估")))</f>
        <v/>
      </c>
      <c r="AY114" s="1" t="str">
        <f aca="false">IF($A114="","",IF(B114&lt;30000,"婴儿阶段: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6"/>
      <c r="B115" s="17"/>
      <c r="C115" s="17"/>
      <c r="D115" s="18" t="str">
        <f aca="false">IF($A116="","",SUMIFS(持仓表!$J:$J,持仓表!$A:$A,$A116))</f>
        <v/>
      </c>
      <c r="E115" s="19" t="n">
        <f aca="false">IFERROR(D116/B116,0)</f>
        <v>0</v>
      </c>
      <c r="F115" s="17"/>
      <c r="G115" s="18" t="str">
        <f aca="false">IF($B116="","",MAX($B$2:B116))</f>
        <v/>
      </c>
      <c r="H115" s="19" t="n">
        <f aca="false">IFERROR((B116-F116)/F116,0)</f>
        <v>0</v>
      </c>
      <c r="I115" s="19" t="n">
        <f aca="false">IFERROR((B116-G116)/G116,0)</f>
        <v>0</v>
      </c>
      <c r="J115" s="6"/>
      <c r="K115" s="13"/>
      <c r="L115" s="20"/>
      <c r="M115" s="20"/>
      <c r="N115" s="19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5" s="19" t="str">
        <f aca="false">IF($B116="","",IF(B116&lt;30000,35%,IF(B116&lt;50000,30%,IF(B116&lt;100000,25%,20%))))</f>
        <v/>
      </c>
      <c r="P115" s="21" t="str">
        <f aca="false">IF($A116="","",COUNTIFS(持仓表!$A:$A,$A116,持仓表!$G:$G,"&gt;0"))</f>
        <v/>
      </c>
      <c r="Q115" s="21" t="str">
        <f aca="false">IF($A116="","",COUNTIFS(持仓表!$A:$A,$A116,持仓表!$D:$D,"是",持仓表!$G:$G,"&gt;0"))</f>
        <v/>
      </c>
      <c r="R115" s="21" t="str">
        <f aca="false">IF($A116="","",MAX(0,P116-Q116))</f>
        <v/>
      </c>
      <c r="S115" s="21" t="str">
        <f aca="false">IF($B116="","",IF(B116&lt;50000,3,IF(B116&lt;100000,4,5)))</f>
        <v/>
      </c>
      <c r="T115" s="5" t="str">
        <f aca="false">IF($A116="","",IF(OR(M116&gt;=4,I116&lt;=-8%),"防守",IF(OR(M116&gt;=2,I116&lt;=-5%),"警戒","正常")))</f>
        <v/>
      </c>
      <c r="U115" s="5" t="str">
        <f aca="false">IF($A116="","",IF(AND(L116&gt;=3,M116&lt;=2,T116&lt;&gt;"防守"),"是","否"))</f>
        <v/>
      </c>
      <c r="V115" s="5" t="str">
        <f aca="false">IF($A116="","",IF(AND(E116&lt;N116,R116&lt;S116,M116&lt;=2,I116&gt;-15%),"是","否"))</f>
        <v/>
      </c>
      <c r="W115" s="5" t="str">
        <f aca="false">IF($A116="","",IF(OR(M116&gt;=3,I116&lt;=-15%),"是","否"))</f>
        <v/>
      </c>
      <c r="X115" s="18" t="str">
        <f aca="false">IF($A116="","",IFERROR(maxifs(候选池!$AB:$AB,候选池!$A:$A,$A116),0))</f>
        <v/>
      </c>
      <c r="Y115" s="18" t="str">
        <f aca="false">IF($A116="","",IF(OR(M116&gt;=4,I116&lt;=-8%),MAX(0,B116*60%-C116),IF(AND(ISNUMBER(AD116),B116&gt;AD116),IF(B116&lt;30000,0,IF(B116&lt;100000,MAX(0,(B116-AD116)*0.2),MAX(0,(B116-AD116)*0.3))),0)))</f>
        <v/>
      </c>
      <c r="Z115" s="6"/>
      <c r="AA115" s="5" t="str">
        <f aca="false">IF($A116="","",IF($AA$2&lt;&gt;"",$AA$2,""))</f>
        <v/>
      </c>
      <c r="AB115" s="6" t="str">
        <f aca="false">IF($A116="","",IF(B116&lt;30000,0.03,IF(B116&lt;100000,0.02,0.015)))</f>
        <v/>
      </c>
      <c r="AC115" s="21" t="str">
        <f aca="false">IF($A116="","",IFERROR(DATEDIF($A$2,$A116,"m"),0))</f>
        <v/>
      </c>
      <c r="AD115" s="18" t="str">
        <f aca="false">IF($A116="","",IF(OR(AA116="",AB116="",AC116=""),"",AA116*POWER(1+AB116,AC116)))</f>
        <v/>
      </c>
      <c r="AE115" s="23" t="str">
        <f aca="false">IF($A116="","",IF(OR(AD116="",AD116=0),"",B116/AD116-1))</f>
        <v/>
      </c>
      <c r="AG115" s="1" t="str">
        <f aca="false">IF($A116="","",IF(B116&lt;30000,"婴儿",IF(B116&lt;100000,"成长","成熟")))</f>
        <v/>
      </c>
      <c r="AH115" s="24"/>
      <c r="AJ115" s="24"/>
      <c r="AK115" s="24"/>
      <c r="AM115" s="24"/>
      <c r="AP115" s="15"/>
      <c r="AQ115" s="25" t="str">
        <f aca="false">IF($A116="","",B116-$AA$2-SUM($F$2:F116))</f>
        <v/>
      </c>
      <c r="AR115" s="1" t="str">
        <f aca="false">IF($A115="","",30000)</f>
        <v/>
      </c>
      <c r="AS115" s="1" t="str">
        <f aca="false">IF($A115="","",AR115-B115)</f>
        <v/>
      </c>
      <c r="AT115" s="1" t="str">
        <f aca="false">IF($A115="","",IFERROR(B115/AR115,0))</f>
        <v/>
      </c>
      <c r="AU115" s="1" t="str">
        <f aca="false">IF($A115="","",IFERROR(B115*O115,0))</f>
        <v/>
      </c>
      <c r="AV115" s="1" t="str">
        <f aca="false">IF($A115="","",IFERROR(C115/B115,0))</f>
        <v/>
      </c>
      <c r="AW115" s="1" t="str">
        <f aca="false">IF($A115="","",MAX(0,R115-S115))</f>
        <v/>
      </c>
      <c r="AX115" s="1" t="str">
        <f aca="false">IF($A115="","",IF(AW115&gt;0,"优先降持仓数",IF(C115&lt;=0,"现金不足","允许评估")))</f>
        <v/>
      </c>
      <c r="AY115" s="1" t="str">
        <f aca="false">IF($A115="","",IF(B115&lt;30000,"婴儿阶段: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9"/>
      <c r="B116" s="26"/>
      <c r="C116" s="26"/>
      <c r="D116" s="18" t="str">
        <f aca="false">IF($A117="","",SUMIFS(持仓表!$J:$J,持仓表!$A:$A,$A117))</f>
        <v/>
      </c>
      <c r="E116" s="19" t="n">
        <f aca="false">IFERROR(D117/B117,0)</f>
        <v>0</v>
      </c>
      <c r="F116" s="26"/>
      <c r="G116" s="18" t="str">
        <f aca="false">IF($B117="","",MAX($B$2:B117))</f>
        <v/>
      </c>
      <c r="H116" s="19" t="n">
        <f aca="false">IFERROR((B117-F117)/F117,0)</f>
        <v>0</v>
      </c>
      <c r="I116" s="19" t="n">
        <f aca="false">IFERROR((B117-G117)/G117,0)</f>
        <v>0</v>
      </c>
      <c r="J116" s="9"/>
      <c r="K116" s="14"/>
      <c r="L116" s="27"/>
      <c r="M116" s="27"/>
      <c r="N116" s="19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6" s="19" t="str">
        <f aca="false">IF($B117="","",IF(B117&lt;30000,35%,IF(B117&lt;50000,30%,IF(B117&lt;100000,25%,20%))))</f>
        <v/>
      </c>
      <c r="P116" s="21" t="str">
        <f aca="false">IF($A117="","",COUNTIFS(持仓表!$A:$A,$A117,持仓表!$G:$G,"&gt;0"))</f>
        <v/>
      </c>
      <c r="Q116" s="21" t="str">
        <f aca="false">IF($A117="","",COUNTIFS(持仓表!$A:$A,$A117,持仓表!$D:$D,"是",持仓表!$G:$G,"&gt;0"))</f>
        <v/>
      </c>
      <c r="R116" s="21" t="str">
        <f aca="false">IF($A117="","",MAX(0,P117-Q117))</f>
        <v/>
      </c>
      <c r="S116" s="21" t="str">
        <f aca="false">IF($B117="","",IF(B117&lt;50000,3,IF(B117&lt;100000,4,5)))</f>
        <v/>
      </c>
      <c r="T116" s="5" t="str">
        <f aca="false">IF($A117="","",IF(OR(M117&gt;=4,I117&lt;=-8%),"防守",IF(OR(M117&gt;=2,I117&lt;=-5%),"警戒","正常")))</f>
        <v/>
      </c>
      <c r="U116" s="5" t="str">
        <f aca="false">IF($A117="","",IF(AND(L117&gt;=3,M117&lt;=2,T117&lt;&gt;"防守"),"是","否"))</f>
        <v/>
      </c>
      <c r="V116" s="5" t="str">
        <f aca="false">IF($A117="","",IF(AND(E117&lt;N117,R117&lt;S117,M117&lt;=2,I117&gt;-15%),"是","否"))</f>
        <v/>
      </c>
      <c r="W116" s="5" t="str">
        <f aca="false">IF($A117="","",IF(OR(M117&gt;=3,I117&lt;=-15%),"是","否"))</f>
        <v/>
      </c>
      <c r="X116" s="18" t="str">
        <f aca="false">IF($A117="","",IFERROR(maxifs(候选池!$AB:$AB,候选池!$A:$A,$A117),0))</f>
        <v/>
      </c>
      <c r="Y116" s="18" t="str">
        <f aca="false">IF($A117="","",IF(OR(M117&gt;=4,I117&lt;=-8%),MAX(0,B117*60%-C117),IF(AND(ISNUMBER(AD117),B117&gt;AD117),IF(B117&lt;30000,0,IF(B117&lt;100000,MAX(0,(B117-AD117)*0.2),MAX(0,(B117-AD117)*0.3))),0)))</f>
        <v/>
      </c>
      <c r="Z116" s="9"/>
      <c r="AA116" s="5" t="str">
        <f aca="false">IF($A117="","",IF($AA$2&lt;&gt;"",$AA$2,""))</f>
        <v/>
      </c>
      <c r="AB116" s="9" t="str">
        <f aca="false">IF($A117="","",IF(B117&lt;30000,0.03,IF(B117&lt;100000,0.02,0.015)))</f>
        <v/>
      </c>
      <c r="AC116" s="21" t="str">
        <f aca="false">IF($A117="","",IFERROR(DATEDIF($A$2,$A117,"m"),0))</f>
        <v/>
      </c>
      <c r="AD116" s="18" t="str">
        <f aca="false">IF($A117="","",IF(OR(AA117="",AB117="",AC117=""),"",AA117*POWER(1+AB117,AC117)))</f>
        <v/>
      </c>
      <c r="AE116" s="29" t="str">
        <f aca="false">IF($A117="","",IF(OR(AD117="",AD117=0),"",B117/AD117-1))</f>
        <v/>
      </c>
      <c r="AG116" s="1" t="str">
        <f aca="false">IF($A117="","",IF(B117&lt;30000,"婴儿",IF(B117&lt;100000,"成长","成熟")))</f>
        <v/>
      </c>
      <c r="AH116" s="24"/>
      <c r="AJ116" s="24"/>
      <c r="AK116" s="24"/>
      <c r="AM116" s="24"/>
      <c r="AP116" s="15"/>
      <c r="AQ116" s="25" t="str">
        <f aca="false">IF($A117="","",B117-$AA$2-SUM($F$2:F117))</f>
        <v/>
      </c>
      <c r="AR116" s="1" t="str">
        <f aca="false">IF($A116="","",30000)</f>
        <v/>
      </c>
      <c r="AS116" s="1" t="str">
        <f aca="false">IF($A116="","",AR116-B116)</f>
        <v/>
      </c>
      <c r="AT116" s="1" t="str">
        <f aca="false">IF($A116="","",IFERROR(B116/AR116,0))</f>
        <v/>
      </c>
      <c r="AU116" s="1" t="str">
        <f aca="false">IF($A116="","",IFERROR(B116*O116,0))</f>
        <v/>
      </c>
      <c r="AV116" s="1" t="str">
        <f aca="false">IF($A116="","",IFERROR(C116/B116,0))</f>
        <v/>
      </c>
      <c r="AW116" s="1" t="str">
        <f aca="false">IF($A116="","",MAX(0,R116-S116))</f>
        <v/>
      </c>
      <c r="AX116" s="1" t="str">
        <f aca="false">IF($A116="","",IF(AW116&gt;0,"优先降持仓数",IF(C116&lt;=0,"现金不足","允许评估")))</f>
        <v/>
      </c>
      <c r="AY116" s="1" t="str">
        <f aca="false">IF($A116="","",IF(B116&lt;30000,"婴儿阶段: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6"/>
      <c r="B117" s="17"/>
      <c r="C117" s="17"/>
      <c r="D117" s="18" t="str">
        <f aca="false">IF($A118="","",SUMIFS(持仓表!$J:$J,持仓表!$A:$A,$A118))</f>
        <v/>
      </c>
      <c r="E117" s="19" t="n">
        <f aca="false">IFERROR(D118/B118,0)</f>
        <v>0</v>
      </c>
      <c r="F117" s="17"/>
      <c r="G117" s="18" t="str">
        <f aca="false">IF($B118="","",MAX($B$2:B118))</f>
        <v/>
      </c>
      <c r="H117" s="19" t="n">
        <f aca="false">IFERROR((B118-F118)/F118,0)</f>
        <v>0</v>
      </c>
      <c r="I117" s="19" t="n">
        <f aca="false">IFERROR((B118-G118)/G118,0)</f>
        <v>0</v>
      </c>
      <c r="J117" s="6"/>
      <c r="K117" s="13"/>
      <c r="L117" s="20"/>
      <c r="M117" s="20"/>
      <c r="N117" s="19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7" s="19" t="str">
        <f aca="false">IF($B118="","",IF(B118&lt;30000,35%,IF(B118&lt;50000,30%,IF(B118&lt;100000,25%,20%))))</f>
        <v/>
      </c>
      <c r="P117" s="21" t="str">
        <f aca="false">IF($A118="","",COUNTIFS(持仓表!$A:$A,$A118,持仓表!$G:$G,"&gt;0"))</f>
        <v/>
      </c>
      <c r="Q117" s="21" t="str">
        <f aca="false">IF($A118="","",COUNTIFS(持仓表!$A:$A,$A118,持仓表!$D:$D,"是",持仓表!$G:$G,"&gt;0"))</f>
        <v/>
      </c>
      <c r="R117" s="21" t="str">
        <f aca="false">IF($A118="","",MAX(0,P118-Q118))</f>
        <v/>
      </c>
      <c r="S117" s="21" t="str">
        <f aca="false">IF($B118="","",IF(B118&lt;50000,3,IF(B118&lt;100000,4,5)))</f>
        <v/>
      </c>
      <c r="T117" s="5" t="str">
        <f aca="false">IF($A118="","",IF(OR(M118&gt;=4,I118&lt;=-8%),"防守",IF(OR(M118&gt;=2,I118&lt;=-5%),"警戒","正常")))</f>
        <v/>
      </c>
      <c r="U117" s="5" t="str">
        <f aca="false">IF($A118="","",IF(AND(L118&gt;=3,M118&lt;=2,T118&lt;&gt;"防守"),"是","否"))</f>
        <v/>
      </c>
      <c r="V117" s="5" t="str">
        <f aca="false">IF($A118="","",IF(AND(E118&lt;N118,R118&lt;S118,M118&lt;=2,I118&gt;-15%),"是","否"))</f>
        <v/>
      </c>
      <c r="W117" s="5" t="str">
        <f aca="false">IF($A118="","",IF(OR(M118&gt;=3,I118&lt;=-15%),"是","否"))</f>
        <v/>
      </c>
      <c r="X117" s="18" t="str">
        <f aca="false">IF($A118="","",IFERROR(maxifs(候选池!$AB:$AB,候选池!$A:$A,$A118),0))</f>
        <v/>
      </c>
      <c r="Y117" s="18" t="str">
        <f aca="false">IF($A118="","",IF(OR(M118&gt;=4,I118&lt;=-8%),MAX(0,B118*60%-C118),IF(AND(ISNUMBER(AD118),B118&gt;AD118),IF(B118&lt;30000,0,IF(B118&lt;100000,MAX(0,(B118-AD118)*0.2),MAX(0,(B118-AD118)*0.3))),0)))</f>
        <v/>
      </c>
      <c r="Z117" s="6"/>
      <c r="AA117" s="5" t="str">
        <f aca="false">IF($A118="","",IF($AA$2&lt;&gt;"",$AA$2,""))</f>
        <v/>
      </c>
      <c r="AB117" s="6" t="str">
        <f aca="false">IF($A118="","",IF(B118&lt;30000,0.03,IF(B118&lt;100000,0.02,0.015)))</f>
        <v/>
      </c>
      <c r="AC117" s="21" t="str">
        <f aca="false">IF($A118="","",IFERROR(DATEDIF($A$2,$A118,"m"),0))</f>
        <v/>
      </c>
      <c r="AD117" s="18" t="str">
        <f aca="false">IF($A118="","",IF(OR(AA118="",AB118="",AC118=""),"",AA118*POWER(1+AB118,AC118)))</f>
        <v/>
      </c>
      <c r="AE117" s="23" t="str">
        <f aca="false">IF($A118="","",IF(OR(AD118="",AD118=0),"",B118/AD118-1))</f>
        <v/>
      </c>
      <c r="AG117" s="1" t="str">
        <f aca="false">IF($A118="","",IF(B118&lt;30000,"婴儿",IF(B118&lt;100000,"成长","成熟")))</f>
        <v/>
      </c>
      <c r="AH117" s="24"/>
      <c r="AJ117" s="24"/>
      <c r="AK117" s="24"/>
      <c r="AM117" s="24"/>
      <c r="AP117" s="15"/>
      <c r="AQ117" s="25" t="str">
        <f aca="false">IF($A118="","",B118-$AA$2-SUM($F$2:F118))</f>
        <v/>
      </c>
      <c r="AR117" s="1" t="str">
        <f aca="false">IF($A117="","",30000)</f>
        <v/>
      </c>
      <c r="AS117" s="1" t="str">
        <f aca="false">IF($A117="","",AR117-B117)</f>
        <v/>
      </c>
      <c r="AT117" s="1" t="str">
        <f aca="false">IF($A117="","",IFERROR(B117/AR117,0))</f>
        <v/>
      </c>
      <c r="AU117" s="1" t="str">
        <f aca="false">IF($A117="","",IFERROR(B117*O117,0))</f>
        <v/>
      </c>
      <c r="AV117" s="1" t="str">
        <f aca="false">IF($A117="","",IFERROR(C117/B117,0))</f>
        <v/>
      </c>
      <c r="AW117" s="1" t="str">
        <f aca="false">IF($A117="","",MAX(0,R117-S117))</f>
        <v/>
      </c>
      <c r="AX117" s="1" t="str">
        <f aca="false">IF($A117="","",IF(AW117&gt;0,"优先降持仓数",IF(C117&lt;=0,"现金不足","允许评估")))</f>
        <v/>
      </c>
      <c r="AY117" s="1" t="str">
        <f aca="false">IF($A117="","",IF(B117&lt;30000,"婴儿阶段: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9"/>
      <c r="B118" s="26"/>
      <c r="C118" s="26"/>
      <c r="D118" s="18" t="str">
        <f aca="false">IF($A119="","",SUMIFS(持仓表!$J:$J,持仓表!$A:$A,$A119))</f>
        <v/>
      </c>
      <c r="E118" s="19" t="n">
        <f aca="false">IFERROR(D119/B119,0)</f>
        <v>0</v>
      </c>
      <c r="F118" s="26"/>
      <c r="G118" s="18" t="str">
        <f aca="false">IF($B119="","",MAX($B$2:B119))</f>
        <v/>
      </c>
      <c r="H118" s="19" t="n">
        <f aca="false">IFERROR((B119-F119)/F119,0)</f>
        <v>0</v>
      </c>
      <c r="I118" s="19" t="n">
        <f aca="false">IFERROR((B119-G119)/G119,0)</f>
        <v>0</v>
      </c>
      <c r="J118" s="9"/>
      <c r="K118" s="14"/>
      <c r="L118" s="27"/>
      <c r="M118" s="27"/>
      <c r="N118" s="19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8" s="19" t="str">
        <f aca="false">IF($B119="","",IF(B119&lt;30000,35%,IF(B119&lt;50000,30%,IF(B119&lt;100000,25%,20%))))</f>
        <v/>
      </c>
      <c r="P118" s="21" t="str">
        <f aca="false">IF($A119="","",COUNTIFS(持仓表!$A:$A,$A119,持仓表!$G:$G,"&gt;0"))</f>
        <v/>
      </c>
      <c r="Q118" s="21" t="str">
        <f aca="false">IF($A119="","",COUNTIFS(持仓表!$A:$A,$A119,持仓表!$D:$D,"是",持仓表!$G:$G,"&gt;0"))</f>
        <v/>
      </c>
      <c r="R118" s="21" t="str">
        <f aca="false">IF($A119="","",MAX(0,P119-Q119))</f>
        <v/>
      </c>
      <c r="S118" s="21" t="str">
        <f aca="false">IF($B119="","",IF(B119&lt;50000,3,IF(B119&lt;100000,4,5)))</f>
        <v/>
      </c>
      <c r="T118" s="5" t="str">
        <f aca="false">IF($A119="","",IF(OR(M119&gt;=4,I119&lt;=-8%),"防守",IF(OR(M119&gt;=2,I119&lt;=-5%),"警戒","正常")))</f>
        <v/>
      </c>
      <c r="U118" s="5" t="str">
        <f aca="false">IF($A119="","",IF(AND(L119&gt;=3,M119&lt;=2,T119&lt;&gt;"防守"),"是","否"))</f>
        <v/>
      </c>
      <c r="V118" s="5" t="str">
        <f aca="false">IF($A119="","",IF(AND(E119&lt;N119,R119&lt;S119,M119&lt;=2,I119&gt;-15%),"是","否"))</f>
        <v/>
      </c>
      <c r="W118" s="5" t="str">
        <f aca="false">IF($A119="","",IF(OR(M119&gt;=3,I119&lt;=-15%),"是","否"))</f>
        <v/>
      </c>
      <c r="X118" s="18" t="str">
        <f aca="false">IF($A119="","",IFERROR(maxifs(候选池!$AB:$AB,候选池!$A:$A,$A119),0))</f>
        <v/>
      </c>
      <c r="Y118" s="18" t="str">
        <f aca="false">IF($A119="","",IF(OR(M119&gt;=4,I119&lt;=-8%),MAX(0,B119*60%-C119),IF(AND(ISNUMBER(AD119),B119&gt;AD119),IF(B119&lt;30000,0,IF(B119&lt;100000,MAX(0,(B119-AD119)*0.2),MAX(0,(B119-AD119)*0.3))),0)))</f>
        <v/>
      </c>
      <c r="Z118" s="9"/>
      <c r="AA118" s="5" t="str">
        <f aca="false">IF($A119="","",IF($AA$2&lt;&gt;"",$AA$2,""))</f>
        <v/>
      </c>
      <c r="AB118" s="9" t="str">
        <f aca="false">IF($A119="","",IF(B119&lt;30000,0.03,IF(B119&lt;100000,0.02,0.015)))</f>
        <v/>
      </c>
      <c r="AC118" s="21" t="str">
        <f aca="false">IF($A119="","",IFERROR(DATEDIF($A$2,$A119,"m"),0))</f>
        <v/>
      </c>
      <c r="AD118" s="18" t="str">
        <f aca="false">IF($A119="","",IF(OR(AA119="",AB119="",AC119=""),"",AA119*POWER(1+AB119,AC119)))</f>
        <v/>
      </c>
      <c r="AE118" s="29" t="str">
        <f aca="false">IF($A119="","",IF(OR(AD119="",AD119=0),"",B119/AD119-1))</f>
        <v/>
      </c>
      <c r="AG118" s="1" t="str">
        <f aca="false">IF($A119="","",IF(B119&lt;30000,"婴儿",IF(B119&lt;100000,"成长","成熟")))</f>
        <v/>
      </c>
      <c r="AH118" s="24"/>
      <c r="AJ118" s="24"/>
      <c r="AK118" s="24"/>
      <c r="AM118" s="24"/>
      <c r="AP118" s="15"/>
      <c r="AQ118" s="25" t="str">
        <f aca="false">IF($A119="","",B119-$AA$2-SUM($F$2:F119))</f>
        <v/>
      </c>
      <c r="AR118" s="1" t="str">
        <f aca="false">IF($A118="","",30000)</f>
        <v/>
      </c>
      <c r="AS118" s="1" t="str">
        <f aca="false">IF($A118="","",AR118-B118)</f>
        <v/>
      </c>
      <c r="AT118" s="1" t="str">
        <f aca="false">IF($A118="","",IFERROR(B118/AR118,0))</f>
        <v/>
      </c>
      <c r="AU118" s="1" t="str">
        <f aca="false">IF($A118="","",IFERROR(B118*O118,0))</f>
        <v/>
      </c>
      <c r="AV118" s="1" t="str">
        <f aca="false">IF($A118="","",IFERROR(C118/B118,0))</f>
        <v/>
      </c>
      <c r="AW118" s="1" t="str">
        <f aca="false">IF($A118="","",MAX(0,R118-S118))</f>
        <v/>
      </c>
      <c r="AX118" s="1" t="str">
        <f aca="false">IF($A118="","",IF(AW118&gt;0,"优先降持仓数",IF(C118&lt;=0,"现金不足","允许评估")))</f>
        <v/>
      </c>
      <c r="AY118" s="1" t="str">
        <f aca="false">IF($A118="","",IF(B118&lt;30000,"婴儿阶段: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6"/>
      <c r="B119" s="17"/>
      <c r="C119" s="17"/>
      <c r="D119" s="18" t="str">
        <f aca="false">IF($A120="","",SUMIFS(持仓表!$J:$J,持仓表!$A:$A,$A120))</f>
        <v/>
      </c>
      <c r="E119" s="19" t="n">
        <f aca="false">IFERROR(D120/B120,0)</f>
        <v>0</v>
      </c>
      <c r="F119" s="17"/>
      <c r="G119" s="18" t="str">
        <f aca="false">IF($B120="","",MAX($B$2:B120))</f>
        <v/>
      </c>
      <c r="H119" s="19" t="n">
        <f aca="false">IFERROR((B120-F120)/F120,0)</f>
        <v>0</v>
      </c>
      <c r="I119" s="19" t="n">
        <f aca="false">IFERROR((B120-G120)/G120,0)</f>
        <v>0</v>
      </c>
      <c r="J119" s="6"/>
      <c r="K119" s="13"/>
      <c r="L119" s="20"/>
      <c r="M119" s="20"/>
      <c r="N119" s="19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9" s="19" t="str">
        <f aca="false">IF($B120="","",IF(B120&lt;30000,35%,IF(B120&lt;50000,30%,IF(B120&lt;100000,25%,20%))))</f>
        <v/>
      </c>
      <c r="P119" s="21" t="str">
        <f aca="false">IF($A120="","",COUNTIFS(持仓表!$A:$A,$A120,持仓表!$G:$G,"&gt;0"))</f>
        <v/>
      </c>
      <c r="Q119" s="21" t="str">
        <f aca="false">IF($A120="","",COUNTIFS(持仓表!$A:$A,$A120,持仓表!$D:$D,"是",持仓表!$G:$G,"&gt;0"))</f>
        <v/>
      </c>
      <c r="R119" s="21" t="str">
        <f aca="false">IF($A120="","",MAX(0,P120-Q120))</f>
        <v/>
      </c>
      <c r="S119" s="21" t="str">
        <f aca="false">IF($B120="","",IF(B120&lt;50000,3,IF(B120&lt;100000,4,5)))</f>
        <v/>
      </c>
      <c r="T119" s="5" t="str">
        <f aca="false">IF($A120="","",IF(OR(M120&gt;=4,I120&lt;=-8%),"防守",IF(OR(M120&gt;=2,I120&lt;=-5%),"警戒","正常")))</f>
        <v/>
      </c>
      <c r="U119" s="5" t="str">
        <f aca="false">IF($A120="","",IF(AND(L120&gt;=3,M120&lt;=2,T120&lt;&gt;"防守"),"是","否"))</f>
        <v/>
      </c>
      <c r="V119" s="5" t="str">
        <f aca="false">IF($A120="","",IF(AND(E120&lt;N120,R120&lt;S120,M120&lt;=2,I120&gt;-15%),"是","否"))</f>
        <v/>
      </c>
      <c r="W119" s="5" t="str">
        <f aca="false">IF($A120="","",IF(OR(M120&gt;=3,I120&lt;=-15%),"是","否"))</f>
        <v/>
      </c>
      <c r="X119" s="18" t="str">
        <f aca="false">IF($A120="","",IFERROR(maxifs(候选池!$AB:$AB,候选池!$A:$A,$A120),0))</f>
        <v/>
      </c>
      <c r="Y119" s="18" t="str">
        <f aca="false">IF($A120="","",IF(OR(M120&gt;=4,I120&lt;=-8%),MAX(0,B120*60%-C120),IF(AND(ISNUMBER(AD120),B120&gt;AD120),IF(B120&lt;30000,0,IF(B120&lt;100000,MAX(0,(B120-AD120)*0.2),MAX(0,(B120-AD120)*0.3))),0)))</f>
        <v/>
      </c>
      <c r="Z119" s="6"/>
      <c r="AA119" s="5" t="str">
        <f aca="false">IF($A120="","",IF($AA$2&lt;&gt;"",$AA$2,""))</f>
        <v/>
      </c>
      <c r="AB119" s="6" t="str">
        <f aca="false">IF($A120="","",IF(B120&lt;30000,0.03,IF(B120&lt;100000,0.02,0.015)))</f>
        <v/>
      </c>
      <c r="AC119" s="21" t="str">
        <f aca="false">IF($A120="","",IFERROR(DATEDIF($A$2,$A120,"m"),0))</f>
        <v/>
      </c>
      <c r="AD119" s="18" t="str">
        <f aca="false">IF($A120="","",IF(OR(AA120="",AB120="",AC120=""),"",AA120*POWER(1+AB120,AC120)))</f>
        <v/>
      </c>
      <c r="AE119" s="23" t="str">
        <f aca="false">IF($A120="","",IF(OR(AD120="",AD120=0),"",B120/AD120-1))</f>
        <v/>
      </c>
      <c r="AG119" s="1" t="str">
        <f aca="false">IF($A120="","",IF(B120&lt;30000,"婴儿",IF(B120&lt;100000,"成长","成熟")))</f>
        <v/>
      </c>
      <c r="AH119" s="24"/>
      <c r="AJ119" s="24"/>
      <c r="AK119" s="24"/>
      <c r="AM119" s="24"/>
      <c r="AP119" s="15"/>
      <c r="AQ119" s="25" t="str">
        <f aca="false">IF($A120="","",B120-$AA$2-SUM($F$2:F120))</f>
        <v/>
      </c>
      <c r="AR119" s="1" t="str">
        <f aca="false">IF($A119="","",30000)</f>
        <v/>
      </c>
      <c r="AS119" s="1" t="str">
        <f aca="false">IF($A119="","",AR119-B119)</f>
        <v/>
      </c>
      <c r="AT119" s="1" t="str">
        <f aca="false">IF($A119="","",IFERROR(B119/AR119,0))</f>
        <v/>
      </c>
      <c r="AU119" s="1" t="str">
        <f aca="false">IF($A119="","",IFERROR(B119*O119,0))</f>
        <v/>
      </c>
      <c r="AV119" s="1" t="str">
        <f aca="false">IF($A119="","",IFERROR(C119/B119,0))</f>
        <v/>
      </c>
      <c r="AW119" s="1" t="str">
        <f aca="false">IF($A119="","",MAX(0,R119-S119))</f>
        <v/>
      </c>
      <c r="AX119" s="1" t="str">
        <f aca="false">IF($A119="","",IF(AW119&gt;0,"优先降持仓数",IF(C119&lt;=0,"现金不足","允许评估")))</f>
        <v/>
      </c>
      <c r="AY119" s="1" t="str">
        <f aca="false">IF($A119="","",IF(B119&lt;30000,"婴儿阶段: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9"/>
      <c r="B120" s="26"/>
      <c r="C120" s="26"/>
      <c r="D120" s="18" t="str">
        <f aca="false">IF($A121="","",SUMIFS(持仓表!$J:$J,持仓表!$A:$A,$A121))</f>
        <v/>
      </c>
      <c r="E120" s="19" t="n">
        <f aca="false">IFERROR(D121/B121,0)</f>
        <v>0</v>
      </c>
      <c r="F120" s="26"/>
      <c r="G120" s="18" t="str">
        <f aca="false">IF($B121="","",MAX($B$2:B121))</f>
        <v/>
      </c>
      <c r="H120" s="19" t="n">
        <f aca="false">IFERROR((B121-F121)/F121,0)</f>
        <v>0</v>
      </c>
      <c r="I120" s="19" t="n">
        <f aca="false">IFERROR((B121-G121)/G121,0)</f>
        <v>0</v>
      </c>
      <c r="J120" s="9"/>
      <c r="K120" s="14"/>
      <c r="L120" s="27"/>
      <c r="M120" s="27"/>
      <c r="N120" s="19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20" s="19" t="str">
        <f aca="false">IF($B121="","",IF(B121&lt;30000,35%,IF(B121&lt;50000,30%,IF(B121&lt;100000,25%,20%))))</f>
        <v/>
      </c>
      <c r="P120" s="21" t="str">
        <f aca="false">IF($A121="","",COUNTIFS(持仓表!$A:$A,$A121,持仓表!$G:$G,"&gt;0"))</f>
        <v/>
      </c>
      <c r="Q120" s="21" t="str">
        <f aca="false">IF($A121="","",COUNTIFS(持仓表!$A:$A,$A121,持仓表!$D:$D,"是",持仓表!$G:$G,"&gt;0"))</f>
        <v/>
      </c>
      <c r="R120" s="21" t="str">
        <f aca="false">IF($A121="","",MAX(0,P121-Q121))</f>
        <v/>
      </c>
      <c r="S120" s="21" t="str">
        <f aca="false">IF($B121="","",IF(B121&lt;50000,3,IF(B121&lt;100000,4,5)))</f>
        <v/>
      </c>
      <c r="T120" s="5" t="str">
        <f aca="false">IF($A121="","",IF(OR(M121&gt;=4,I121&lt;=-8%),"防守",IF(OR(M121&gt;=2,I121&lt;=-5%),"警戒","正常")))</f>
        <v/>
      </c>
      <c r="U120" s="5" t="str">
        <f aca="false">IF($A121="","",IF(AND(L121&gt;=3,M121&lt;=2,T121&lt;&gt;"防守"),"是","否"))</f>
        <v/>
      </c>
      <c r="V120" s="5" t="str">
        <f aca="false">IF($A121="","",IF(AND(E121&lt;N121,R121&lt;S121,M121&lt;=2,I121&gt;-15%),"是","否"))</f>
        <v/>
      </c>
      <c r="W120" s="5" t="str">
        <f aca="false">IF($A121="","",IF(OR(M121&gt;=3,I121&lt;=-15%),"是","否"))</f>
        <v/>
      </c>
      <c r="X120" s="18" t="str">
        <f aca="false">IF($A121="","",IFERROR(maxifs(候选池!$AB:$AB,候选池!$A:$A,$A121),0))</f>
        <v/>
      </c>
      <c r="Y120" s="18" t="str">
        <f aca="false">IF($A121="","",IF(OR(M121&gt;=4,I121&lt;=-8%),MAX(0,B121*60%-C121),IF(AND(ISNUMBER(AD121),B121&gt;AD121),IF(B121&lt;30000,0,IF(B121&lt;100000,MAX(0,(B121-AD121)*0.2),MAX(0,(B121-AD121)*0.3))),0)))</f>
        <v/>
      </c>
      <c r="Z120" s="9"/>
      <c r="AA120" s="5" t="str">
        <f aca="false">IF($A121="","",IF($AA$2&lt;&gt;"",$AA$2,""))</f>
        <v/>
      </c>
      <c r="AB120" s="9" t="str">
        <f aca="false">IF($A121="","",IF(B121&lt;30000,0.03,IF(B121&lt;100000,0.02,0.015)))</f>
        <v/>
      </c>
      <c r="AC120" s="21" t="str">
        <f aca="false">IF($A121="","",IFERROR(DATEDIF($A$2,$A121,"m"),0))</f>
        <v/>
      </c>
      <c r="AD120" s="18" t="str">
        <f aca="false">IF($A121="","",IF(OR(AA121="",AB121="",AC121=""),"",AA121*POWER(1+AB121,AC121)))</f>
        <v/>
      </c>
      <c r="AE120" s="29" t="str">
        <f aca="false">IF($A121="","",IF(OR(AD121="",AD121=0),"",B121/AD121-1))</f>
        <v/>
      </c>
      <c r="AG120" s="1" t="str">
        <f aca="false">IF($A121="","",IF(B121&lt;30000,"婴儿",IF(B121&lt;100000,"成长","成熟")))</f>
        <v/>
      </c>
      <c r="AH120" s="24"/>
      <c r="AJ120" s="24"/>
      <c r="AK120" s="24"/>
      <c r="AM120" s="24"/>
      <c r="AP120" s="15"/>
      <c r="AQ120" s="25" t="str">
        <f aca="false">IF($A121="","",B121-$AA$2-SUM($F$2:F121))</f>
        <v/>
      </c>
      <c r="AR120" s="1" t="str">
        <f aca="false">IF($A120="","",30000)</f>
        <v/>
      </c>
      <c r="AS120" s="1" t="str">
        <f aca="false">IF($A120="","",AR120-B120)</f>
        <v/>
      </c>
      <c r="AT120" s="1" t="str">
        <f aca="false">IF($A120="","",IFERROR(B120/AR120,0))</f>
        <v/>
      </c>
      <c r="AU120" s="1" t="str">
        <f aca="false">IF($A120="","",IFERROR(B120*O120,0))</f>
        <v/>
      </c>
      <c r="AV120" s="1" t="str">
        <f aca="false">IF($A120="","",IFERROR(C120/B120,0))</f>
        <v/>
      </c>
      <c r="AW120" s="1" t="str">
        <f aca="false">IF($A120="","",MAX(0,R120-S120))</f>
        <v/>
      </c>
      <c r="AX120" s="1" t="str">
        <f aca="false">IF($A120="","",IF(AW120&gt;0,"优先降持仓数",IF(C120&lt;=0,"现金不足","允许评估")))</f>
        <v/>
      </c>
      <c r="AY120" s="1" t="str">
        <f aca="false">IF($A120="","",IF(B120&lt;30000,"婴儿阶段: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6"/>
      <c r="B121" s="17"/>
      <c r="C121" s="17"/>
      <c r="D121" s="18" t="str">
        <f aca="false">IF($A122="","",SUMIFS(持仓表!$J:$J,持仓表!$A:$A,$A122))</f>
        <v/>
      </c>
      <c r="E121" s="19" t="n">
        <f aca="false">IFERROR(D122/B122,0)</f>
        <v>0</v>
      </c>
      <c r="F121" s="17"/>
      <c r="G121" s="18" t="str">
        <f aca="false">IF($B122="","",MAX($B$2:B122))</f>
        <v/>
      </c>
      <c r="H121" s="19" t="n">
        <f aca="false">IFERROR((B122-F122)/F122,0)</f>
        <v>0</v>
      </c>
      <c r="I121" s="19" t="n">
        <f aca="false">IFERROR((B122-G122)/G122,0)</f>
        <v>0</v>
      </c>
      <c r="J121" s="6"/>
      <c r="K121" s="13"/>
      <c r="L121" s="20"/>
      <c r="M121" s="20"/>
      <c r="N121" s="19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21" s="19" t="str">
        <f aca="false">IF($B122="","",IF(B122&lt;30000,35%,IF(B122&lt;50000,30%,IF(B122&lt;100000,25%,20%))))</f>
        <v/>
      </c>
      <c r="P121" s="21" t="str">
        <f aca="false">IF($A122="","",COUNTIFS(持仓表!$A:$A,$A122,持仓表!$G:$G,"&gt;0"))</f>
        <v/>
      </c>
      <c r="Q121" s="21" t="str">
        <f aca="false">IF($A122="","",COUNTIFS(持仓表!$A:$A,$A122,持仓表!$D:$D,"是",持仓表!$G:$G,"&gt;0"))</f>
        <v/>
      </c>
      <c r="R121" s="21" t="str">
        <f aca="false">IF($A122="","",MAX(0,P122-Q122))</f>
        <v/>
      </c>
      <c r="S121" s="21" t="str">
        <f aca="false">IF($B122="","",IF(B122&lt;50000,3,IF(B122&lt;100000,4,5)))</f>
        <v/>
      </c>
      <c r="T121" s="5" t="str">
        <f aca="false">IF($A122="","",IF(OR(M122&gt;=4,I122&lt;=-8%),"防守",IF(OR(M122&gt;=2,I122&lt;=-5%),"警戒","正常")))</f>
        <v/>
      </c>
      <c r="U121" s="5" t="str">
        <f aca="false">IF($A122="","",IF(AND(L122&gt;=3,M122&lt;=2,T122&lt;&gt;"防守"),"是","否"))</f>
        <v/>
      </c>
      <c r="V121" s="5" t="str">
        <f aca="false">IF($A122="","",IF(AND(E122&lt;N122,R122&lt;S122,M122&lt;=2,I122&gt;-15%),"是","否"))</f>
        <v/>
      </c>
      <c r="W121" s="5" t="str">
        <f aca="false">IF($A122="","",IF(OR(M122&gt;=3,I122&lt;=-15%),"是","否"))</f>
        <v/>
      </c>
      <c r="X121" s="18" t="str">
        <f aca="false">IF($A122="","",IFERROR(maxifs(候选池!$AB:$AB,候选池!$A:$A,$A122),0))</f>
        <v/>
      </c>
      <c r="Y121" s="18" t="str">
        <f aca="false">IF($A122="","",IF(OR(M122&gt;=4,I122&lt;=-8%),MAX(0,B122*60%-C122),IF(AND(ISNUMBER(AD122),B122&gt;AD122),IF(B122&lt;30000,0,IF(B122&lt;100000,MAX(0,(B122-AD122)*0.2),MAX(0,(B122-AD122)*0.3))),0)))</f>
        <v/>
      </c>
      <c r="Z121" s="6"/>
      <c r="AA121" s="5" t="str">
        <f aca="false">IF($A122="","",IF($AA$2&lt;&gt;"",$AA$2,""))</f>
        <v/>
      </c>
      <c r="AB121" s="6" t="str">
        <f aca="false">IF($A122="","",IF(B122&lt;30000,0.03,IF(B122&lt;100000,0.02,0.015)))</f>
        <v/>
      </c>
      <c r="AC121" s="21" t="str">
        <f aca="false">IF($A122="","",IFERROR(DATEDIF($A$2,$A122,"m"),0))</f>
        <v/>
      </c>
      <c r="AD121" s="18" t="str">
        <f aca="false">IF($A122="","",IF(OR(AA122="",AB122="",AC122=""),"",AA122*POWER(1+AB122,AC122)))</f>
        <v/>
      </c>
      <c r="AE121" s="23" t="str">
        <f aca="false">IF($A122="","",IF(OR(AD122="",AD122=0),"",B122/AD122-1))</f>
        <v/>
      </c>
      <c r="AG121" s="1" t="str">
        <f aca="false">IF($A122="","",IF(B122&lt;30000,"婴儿",IF(B122&lt;100000,"成长","成熟")))</f>
        <v/>
      </c>
      <c r="AH121" s="24"/>
      <c r="AJ121" s="24"/>
      <c r="AK121" s="24"/>
      <c r="AM121" s="24"/>
      <c r="AP121" s="15"/>
      <c r="AQ121" s="25" t="str">
        <f aca="false">IF($A122="","",B122-$AA$2-SUM($F$2:F122))</f>
        <v/>
      </c>
      <c r="AR121" s="1" t="str">
        <f aca="false">IF($A121="","",30000)</f>
        <v/>
      </c>
      <c r="AS121" s="1" t="str">
        <f aca="false">IF($A121="","",AR121-B121)</f>
        <v/>
      </c>
      <c r="AT121" s="1" t="str">
        <f aca="false">IF($A121="","",IFERROR(B121/AR121,0))</f>
        <v/>
      </c>
      <c r="AU121" s="1" t="str">
        <f aca="false">IF($A121="","",IFERROR(B121*O121,0))</f>
        <v/>
      </c>
      <c r="AV121" s="1" t="str">
        <f aca="false">IF($A121="","",IFERROR(C121/B121,0))</f>
        <v/>
      </c>
      <c r="AW121" s="1" t="str">
        <f aca="false">IF($A121="","",MAX(0,R121-S121))</f>
        <v/>
      </c>
      <c r="AX121" s="1" t="str">
        <f aca="false">IF($A121="","",IF(AW121&gt;0,"优先降持仓数",IF(C121&lt;=0,"现金不足","允许评估")))</f>
        <v/>
      </c>
      <c r="AY121" s="1" t="str">
        <f aca="false">IF($A121="","",IF(B121&lt;30000,"婴儿阶段: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9"/>
      <c r="B122" s="26"/>
      <c r="C122" s="26"/>
      <c r="D122" s="18" t="str">
        <f aca="false">IF($A123="","",SUMIFS(持仓表!$J:$J,持仓表!$A:$A,$A123))</f>
        <v/>
      </c>
      <c r="E122" s="19" t="n">
        <f aca="false">IFERROR(D123/B123,0)</f>
        <v>0</v>
      </c>
      <c r="F122" s="26"/>
      <c r="G122" s="18" t="str">
        <f aca="false">IF($B123="","",MAX($B$2:B123))</f>
        <v/>
      </c>
      <c r="H122" s="19" t="n">
        <f aca="false">IFERROR((B123-F123)/F123,0)</f>
        <v>0</v>
      </c>
      <c r="I122" s="19" t="n">
        <f aca="false">IFERROR((B123-G123)/G123,0)</f>
        <v>0</v>
      </c>
      <c r="J122" s="9"/>
      <c r="K122" s="14"/>
      <c r="L122" s="27"/>
      <c r="M122" s="27"/>
      <c r="N122" s="19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22" s="19" t="str">
        <f aca="false">IF($B123="","",IF(B123&lt;30000,35%,IF(B123&lt;50000,30%,IF(B123&lt;100000,25%,20%))))</f>
        <v/>
      </c>
      <c r="P122" s="21" t="str">
        <f aca="false">IF($A123="","",COUNTIFS(持仓表!$A:$A,$A123,持仓表!$G:$G,"&gt;0"))</f>
        <v/>
      </c>
      <c r="Q122" s="21" t="str">
        <f aca="false">IF($A123="","",COUNTIFS(持仓表!$A:$A,$A123,持仓表!$D:$D,"是",持仓表!$G:$G,"&gt;0"))</f>
        <v/>
      </c>
      <c r="R122" s="21" t="str">
        <f aca="false">IF($A123="","",MAX(0,P123-Q123))</f>
        <v/>
      </c>
      <c r="S122" s="21" t="str">
        <f aca="false">IF($B123="","",IF(B123&lt;50000,3,IF(B123&lt;100000,4,5)))</f>
        <v/>
      </c>
      <c r="T122" s="5" t="str">
        <f aca="false">IF($A123="","",IF(OR(M123&gt;=4,I123&lt;=-8%),"防守",IF(OR(M123&gt;=2,I123&lt;=-5%),"警戒","正常")))</f>
        <v/>
      </c>
      <c r="U122" s="5" t="str">
        <f aca="false">IF($A123="","",IF(AND(L123&gt;=3,M123&lt;=2,T123&lt;&gt;"防守"),"是","否"))</f>
        <v/>
      </c>
      <c r="V122" s="5" t="str">
        <f aca="false">IF($A123="","",IF(AND(E123&lt;N123,R123&lt;S123,M123&lt;=2,I123&gt;-15%),"是","否"))</f>
        <v/>
      </c>
      <c r="W122" s="5" t="str">
        <f aca="false">IF($A123="","",IF(OR(M123&gt;=3,I123&lt;=-15%),"是","否"))</f>
        <v/>
      </c>
      <c r="X122" s="18" t="str">
        <f aca="false">IF($A123="","",IFERROR(maxifs(候选池!$AB:$AB,候选池!$A:$A,$A123),0))</f>
        <v/>
      </c>
      <c r="Y122" s="18" t="str">
        <f aca="false">IF($A123="","",IF(OR(M123&gt;=4,I123&lt;=-8%),MAX(0,B123*60%-C123),IF(AND(ISNUMBER(AD123),B123&gt;AD123),IF(B123&lt;30000,0,IF(B123&lt;100000,MAX(0,(B123-AD123)*0.2),MAX(0,(B123-AD123)*0.3))),0)))</f>
        <v/>
      </c>
      <c r="Z122" s="9"/>
      <c r="AA122" s="5" t="str">
        <f aca="false">IF($A123="","",IF($AA$2&lt;&gt;"",$AA$2,""))</f>
        <v/>
      </c>
      <c r="AB122" s="9" t="str">
        <f aca="false">IF($A123="","",IF(B123&lt;30000,0.03,IF(B123&lt;100000,0.02,0.015)))</f>
        <v/>
      </c>
      <c r="AC122" s="21" t="str">
        <f aca="false">IF($A123="","",IFERROR(DATEDIF($A$2,$A123,"m"),0))</f>
        <v/>
      </c>
      <c r="AD122" s="18" t="str">
        <f aca="false">IF($A123="","",IF(OR(AA123="",AB123="",AC123=""),"",AA123*POWER(1+AB123,AC123)))</f>
        <v/>
      </c>
      <c r="AE122" s="29" t="str">
        <f aca="false">IF($A123="","",IF(OR(AD123="",AD123=0),"",B123/AD123-1))</f>
        <v/>
      </c>
      <c r="AG122" s="1" t="str">
        <f aca="false">IF($A123="","",IF(B123&lt;30000,"婴儿",IF(B123&lt;100000,"成长","成熟")))</f>
        <v/>
      </c>
      <c r="AH122" s="24"/>
      <c r="AJ122" s="24"/>
      <c r="AK122" s="24"/>
      <c r="AM122" s="24"/>
      <c r="AP122" s="15"/>
      <c r="AQ122" s="25" t="str">
        <f aca="false">IF($A123="","",B123-$AA$2-SUM($F$2:F123))</f>
        <v/>
      </c>
      <c r="AR122" s="1" t="str">
        <f aca="false">IF($A122="","",30000)</f>
        <v/>
      </c>
      <c r="AS122" s="1" t="str">
        <f aca="false">IF($A122="","",AR122-B122)</f>
        <v/>
      </c>
      <c r="AT122" s="1" t="str">
        <f aca="false">IF($A122="","",IFERROR(B122/AR122,0))</f>
        <v/>
      </c>
      <c r="AU122" s="1" t="str">
        <f aca="false">IF($A122="","",IFERROR(B122*O122,0))</f>
        <v/>
      </c>
      <c r="AV122" s="1" t="str">
        <f aca="false">IF($A122="","",IFERROR(C122/B122,0))</f>
        <v/>
      </c>
      <c r="AW122" s="1" t="str">
        <f aca="false">IF($A122="","",MAX(0,R122-S122))</f>
        <v/>
      </c>
      <c r="AX122" s="1" t="str">
        <f aca="false">IF($A122="","",IF(AW122&gt;0,"优先降持仓数",IF(C122&lt;=0,"现金不足","允许评估")))</f>
        <v/>
      </c>
      <c r="AY122" s="1" t="str">
        <f aca="false">IF($A122="","",IF(B122&lt;30000,"婴儿阶段: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6"/>
      <c r="B123" s="17"/>
      <c r="C123" s="17"/>
      <c r="D123" s="18" t="str">
        <f aca="false">IF($A124="","",SUMIFS(持仓表!$J:$J,持仓表!$A:$A,$A124))</f>
        <v/>
      </c>
      <c r="E123" s="19" t="n">
        <f aca="false">IFERROR(D124/B124,0)</f>
        <v>0</v>
      </c>
      <c r="F123" s="17"/>
      <c r="G123" s="18" t="str">
        <f aca="false">IF($B124="","",MAX($B$2:B124))</f>
        <v/>
      </c>
      <c r="H123" s="19" t="n">
        <f aca="false">IFERROR((B124-F124)/F124,0)</f>
        <v>0</v>
      </c>
      <c r="I123" s="19" t="n">
        <f aca="false">IFERROR((B124-G124)/G124,0)</f>
        <v>0</v>
      </c>
      <c r="J123" s="6"/>
      <c r="K123" s="13"/>
      <c r="L123" s="20"/>
      <c r="M123" s="20"/>
      <c r="N123" s="19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23" s="19" t="str">
        <f aca="false">IF($B124="","",IF(B124&lt;30000,35%,IF(B124&lt;50000,30%,IF(B124&lt;100000,25%,20%))))</f>
        <v/>
      </c>
      <c r="P123" s="21" t="str">
        <f aca="false">IF($A124="","",COUNTIFS(持仓表!$A:$A,$A124,持仓表!$G:$G,"&gt;0"))</f>
        <v/>
      </c>
      <c r="Q123" s="21" t="str">
        <f aca="false">IF($A124="","",COUNTIFS(持仓表!$A:$A,$A124,持仓表!$D:$D,"是",持仓表!$G:$G,"&gt;0"))</f>
        <v/>
      </c>
      <c r="R123" s="21" t="str">
        <f aca="false">IF($A124="","",MAX(0,P124-Q124))</f>
        <v/>
      </c>
      <c r="S123" s="21" t="str">
        <f aca="false">IF($B124="","",IF(B124&lt;50000,3,IF(B124&lt;100000,4,5)))</f>
        <v/>
      </c>
      <c r="T123" s="5" t="str">
        <f aca="false">IF($A124="","",IF(OR(M124&gt;=4,I124&lt;=-8%),"防守",IF(OR(M124&gt;=2,I124&lt;=-5%),"警戒","正常")))</f>
        <v/>
      </c>
      <c r="U123" s="5" t="str">
        <f aca="false">IF($A124="","",IF(AND(L124&gt;=3,M124&lt;=2,T124&lt;&gt;"防守"),"是","否"))</f>
        <v/>
      </c>
      <c r="V123" s="5" t="str">
        <f aca="false">IF($A124="","",IF(AND(E124&lt;N124,R124&lt;S124,M124&lt;=2,I124&gt;-15%),"是","否"))</f>
        <v/>
      </c>
      <c r="W123" s="5" t="str">
        <f aca="false">IF($A124="","",IF(OR(M124&gt;=3,I124&lt;=-15%),"是","否"))</f>
        <v/>
      </c>
      <c r="X123" s="18" t="str">
        <f aca="false">IF($A124="","",IFERROR(maxifs(候选池!$AB:$AB,候选池!$A:$A,$A124),0))</f>
        <v/>
      </c>
      <c r="Y123" s="18" t="str">
        <f aca="false">IF($A124="","",IF(OR(M124&gt;=4,I124&lt;=-8%),MAX(0,B124*60%-C124),IF(AND(ISNUMBER(AD124),B124&gt;AD124),IF(B124&lt;30000,0,IF(B124&lt;100000,MAX(0,(B124-AD124)*0.2),MAX(0,(B124-AD124)*0.3))),0)))</f>
        <v/>
      </c>
      <c r="Z123" s="6"/>
      <c r="AA123" s="5" t="str">
        <f aca="false">IF($A124="","",IF($AA$2&lt;&gt;"",$AA$2,""))</f>
        <v/>
      </c>
      <c r="AB123" s="6" t="str">
        <f aca="false">IF($A124="","",IF(B124&lt;30000,0.03,IF(B124&lt;100000,0.02,0.015)))</f>
        <v/>
      </c>
      <c r="AC123" s="21" t="str">
        <f aca="false">IF($A124="","",IFERROR(DATEDIF($A$2,$A124,"m"),0))</f>
        <v/>
      </c>
      <c r="AD123" s="18" t="str">
        <f aca="false">IF($A124="","",IF(OR(AA124="",AB124="",AC124=""),"",AA124*POWER(1+AB124,AC124)))</f>
        <v/>
      </c>
      <c r="AE123" s="23" t="str">
        <f aca="false">IF($A124="","",IF(OR(AD124="",AD124=0),"",B124/AD124-1))</f>
        <v/>
      </c>
      <c r="AG123" s="1" t="str">
        <f aca="false">IF($A124="","",IF(B124&lt;30000,"婴儿",IF(B124&lt;100000,"成长","成熟")))</f>
        <v/>
      </c>
      <c r="AH123" s="24"/>
      <c r="AJ123" s="24"/>
      <c r="AK123" s="24"/>
      <c r="AM123" s="24"/>
      <c r="AP123" s="15"/>
      <c r="AQ123" s="25" t="str">
        <f aca="false">IF($A124="","",B124-$AA$2-SUM($F$2:F124))</f>
        <v/>
      </c>
      <c r="AR123" s="1" t="str">
        <f aca="false">IF($A123="","",30000)</f>
        <v/>
      </c>
      <c r="AS123" s="1" t="str">
        <f aca="false">IF($A123="","",AR123-B123)</f>
        <v/>
      </c>
      <c r="AT123" s="1" t="str">
        <f aca="false">IF($A123="","",IFERROR(B123/AR123,0))</f>
        <v/>
      </c>
      <c r="AU123" s="1" t="str">
        <f aca="false">IF($A123="","",IFERROR(B123*O123,0))</f>
        <v/>
      </c>
      <c r="AV123" s="1" t="str">
        <f aca="false">IF($A123="","",IFERROR(C123/B123,0))</f>
        <v/>
      </c>
      <c r="AW123" s="1" t="str">
        <f aca="false">IF($A123="","",MAX(0,R123-S123))</f>
        <v/>
      </c>
      <c r="AX123" s="1" t="str">
        <f aca="false">IF($A123="","",IF(AW123&gt;0,"优先降持仓数",IF(C123&lt;=0,"现金不足","允许评估")))</f>
        <v/>
      </c>
      <c r="AY123" s="1" t="str">
        <f aca="false">IF($A123="","",IF(B123&lt;30000,"婴儿阶段: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9"/>
      <c r="B124" s="26"/>
      <c r="C124" s="26"/>
      <c r="D124" s="18" t="str">
        <f aca="false">IF($A125="","",SUMIFS(持仓表!$J:$J,持仓表!$A:$A,$A125))</f>
        <v/>
      </c>
      <c r="E124" s="19" t="n">
        <f aca="false">IFERROR(D125/B125,0)</f>
        <v>0</v>
      </c>
      <c r="F124" s="26"/>
      <c r="G124" s="18" t="str">
        <f aca="false">IF($B125="","",MAX($B$2:B125))</f>
        <v/>
      </c>
      <c r="H124" s="19" t="n">
        <f aca="false">IFERROR((B125-F125)/F125,0)</f>
        <v>0</v>
      </c>
      <c r="I124" s="19" t="n">
        <f aca="false">IFERROR((B125-G125)/G125,0)</f>
        <v>0</v>
      </c>
      <c r="J124" s="9"/>
      <c r="K124" s="14"/>
      <c r="L124" s="27"/>
      <c r="M124" s="27"/>
      <c r="N124" s="19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4" s="19" t="str">
        <f aca="false">IF($B125="","",IF(B125&lt;30000,35%,IF(B125&lt;50000,30%,IF(B125&lt;100000,25%,20%))))</f>
        <v/>
      </c>
      <c r="P124" s="21" t="str">
        <f aca="false">IF($A125="","",COUNTIFS(持仓表!$A:$A,$A125,持仓表!$G:$G,"&gt;0"))</f>
        <v/>
      </c>
      <c r="Q124" s="21" t="str">
        <f aca="false">IF($A125="","",COUNTIFS(持仓表!$A:$A,$A125,持仓表!$D:$D,"是",持仓表!$G:$G,"&gt;0"))</f>
        <v/>
      </c>
      <c r="R124" s="21" t="str">
        <f aca="false">IF($A125="","",MAX(0,P125-Q125))</f>
        <v/>
      </c>
      <c r="S124" s="21" t="str">
        <f aca="false">IF($B125="","",IF(B125&lt;50000,3,IF(B125&lt;100000,4,5)))</f>
        <v/>
      </c>
      <c r="T124" s="5" t="str">
        <f aca="false">IF($A125="","",IF(OR(M125&gt;=4,I125&lt;=-8%),"防守",IF(OR(M125&gt;=2,I125&lt;=-5%),"警戒","正常")))</f>
        <v/>
      </c>
      <c r="U124" s="5" t="str">
        <f aca="false">IF($A125="","",IF(AND(L125&gt;=3,M125&lt;=2,T125&lt;&gt;"防守"),"是","否"))</f>
        <v/>
      </c>
      <c r="V124" s="5" t="str">
        <f aca="false">IF($A125="","",IF(AND(E125&lt;N125,R125&lt;S125,M125&lt;=2,I125&gt;-15%),"是","否"))</f>
        <v/>
      </c>
      <c r="W124" s="5" t="str">
        <f aca="false">IF($A125="","",IF(OR(M125&gt;=3,I125&lt;=-15%),"是","否"))</f>
        <v/>
      </c>
      <c r="X124" s="18" t="str">
        <f aca="false">IF($A125="","",IFERROR(maxifs(候选池!$AB:$AB,候选池!$A:$A,$A125),0))</f>
        <v/>
      </c>
      <c r="Y124" s="18" t="str">
        <f aca="false">IF($A125="","",IF(OR(M125&gt;=4,I125&lt;=-8%),MAX(0,B125*60%-C125),IF(AND(ISNUMBER(AD125),B125&gt;AD125),IF(B125&lt;30000,0,IF(B125&lt;100000,MAX(0,(B125-AD125)*0.2),MAX(0,(B125-AD125)*0.3))),0)))</f>
        <v/>
      </c>
      <c r="Z124" s="9"/>
      <c r="AA124" s="5" t="str">
        <f aca="false">IF($A125="","",IF($AA$2&lt;&gt;"",$AA$2,""))</f>
        <v/>
      </c>
      <c r="AB124" s="9" t="str">
        <f aca="false">IF($A125="","",IF(B125&lt;30000,0.03,IF(B125&lt;100000,0.02,0.015)))</f>
        <v/>
      </c>
      <c r="AC124" s="21" t="str">
        <f aca="false">IF($A125="","",IFERROR(DATEDIF($A$2,$A125,"m"),0))</f>
        <v/>
      </c>
      <c r="AD124" s="18" t="str">
        <f aca="false">IF($A125="","",IF(OR(AA125="",AB125="",AC125=""),"",AA125*POWER(1+AB125,AC125)))</f>
        <v/>
      </c>
      <c r="AE124" s="29" t="str">
        <f aca="false">IF($A125="","",IF(OR(AD125="",AD125=0),"",B125/AD125-1))</f>
        <v/>
      </c>
      <c r="AG124" s="1" t="str">
        <f aca="false">IF($A125="","",IF(B125&lt;30000,"婴儿",IF(B125&lt;100000,"成长","成熟")))</f>
        <v/>
      </c>
      <c r="AH124" s="24"/>
      <c r="AJ124" s="24"/>
      <c r="AK124" s="24"/>
      <c r="AM124" s="24"/>
      <c r="AP124" s="15"/>
      <c r="AQ124" s="25" t="str">
        <f aca="false">IF($A125="","",B125-$AA$2-SUM($F$2:F125))</f>
        <v/>
      </c>
      <c r="AR124" s="1" t="str">
        <f aca="false">IF($A124="","",30000)</f>
        <v/>
      </c>
      <c r="AS124" s="1" t="str">
        <f aca="false">IF($A124="","",AR124-B124)</f>
        <v/>
      </c>
      <c r="AT124" s="1" t="str">
        <f aca="false">IF($A124="","",IFERROR(B124/AR124,0))</f>
        <v/>
      </c>
      <c r="AU124" s="1" t="str">
        <f aca="false">IF($A124="","",IFERROR(B124*O124,0))</f>
        <v/>
      </c>
      <c r="AV124" s="1" t="str">
        <f aca="false">IF($A124="","",IFERROR(C124/B124,0))</f>
        <v/>
      </c>
      <c r="AW124" s="1" t="str">
        <f aca="false">IF($A124="","",MAX(0,R124-S124))</f>
        <v/>
      </c>
      <c r="AX124" s="1" t="str">
        <f aca="false">IF($A124="","",IF(AW124&gt;0,"优先降持仓数",IF(C124&lt;=0,"现金不足","允许评估")))</f>
        <v/>
      </c>
      <c r="AY124" s="1" t="str">
        <f aca="false">IF($A124="","",IF(B124&lt;30000,"婴儿阶段: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6"/>
      <c r="B125" s="17"/>
      <c r="C125" s="17"/>
      <c r="D125" s="18" t="str">
        <f aca="false">IF($A126="","",SUMIFS(持仓表!$J:$J,持仓表!$A:$A,$A126))</f>
        <v/>
      </c>
      <c r="E125" s="19" t="n">
        <f aca="false">IFERROR(D126/B126,0)</f>
        <v>0</v>
      </c>
      <c r="F125" s="17"/>
      <c r="G125" s="18" t="str">
        <f aca="false">IF($B126="","",MAX($B$2:B126))</f>
        <v/>
      </c>
      <c r="H125" s="19" t="n">
        <f aca="false">IFERROR((B126-F126)/F126,0)</f>
        <v>0</v>
      </c>
      <c r="I125" s="19" t="n">
        <f aca="false">IFERROR((B126-G126)/G126,0)</f>
        <v>0</v>
      </c>
      <c r="J125" s="6"/>
      <c r="K125" s="13"/>
      <c r="L125" s="20"/>
      <c r="M125" s="20"/>
      <c r="N125" s="19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5" s="19" t="str">
        <f aca="false">IF($B126="","",IF(B126&lt;30000,35%,IF(B126&lt;50000,30%,IF(B126&lt;100000,25%,20%))))</f>
        <v/>
      </c>
      <c r="P125" s="21" t="str">
        <f aca="false">IF($A126="","",COUNTIFS(持仓表!$A:$A,$A126,持仓表!$G:$G,"&gt;0"))</f>
        <v/>
      </c>
      <c r="Q125" s="21" t="str">
        <f aca="false">IF($A126="","",COUNTIFS(持仓表!$A:$A,$A126,持仓表!$D:$D,"是",持仓表!$G:$G,"&gt;0"))</f>
        <v/>
      </c>
      <c r="R125" s="21" t="str">
        <f aca="false">IF($A126="","",MAX(0,P126-Q126))</f>
        <v/>
      </c>
      <c r="S125" s="21" t="str">
        <f aca="false">IF($B126="","",IF(B126&lt;50000,3,IF(B126&lt;100000,4,5)))</f>
        <v/>
      </c>
      <c r="T125" s="5" t="str">
        <f aca="false">IF($A126="","",IF(OR(M126&gt;=4,I126&lt;=-8%),"防守",IF(OR(M126&gt;=2,I126&lt;=-5%),"警戒","正常")))</f>
        <v/>
      </c>
      <c r="U125" s="5" t="str">
        <f aca="false">IF($A126="","",IF(AND(L126&gt;=3,M126&lt;=2,T126&lt;&gt;"防守"),"是","否"))</f>
        <v/>
      </c>
      <c r="V125" s="5" t="str">
        <f aca="false">IF($A126="","",IF(AND(E126&lt;N126,R126&lt;S126,M126&lt;=2,I126&gt;-15%),"是","否"))</f>
        <v/>
      </c>
      <c r="W125" s="5" t="str">
        <f aca="false">IF($A126="","",IF(OR(M126&gt;=3,I126&lt;=-15%),"是","否"))</f>
        <v/>
      </c>
      <c r="X125" s="18" t="str">
        <f aca="false">IF($A126="","",IFERROR(maxifs(候选池!$AB:$AB,候选池!$A:$A,$A126),0))</f>
        <v/>
      </c>
      <c r="Y125" s="18" t="str">
        <f aca="false">IF($A126="","",IF(OR(M126&gt;=4,I126&lt;=-8%),MAX(0,B126*60%-C126),IF(AND(ISNUMBER(AD126),B126&gt;AD126),IF(B126&lt;30000,0,IF(B126&lt;100000,MAX(0,(B126-AD126)*0.2),MAX(0,(B126-AD126)*0.3))),0)))</f>
        <v/>
      </c>
      <c r="Z125" s="6"/>
      <c r="AA125" s="5" t="str">
        <f aca="false">IF($A126="","",IF($AA$2&lt;&gt;"",$AA$2,""))</f>
        <v/>
      </c>
      <c r="AB125" s="6" t="str">
        <f aca="false">IF($A126="","",IF(B126&lt;30000,0.03,IF(B126&lt;100000,0.02,0.015)))</f>
        <v/>
      </c>
      <c r="AC125" s="21" t="str">
        <f aca="false">IF($A126="","",IFERROR(DATEDIF($A$2,$A126,"m"),0))</f>
        <v/>
      </c>
      <c r="AD125" s="18" t="str">
        <f aca="false">IF($A126="","",IF(OR(AA126="",AB126="",AC126=""),"",AA126*POWER(1+AB126,AC126)))</f>
        <v/>
      </c>
      <c r="AE125" s="23" t="str">
        <f aca="false">IF($A126="","",IF(OR(AD126="",AD126=0),"",B126/AD126-1))</f>
        <v/>
      </c>
      <c r="AG125" s="1" t="str">
        <f aca="false">IF($A126="","",IF(B126&lt;30000,"婴儿",IF(B126&lt;100000,"成长","成熟")))</f>
        <v/>
      </c>
      <c r="AH125" s="24"/>
      <c r="AJ125" s="24"/>
      <c r="AK125" s="24"/>
      <c r="AM125" s="24"/>
      <c r="AP125" s="15"/>
      <c r="AQ125" s="25" t="str">
        <f aca="false">IF($A126="","",B126-$AA$2-SUM($F$2:F126))</f>
        <v/>
      </c>
      <c r="AR125" s="1" t="str">
        <f aca="false">IF($A125="","",30000)</f>
        <v/>
      </c>
      <c r="AS125" s="1" t="str">
        <f aca="false">IF($A125="","",AR125-B125)</f>
        <v/>
      </c>
      <c r="AT125" s="1" t="str">
        <f aca="false">IF($A125="","",IFERROR(B125/AR125,0))</f>
        <v/>
      </c>
      <c r="AU125" s="1" t="str">
        <f aca="false">IF($A125="","",IFERROR(B125*O125,0))</f>
        <v/>
      </c>
      <c r="AV125" s="1" t="str">
        <f aca="false">IF($A125="","",IFERROR(C125/B125,0))</f>
        <v/>
      </c>
      <c r="AW125" s="1" t="str">
        <f aca="false">IF($A125="","",MAX(0,R125-S125))</f>
        <v/>
      </c>
      <c r="AX125" s="1" t="str">
        <f aca="false">IF($A125="","",IF(AW125&gt;0,"优先降持仓数",IF(C125&lt;=0,"现金不足","允许评估")))</f>
        <v/>
      </c>
      <c r="AY125" s="1" t="str">
        <f aca="false">IF($A125="","",IF(B125&lt;30000,"婴儿阶段: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9"/>
      <c r="B126" s="26"/>
      <c r="C126" s="26"/>
      <c r="D126" s="18" t="str">
        <f aca="false">IF($A127="","",SUMIFS(持仓表!$J:$J,持仓表!$A:$A,$A127))</f>
        <v/>
      </c>
      <c r="E126" s="19" t="n">
        <f aca="false">IFERROR(D127/B127,0)</f>
        <v>0</v>
      </c>
      <c r="F126" s="26"/>
      <c r="G126" s="18" t="str">
        <f aca="false">IF($B127="","",MAX($B$2:B127))</f>
        <v/>
      </c>
      <c r="H126" s="19" t="n">
        <f aca="false">IFERROR((B127-F127)/F127,0)</f>
        <v>0</v>
      </c>
      <c r="I126" s="19" t="n">
        <f aca="false">IFERROR((B127-G127)/G127,0)</f>
        <v>0</v>
      </c>
      <c r="J126" s="9"/>
      <c r="K126" s="14"/>
      <c r="L126" s="27"/>
      <c r="M126" s="27"/>
      <c r="N126" s="19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6" s="19" t="str">
        <f aca="false">IF($B127="","",IF(B127&lt;30000,35%,IF(B127&lt;50000,30%,IF(B127&lt;100000,25%,20%))))</f>
        <v/>
      </c>
      <c r="P126" s="21" t="str">
        <f aca="false">IF($A127="","",COUNTIFS(持仓表!$A:$A,$A127,持仓表!$G:$G,"&gt;0"))</f>
        <v/>
      </c>
      <c r="Q126" s="21" t="str">
        <f aca="false">IF($A127="","",COUNTIFS(持仓表!$A:$A,$A127,持仓表!$D:$D,"是",持仓表!$G:$G,"&gt;0"))</f>
        <v/>
      </c>
      <c r="R126" s="21" t="str">
        <f aca="false">IF($A127="","",MAX(0,P127-Q127))</f>
        <v/>
      </c>
      <c r="S126" s="21" t="str">
        <f aca="false">IF($B127="","",IF(B127&lt;50000,3,IF(B127&lt;100000,4,5)))</f>
        <v/>
      </c>
      <c r="T126" s="5" t="str">
        <f aca="false">IF($A127="","",IF(OR(M127&gt;=4,I127&lt;=-8%),"防守",IF(OR(M127&gt;=2,I127&lt;=-5%),"警戒","正常")))</f>
        <v/>
      </c>
      <c r="U126" s="5" t="str">
        <f aca="false">IF($A127="","",IF(AND(L127&gt;=3,M127&lt;=2,T127&lt;&gt;"防守"),"是","否"))</f>
        <v/>
      </c>
      <c r="V126" s="5" t="str">
        <f aca="false">IF($A127="","",IF(AND(E127&lt;N127,R127&lt;S127,M127&lt;=2,I127&gt;-15%),"是","否"))</f>
        <v/>
      </c>
      <c r="W126" s="5" t="str">
        <f aca="false">IF($A127="","",IF(OR(M127&gt;=3,I127&lt;=-15%),"是","否"))</f>
        <v/>
      </c>
      <c r="X126" s="18" t="str">
        <f aca="false">IF($A127="","",IFERROR(maxifs(候选池!$AB:$AB,候选池!$A:$A,$A127),0))</f>
        <v/>
      </c>
      <c r="Y126" s="18" t="str">
        <f aca="false">IF($A127="","",IF(OR(M127&gt;=4,I127&lt;=-8%),MAX(0,B127*60%-C127),IF(AND(ISNUMBER(AD127),B127&gt;AD127),IF(B127&lt;30000,0,IF(B127&lt;100000,MAX(0,(B127-AD127)*0.2),MAX(0,(B127-AD127)*0.3))),0)))</f>
        <v/>
      </c>
      <c r="Z126" s="9"/>
      <c r="AA126" s="5" t="str">
        <f aca="false">IF($A127="","",IF($AA$2&lt;&gt;"",$AA$2,""))</f>
        <v/>
      </c>
      <c r="AB126" s="9" t="str">
        <f aca="false">IF($A127="","",IF(B127&lt;30000,0.03,IF(B127&lt;100000,0.02,0.015)))</f>
        <v/>
      </c>
      <c r="AC126" s="21" t="str">
        <f aca="false">IF($A127="","",IFERROR(DATEDIF($A$2,$A127,"m"),0))</f>
        <v/>
      </c>
      <c r="AD126" s="18" t="str">
        <f aca="false">IF($A127="","",IF(OR(AA127="",AB127="",AC127=""),"",AA127*POWER(1+AB127,AC127)))</f>
        <v/>
      </c>
      <c r="AE126" s="29" t="str">
        <f aca="false">IF($A127="","",IF(OR(AD127="",AD127=0),"",B127/AD127-1))</f>
        <v/>
      </c>
      <c r="AG126" s="1" t="str">
        <f aca="false">IF($A127="","",IF(B127&lt;30000,"婴儿",IF(B127&lt;100000,"成长","成熟")))</f>
        <v/>
      </c>
      <c r="AH126" s="24"/>
      <c r="AJ126" s="24"/>
      <c r="AK126" s="24"/>
      <c r="AM126" s="24"/>
      <c r="AP126" s="15"/>
      <c r="AQ126" s="25" t="str">
        <f aca="false">IF($A127="","",B127-$AA$2-SUM($F$2:F127))</f>
        <v/>
      </c>
      <c r="AR126" s="1" t="str">
        <f aca="false">IF($A126="","",30000)</f>
        <v/>
      </c>
      <c r="AS126" s="1" t="str">
        <f aca="false">IF($A126="","",AR126-B126)</f>
        <v/>
      </c>
      <c r="AT126" s="1" t="str">
        <f aca="false">IF($A126="","",IFERROR(B126/AR126,0))</f>
        <v/>
      </c>
      <c r="AU126" s="1" t="str">
        <f aca="false">IF($A126="","",IFERROR(B126*O126,0))</f>
        <v/>
      </c>
      <c r="AV126" s="1" t="str">
        <f aca="false">IF($A126="","",IFERROR(C126/B126,0))</f>
        <v/>
      </c>
      <c r="AW126" s="1" t="str">
        <f aca="false">IF($A126="","",MAX(0,R126-S126))</f>
        <v/>
      </c>
      <c r="AX126" s="1" t="str">
        <f aca="false">IF($A126="","",IF(AW126&gt;0,"优先降持仓数",IF(C126&lt;=0,"现金不足","允许评估")))</f>
        <v/>
      </c>
      <c r="AY126" s="1" t="str">
        <f aca="false">IF($A126="","",IF(B126&lt;30000,"婴儿阶段: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6"/>
      <c r="B127" s="17"/>
      <c r="C127" s="17"/>
      <c r="D127" s="18" t="str">
        <f aca="false">IF($A128="","",SUMIFS(持仓表!$J:$J,持仓表!$A:$A,$A128))</f>
        <v/>
      </c>
      <c r="E127" s="19" t="n">
        <f aca="false">IFERROR(D128/B128,0)</f>
        <v>0</v>
      </c>
      <c r="F127" s="17"/>
      <c r="G127" s="18" t="str">
        <f aca="false">IF($B128="","",MAX($B$2:B128))</f>
        <v/>
      </c>
      <c r="H127" s="19" t="n">
        <f aca="false">IFERROR((B128-F128)/F128,0)</f>
        <v>0</v>
      </c>
      <c r="I127" s="19" t="n">
        <f aca="false">IFERROR((B128-G128)/G128,0)</f>
        <v>0</v>
      </c>
      <c r="J127" s="6"/>
      <c r="K127" s="13"/>
      <c r="L127" s="20"/>
      <c r="M127" s="20"/>
      <c r="N127" s="19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7" s="19" t="str">
        <f aca="false">IF($B128="","",IF(B128&lt;30000,35%,IF(B128&lt;50000,30%,IF(B128&lt;100000,25%,20%))))</f>
        <v/>
      </c>
      <c r="P127" s="21" t="str">
        <f aca="false">IF($A128="","",COUNTIFS(持仓表!$A:$A,$A128,持仓表!$G:$G,"&gt;0"))</f>
        <v/>
      </c>
      <c r="Q127" s="21" t="str">
        <f aca="false">IF($A128="","",COUNTIFS(持仓表!$A:$A,$A128,持仓表!$D:$D,"是",持仓表!$G:$G,"&gt;0"))</f>
        <v/>
      </c>
      <c r="R127" s="21" t="str">
        <f aca="false">IF($A128="","",MAX(0,P128-Q128))</f>
        <v/>
      </c>
      <c r="S127" s="21" t="str">
        <f aca="false">IF($B128="","",IF(B128&lt;50000,3,IF(B128&lt;100000,4,5)))</f>
        <v/>
      </c>
      <c r="T127" s="5" t="str">
        <f aca="false">IF($A128="","",IF(OR(M128&gt;=4,I128&lt;=-8%),"防守",IF(OR(M128&gt;=2,I128&lt;=-5%),"警戒","正常")))</f>
        <v/>
      </c>
      <c r="U127" s="5" t="str">
        <f aca="false">IF($A128="","",IF(AND(L128&gt;=3,M128&lt;=2,T128&lt;&gt;"防守"),"是","否"))</f>
        <v/>
      </c>
      <c r="V127" s="5" t="str">
        <f aca="false">IF($A128="","",IF(AND(E128&lt;N128,R128&lt;S128,M128&lt;=2,I128&gt;-15%),"是","否"))</f>
        <v/>
      </c>
      <c r="W127" s="5" t="str">
        <f aca="false">IF($A128="","",IF(OR(M128&gt;=3,I128&lt;=-15%),"是","否"))</f>
        <v/>
      </c>
      <c r="X127" s="18" t="str">
        <f aca="false">IF($A128="","",IFERROR(maxifs(候选池!$AB:$AB,候选池!$A:$A,$A128),0))</f>
        <v/>
      </c>
      <c r="Y127" s="18" t="str">
        <f aca="false">IF($A128="","",IF(OR(M128&gt;=4,I128&lt;=-8%),MAX(0,B128*60%-C128),IF(AND(ISNUMBER(AD128),B128&gt;AD128),IF(B128&lt;30000,0,IF(B128&lt;100000,MAX(0,(B128-AD128)*0.2),MAX(0,(B128-AD128)*0.3))),0)))</f>
        <v/>
      </c>
      <c r="Z127" s="6"/>
      <c r="AA127" s="5" t="str">
        <f aca="false">IF($A128="","",IF($AA$2&lt;&gt;"",$AA$2,""))</f>
        <v/>
      </c>
      <c r="AB127" s="6" t="str">
        <f aca="false">IF($A128="","",IF(B128&lt;30000,0.03,IF(B128&lt;100000,0.02,0.015)))</f>
        <v/>
      </c>
      <c r="AC127" s="21" t="str">
        <f aca="false">IF($A128="","",IFERROR(DATEDIF($A$2,$A128,"m"),0))</f>
        <v/>
      </c>
      <c r="AD127" s="18" t="str">
        <f aca="false">IF($A128="","",IF(OR(AA128="",AB128="",AC128=""),"",AA128*POWER(1+AB128,AC128)))</f>
        <v/>
      </c>
      <c r="AE127" s="23" t="str">
        <f aca="false">IF($A128="","",IF(OR(AD128="",AD128=0),"",B128/AD128-1))</f>
        <v/>
      </c>
      <c r="AG127" s="1" t="str">
        <f aca="false">IF($A128="","",IF(B128&lt;30000,"婴儿",IF(B128&lt;100000,"成长","成熟")))</f>
        <v/>
      </c>
      <c r="AH127" s="24"/>
      <c r="AJ127" s="24"/>
      <c r="AK127" s="24"/>
      <c r="AM127" s="24"/>
      <c r="AP127" s="15"/>
      <c r="AQ127" s="25" t="str">
        <f aca="false">IF($A128="","",B128-$AA$2-SUM($F$2:F128))</f>
        <v/>
      </c>
      <c r="AR127" s="1" t="str">
        <f aca="false">IF($A127="","",30000)</f>
        <v/>
      </c>
      <c r="AS127" s="1" t="str">
        <f aca="false">IF($A127="","",AR127-B127)</f>
        <v/>
      </c>
      <c r="AT127" s="1" t="str">
        <f aca="false">IF($A127="","",IFERROR(B127/AR127,0))</f>
        <v/>
      </c>
      <c r="AU127" s="1" t="str">
        <f aca="false">IF($A127="","",IFERROR(B127*O127,0))</f>
        <v/>
      </c>
      <c r="AV127" s="1" t="str">
        <f aca="false">IF($A127="","",IFERROR(C127/B127,0))</f>
        <v/>
      </c>
      <c r="AW127" s="1" t="str">
        <f aca="false">IF($A127="","",MAX(0,R127-S127))</f>
        <v/>
      </c>
      <c r="AX127" s="1" t="str">
        <f aca="false">IF($A127="","",IF(AW127&gt;0,"优先降持仓数",IF(C127&lt;=0,"现金不足","允许评估")))</f>
        <v/>
      </c>
      <c r="AY127" s="1" t="str">
        <f aca="false">IF($A127="","",IF(B127&lt;30000,"婴儿阶段: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9"/>
      <c r="B128" s="26"/>
      <c r="C128" s="26"/>
      <c r="D128" s="18" t="str">
        <f aca="false">IF($A129="","",SUMIFS(持仓表!$J:$J,持仓表!$A:$A,$A129))</f>
        <v/>
      </c>
      <c r="E128" s="19" t="n">
        <f aca="false">IFERROR(D129/B129,0)</f>
        <v>0</v>
      </c>
      <c r="F128" s="26"/>
      <c r="G128" s="18" t="str">
        <f aca="false">IF($B129="","",MAX($B$2:B129))</f>
        <v/>
      </c>
      <c r="H128" s="19" t="n">
        <f aca="false">IFERROR((B129-F129)/F129,0)</f>
        <v>0</v>
      </c>
      <c r="I128" s="19" t="n">
        <f aca="false">IFERROR((B129-G129)/G129,0)</f>
        <v>0</v>
      </c>
      <c r="J128" s="9"/>
      <c r="K128" s="14"/>
      <c r="L128" s="27"/>
      <c r="M128" s="27"/>
      <c r="N128" s="19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8" s="19" t="str">
        <f aca="false">IF($B129="","",IF(B129&lt;30000,35%,IF(B129&lt;50000,30%,IF(B129&lt;100000,25%,20%))))</f>
        <v/>
      </c>
      <c r="P128" s="21" t="str">
        <f aca="false">IF($A129="","",COUNTIFS(持仓表!$A:$A,$A129,持仓表!$G:$G,"&gt;0"))</f>
        <v/>
      </c>
      <c r="Q128" s="21" t="str">
        <f aca="false">IF($A129="","",COUNTIFS(持仓表!$A:$A,$A129,持仓表!$D:$D,"是",持仓表!$G:$G,"&gt;0"))</f>
        <v/>
      </c>
      <c r="R128" s="21" t="str">
        <f aca="false">IF($A129="","",MAX(0,P129-Q129))</f>
        <v/>
      </c>
      <c r="S128" s="21" t="str">
        <f aca="false">IF($B129="","",IF(B129&lt;50000,3,IF(B129&lt;100000,4,5)))</f>
        <v/>
      </c>
      <c r="T128" s="5" t="str">
        <f aca="false">IF($A129="","",IF(OR(M129&gt;=4,I129&lt;=-8%),"防守",IF(OR(M129&gt;=2,I129&lt;=-5%),"警戒","正常")))</f>
        <v/>
      </c>
      <c r="U128" s="5" t="str">
        <f aca="false">IF($A129="","",IF(AND(L129&gt;=3,M129&lt;=2,T129&lt;&gt;"防守"),"是","否"))</f>
        <v/>
      </c>
      <c r="V128" s="5" t="str">
        <f aca="false">IF($A129="","",IF(AND(E129&lt;N129,R129&lt;S129,M129&lt;=2,I129&gt;-15%),"是","否"))</f>
        <v/>
      </c>
      <c r="W128" s="5" t="str">
        <f aca="false">IF($A129="","",IF(OR(M129&gt;=3,I129&lt;=-15%),"是","否"))</f>
        <v/>
      </c>
      <c r="X128" s="18" t="str">
        <f aca="false">IF($A129="","",IFERROR(maxifs(候选池!$AB:$AB,候选池!$A:$A,$A129),0))</f>
        <v/>
      </c>
      <c r="Y128" s="18" t="str">
        <f aca="false">IF($A129="","",IF(OR(M129&gt;=4,I129&lt;=-8%),MAX(0,B129*60%-C129),IF(AND(ISNUMBER(AD129),B129&gt;AD129),IF(B129&lt;30000,0,IF(B129&lt;100000,MAX(0,(B129-AD129)*0.2),MAX(0,(B129-AD129)*0.3))),0)))</f>
        <v/>
      </c>
      <c r="Z128" s="9"/>
      <c r="AA128" s="5" t="str">
        <f aca="false">IF($A129="","",IF($AA$2&lt;&gt;"",$AA$2,""))</f>
        <v/>
      </c>
      <c r="AB128" s="9" t="str">
        <f aca="false">IF($A129="","",IF(B129&lt;30000,0.03,IF(B129&lt;100000,0.02,0.015)))</f>
        <v/>
      </c>
      <c r="AC128" s="21" t="str">
        <f aca="false">IF($A129="","",IFERROR(DATEDIF($A$2,$A129,"m"),0))</f>
        <v/>
      </c>
      <c r="AD128" s="18" t="str">
        <f aca="false">IF($A129="","",IF(OR(AA129="",AB129="",AC129=""),"",AA129*POWER(1+AB129,AC129)))</f>
        <v/>
      </c>
      <c r="AE128" s="29" t="str">
        <f aca="false">IF($A129="","",IF(OR(AD129="",AD129=0),"",B129/AD129-1))</f>
        <v/>
      </c>
      <c r="AG128" s="1" t="str">
        <f aca="false">IF($A129="","",IF(B129&lt;30000,"婴儿",IF(B129&lt;100000,"成长","成熟")))</f>
        <v/>
      </c>
      <c r="AH128" s="24"/>
      <c r="AJ128" s="24"/>
      <c r="AK128" s="24"/>
      <c r="AM128" s="24"/>
      <c r="AP128" s="15"/>
      <c r="AQ128" s="25" t="str">
        <f aca="false">IF($A129="","",B129-$AA$2-SUM($F$2:F129))</f>
        <v/>
      </c>
      <c r="AR128" s="1" t="str">
        <f aca="false">IF($A128="","",30000)</f>
        <v/>
      </c>
      <c r="AS128" s="1" t="str">
        <f aca="false">IF($A128="","",AR128-B128)</f>
        <v/>
      </c>
      <c r="AT128" s="1" t="str">
        <f aca="false">IF($A128="","",IFERROR(B128/AR128,0))</f>
        <v/>
      </c>
      <c r="AU128" s="1" t="str">
        <f aca="false">IF($A128="","",IFERROR(B128*O128,0))</f>
        <v/>
      </c>
      <c r="AV128" s="1" t="str">
        <f aca="false">IF($A128="","",IFERROR(C128/B128,0))</f>
        <v/>
      </c>
      <c r="AW128" s="1" t="str">
        <f aca="false">IF($A128="","",MAX(0,R128-S128))</f>
        <v/>
      </c>
      <c r="AX128" s="1" t="str">
        <f aca="false">IF($A128="","",IF(AW128&gt;0,"优先降持仓数",IF(C128&lt;=0,"现金不足","允许评估")))</f>
        <v/>
      </c>
      <c r="AY128" s="1" t="str">
        <f aca="false">IF($A128="","",IF(B128&lt;30000,"婴儿阶段: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6"/>
      <c r="B129" s="17"/>
      <c r="C129" s="17"/>
      <c r="D129" s="18" t="str">
        <f aca="false">IF($A130="","",SUMIFS(持仓表!$J:$J,持仓表!$A:$A,$A130))</f>
        <v/>
      </c>
      <c r="E129" s="19" t="n">
        <f aca="false">IFERROR(D130/B130,0)</f>
        <v>0</v>
      </c>
      <c r="F129" s="17"/>
      <c r="G129" s="18" t="str">
        <f aca="false">IF($B130="","",MAX($B$2:B130))</f>
        <v/>
      </c>
      <c r="H129" s="19" t="n">
        <f aca="false">IFERROR((B130-F130)/F130,0)</f>
        <v>0</v>
      </c>
      <c r="I129" s="19" t="n">
        <f aca="false">IFERROR((B130-G130)/G130,0)</f>
        <v>0</v>
      </c>
      <c r="J129" s="6"/>
      <c r="K129" s="13"/>
      <c r="L129" s="20"/>
      <c r="M129" s="20"/>
      <c r="N129" s="19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9" s="19" t="str">
        <f aca="false">IF($B130="","",IF(B130&lt;30000,35%,IF(B130&lt;50000,30%,IF(B130&lt;100000,25%,20%))))</f>
        <v/>
      </c>
      <c r="P129" s="21" t="str">
        <f aca="false">IF($A130="","",COUNTIFS(持仓表!$A:$A,$A130,持仓表!$G:$G,"&gt;0"))</f>
        <v/>
      </c>
      <c r="Q129" s="21" t="str">
        <f aca="false">IF($A130="","",COUNTIFS(持仓表!$A:$A,$A130,持仓表!$D:$D,"是",持仓表!$G:$G,"&gt;0"))</f>
        <v/>
      </c>
      <c r="R129" s="21" t="str">
        <f aca="false">IF($A130="","",MAX(0,P130-Q130))</f>
        <v/>
      </c>
      <c r="S129" s="21" t="str">
        <f aca="false">IF($B130="","",IF(B130&lt;50000,3,IF(B130&lt;100000,4,5)))</f>
        <v/>
      </c>
      <c r="T129" s="5" t="str">
        <f aca="false">IF($A130="","",IF(OR(M130&gt;=4,I130&lt;=-8%),"防守",IF(OR(M130&gt;=2,I130&lt;=-5%),"警戒","正常")))</f>
        <v/>
      </c>
      <c r="U129" s="5" t="str">
        <f aca="false">IF($A130="","",IF(AND(L130&gt;=3,M130&lt;=2,T130&lt;&gt;"防守"),"是","否"))</f>
        <v/>
      </c>
      <c r="V129" s="5" t="str">
        <f aca="false">IF($A130="","",IF(AND(E130&lt;N130,R130&lt;S130,M130&lt;=2,I130&gt;-15%),"是","否"))</f>
        <v/>
      </c>
      <c r="W129" s="5" t="str">
        <f aca="false">IF($A130="","",IF(OR(M130&gt;=3,I130&lt;=-15%),"是","否"))</f>
        <v/>
      </c>
      <c r="X129" s="18" t="str">
        <f aca="false">IF($A130="","",IFERROR(maxifs(候选池!$AB:$AB,候选池!$A:$A,$A130),0))</f>
        <v/>
      </c>
      <c r="Y129" s="18" t="str">
        <f aca="false">IF($A130="","",IF(OR(M130&gt;=4,I130&lt;=-8%),MAX(0,B130*60%-C130),IF(AND(ISNUMBER(AD130),B130&gt;AD130),IF(B130&lt;30000,0,IF(B130&lt;100000,MAX(0,(B130-AD130)*0.2),MAX(0,(B130-AD130)*0.3))),0)))</f>
        <v/>
      </c>
      <c r="Z129" s="6"/>
      <c r="AA129" s="5" t="str">
        <f aca="false">IF($A130="","",IF($AA$2&lt;&gt;"",$AA$2,""))</f>
        <v/>
      </c>
      <c r="AB129" s="6" t="str">
        <f aca="false">IF($A130="","",IF(B130&lt;30000,0.03,IF(B130&lt;100000,0.02,0.015)))</f>
        <v/>
      </c>
      <c r="AC129" s="21" t="str">
        <f aca="false">IF($A130="","",IFERROR(DATEDIF($A$2,$A130,"m"),0))</f>
        <v/>
      </c>
      <c r="AD129" s="18" t="str">
        <f aca="false">IF($A130="","",IF(OR(AA130="",AB130="",AC130=""),"",AA130*POWER(1+AB130,AC130)))</f>
        <v/>
      </c>
      <c r="AE129" s="23" t="str">
        <f aca="false">IF($A130="","",IF(OR(AD130="",AD130=0),"",B130/AD130-1))</f>
        <v/>
      </c>
      <c r="AG129" s="1" t="str">
        <f aca="false">IF($A130="","",IF(B130&lt;30000,"婴儿",IF(B130&lt;100000,"成长","成熟")))</f>
        <v/>
      </c>
      <c r="AH129" s="24"/>
      <c r="AJ129" s="24"/>
      <c r="AK129" s="24"/>
      <c r="AM129" s="24"/>
      <c r="AP129" s="15"/>
      <c r="AQ129" s="25" t="str">
        <f aca="false">IF($A130="","",B130-$AA$2-SUM($F$2:F130))</f>
        <v/>
      </c>
      <c r="AR129" s="1" t="str">
        <f aca="false">IF($A129="","",30000)</f>
        <v/>
      </c>
      <c r="AS129" s="1" t="str">
        <f aca="false">IF($A129="","",AR129-B129)</f>
        <v/>
      </c>
      <c r="AT129" s="1" t="str">
        <f aca="false">IF($A129="","",IFERROR(B129/AR129,0))</f>
        <v/>
      </c>
      <c r="AU129" s="1" t="str">
        <f aca="false">IF($A129="","",IFERROR(B129*O129,0))</f>
        <v/>
      </c>
      <c r="AV129" s="1" t="str">
        <f aca="false">IF($A129="","",IFERROR(C129/B129,0))</f>
        <v/>
      </c>
      <c r="AW129" s="1" t="str">
        <f aca="false">IF($A129="","",MAX(0,R129-S129))</f>
        <v/>
      </c>
      <c r="AX129" s="1" t="str">
        <f aca="false">IF($A129="","",IF(AW129&gt;0,"优先降持仓数",IF(C129&lt;=0,"现金不足","允许评估")))</f>
        <v/>
      </c>
      <c r="AY129" s="1" t="str">
        <f aca="false">IF($A129="","",IF(B129&lt;30000,"婴儿阶段: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9"/>
      <c r="B130" s="26"/>
      <c r="C130" s="26"/>
      <c r="D130" s="18" t="str">
        <f aca="false">IF($A131="","",SUMIFS(持仓表!$J:$J,持仓表!$A:$A,$A131))</f>
        <v/>
      </c>
      <c r="E130" s="19" t="n">
        <f aca="false">IFERROR(D131/B131,0)</f>
        <v>0</v>
      </c>
      <c r="F130" s="26"/>
      <c r="G130" s="18" t="str">
        <f aca="false">IF($B131="","",MAX($B$2:B131))</f>
        <v/>
      </c>
      <c r="H130" s="19" t="n">
        <f aca="false">IFERROR((B131-F131)/F131,0)</f>
        <v>0</v>
      </c>
      <c r="I130" s="19" t="n">
        <f aca="false">IFERROR((B131-G131)/G131,0)</f>
        <v>0</v>
      </c>
      <c r="J130" s="9"/>
      <c r="K130" s="14"/>
      <c r="L130" s="27"/>
      <c r="M130" s="27"/>
      <c r="N130" s="19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30" s="19" t="str">
        <f aca="false">IF($B131="","",IF(B131&lt;30000,35%,IF(B131&lt;50000,30%,IF(B131&lt;100000,25%,20%))))</f>
        <v/>
      </c>
      <c r="P130" s="21" t="str">
        <f aca="false">IF($A131="","",COUNTIFS(持仓表!$A:$A,$A131,持仓表!$G:$G,"&gt;0"))</f>
        <v/>
      </c>
      <c r="Q130" s="21" t="str">
        <f aca="false">IF($A131="","",COUNTIFS(持仓表!$A:$A,$A131,持仓表!$D:$D,"是",持仓表!$G:$G,"&gt;0"))</f>
        <v/>
      </c>
      <c r="R130" s="21" t="str">
        <f aca="false">IF($A131="","",MAX(0,P131-Q131))</f>
        <v/>
      </c>
      <c r="S130" s="21" t="str">
        <f aca="false">IF($B131="","",IF(B131&lt;50000,3,IF(B131&lt;100000,4,5)))</f>
        <v/>
      </c>
      <c r="T130" s="5" t="str">
        <f aca="false">IF($A131="","",IF(OR(M131&gt;=4,I131&lt;=-8%),"防守",IF(OR(M131&gt;=2,I131&lt;=-5%),"警戒","正常")))</f>
        <v/>
      </c>
      <c r="U130" s="5" t="str">
        <f aca="false">IF($A131="","",IF(AND(L131&gt;=3,M131&lt;=2,T131&lt;&gt;"防守"),"是","否"))</f>
        <v/>
      </c>
      <c r="V130" s="5" t="str">
        <f aca="false">IF($A131="","",IF(AND(E131&lt;N131,R131&lt;S131,M131&lt;=2,I131&gt;-15%),"是","否"))</f>
        <v/>
      </c>
      <c r="W130" s="5" t="str">
        <f aca="false">IF($A131="","",IF(OR(M131&gt;=3,I131&lt;=-15%),"是","否"))</f>
        <v/>
      </c>
      <c r="X130" s="18" t="str">
        <f aca="false">IF($A131="","",IFERROR(maxifs(候选池!$AB:$AB,候选池!$A:$A,$A131),0))</f>
        <v/>
      </c>
      <c r="Y130" s="18" t="str">
        <f aca="false">IF($A131="","",IF(OR(M131&gt;=4,I131&lt;=-8%),MAX(0,B131*60%-C131),IF(AND(ISNUMBER(AD131),B131&gt;AD131),IF(B131&lt;30000,0,IF(B131&lt;100000,MAX(0,(B131-AD131)*0.2),MAX(0,(B131-AD131)*0.3))),0)))</f>
        <v/>
      </c>
      <c r="Z130" s="9"/>
      <c r="AA130" s="5" t="str">
        <f aca="false">IF($A131="","",IF($AA$2&lt;&gt;"",$AA$2,""))</f>
        <v/>
      </c>
      <c r="AB130" s="9" t="str">
        <f aca="false">IF($A131="","",IF(B131&lt;30000,0.03,IF(B131&lt;100000,0.02,0.015)))</f>
        <v/>
      </c>
      <c r="AC130" s="21" t="str">
        <f aca="false">IF($A131="","",IFERROR(DATEDIF($A$2,$A131,"m"),0))</f>
        <v/>
      </c>
      <c r="AD130" s="18" t="str">
        <f aca="false">IF($A131="","",IF(OR(AA131="",AB131="",AC131=""),"",AA131*POWER(1+AB131,AC131)))</f>
        <v/>
      </c>
      <c r="AE130" s="29" t="str">
        <f aca="false">IF($A131="","",IF(OR(AD131="",AD131=0),"",B131/AD131-1))</f>
        <v/>
      </c>
      <c r="AG130" s="1" t="str">
        <f aca="false">IF($A131="","",IF(B131&lt;30000,"婴儿",IF(B131&lt;100000,"成长","成熟")))</f>
        <v/>
      </c>
      <c r="AH130" s="24"/>
      <c r="AJ130" s="24"/>
      <c r="AK130" s="24"/>
      <c r="AM130" s="24"/>
      <c r="AP130" s="15"/>
      <c r="AQ130" s="25" t="str">
        <f aca="false">IF($A131="","",B131-$AA$2-SUM($F$2:F131))</f>
        <v/>
      </c>
      <c r="AR130" s="1" t="str">
        <f aca="false">IF($A130="","",30000)</f>
        <v/>
      </c>
      <c r="AS130" s="1" t="str">
        <f aca="false">IF($A130="","",AR130-B130)</f>
        <v/>
      </c>
      <c r="AT130" s="1" t="str">
        <f aca="false">IF($A130="","",IFERROR(B130/AR130,0))</f>
        <v/>
      </c>
      <c r="AU130" s="1" t="str">
        <f aca="false">IF($A130="","",IFERROR(B130*O130,0))</f>
        <v/>
      </c>
      <c r="AV130" s="1" t="str">
        <f aca="false">IF($A130="","",IFERROR(C130/B130,0))</f>
        <v/>
      </c>
      <c r="AW130" s="1" t="str">
        <f aca="false">IF($A130="","",MAX(0,R130-S130))</f>
        <v/>
      </c>
      <c r="AX130" s="1" t="str">
        <f aca="false">IF($A130="","",IF(AW130&gt;0,"优先降持仓数",IF(C130&lt;=0,"现金不足","允许评估")))</f>
        <v/>
      </c>
      <c r="AY130" s="1" t="str">
        <f aca="false">IF($A130="","",IF(B130&lt;30000,"婴儿阶段: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6"/>
      <c r="B131" s="17"/>
      <c r="C131" s="17"/>
      <c r="D131" s="18" t="str">
        <f aca="false">IF($A132="","",SUMIFS(持仓表!$J:$J,持仓表!$A:$A,$A132))</f>
        <v/>
      </c>
      <c r="E131" s="19" t="n">
        <f aca="false">IFERROR(D132/B132,0)</f>
        <v>0</v>
      </c>
      <c r="F131" s="17"/>
      <c r="G131" s="18" t="str">
        <f aca="false">IF($B132="","",MAX($B$2:B132))</f>
        <v/>
      </c>
      <c r="H131" s="19" t="n">
        <f aca="false">IFERROR((B132-F132)/F132,0)</f>
        <v>0</v>
      </c>
      <c r="I131" s="19" t="n">
        <f aca="false">IFERROR((B132-G132)/G132,0)</f>
        <v>0</v>
      </c>
      <c r="J131" s="6"/>
      <c r="K131" s="13"/>
      <c r="L131" s="20"/>
      <c r="M131" s="20"/>
      <c r="N131" s="19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31" s="19" t="str">
        <f aca="false">IF($B132="","",IF(B132&lt;30000,35%,IF(B132&lt;50000,30%,IF(B132&lt;100000,25%,20%))))</f>
        <v/>
      </c>
      <c r="P131" s="21" t="str">
        <f aca="false">IF($A132="","",COUNTIFS(持仓表!$A:$A,$A132,持仓表!$G:$G,"&gt;0"))</f>
        <v/>
      </c>
      <c r="Q131" s="21" t="str">
        <f aca="false">IF($A132="","",COUNTIFS(持仓表!$A:$A,$A132,持仓表!$D:$D,"是",持仓表!$G:$G,"&gt;0"))</f>
        <v/>
      </c>
      <c r="R131" s="21" t="str">
        <f aca="false">IF($A132="","",MAX(0,P132-Q132))</f>
        <v/>
      </c>
      <c r="S131" s="21" t="str">
        <f aca="false">IF($B132="","",IF(B132&lt;50000,3,IF(B132&lt;100000,4,5)))</f>
        <v/>
      </c>
      <c r="T131" s="5" t="str">
        <f aca="false">IF($A132="","",IF(OR(M132&gt;=4,I132&lt;=-8%),"防守",IF(OR(M132&gt;=2,I132&lt;=-5%),"警戒","正常")))</f>
        <v/>
      </c>
      <c r="U131" s="5" t="str">
        <f aca="false">IF($A132="","",IF(AND(L132&gt;=3,M132&lt;=2,T132&lt;&gt;"防守"),"是","否"))</f>
        <v/>
      </c>
      <c r="V131" s="5" t="str">
        <f aca="false">IF($A132="","",IF(AND(E132&lt;N132,R132&lt;S132,M132&lt;=2,I132&gt;-15%),"是","否"))</f>
        <v/>
      </c>
      <c r="W131" s="5" t="str">
        <f aca="false">IF($A132="","",IF(OR(M132&gt;=3,I132&lt;=-15%),"是","否"))</f>
        <v/>
      </c>
      <c r="X131" s="18" t="str">
        <f aca="false">IF($A132="","",IFERROR(maxifs(候选池!$AB:$AB,候选池!$A:$A,$A132),0))</f>
        <v/>
      </c>
      <c r="Y131" s="18" t="str">
        <f aca="false">IF($A132="","",IF(OR(M132&gt;=4,I132&lt;=-8%),MAX(0,B132*60%-C132),IF(AND(ISNUMBER(AD132),B132&gt;AD132),IF(B132&lt;30000,0,IF(B132&lt;100000,MAX(0,(B132-AD132)*0.2),MAX(0,(B132-AD132)*0.3))),0)))</f>
        <v/>
      </c>
      <c r="Z131" s="6"/>
      <c r="AA131" s="5" t="str">
        <f aca="false">IF($A132="","",IF($AA$2&lt;&gt;"",$AA$2,""))</f>
        <v/>
      </c>
      <c r="AB131" s="6" t="str">
        <f aca="false">IF($A132="","",IF(B132&lt;30000,0.03,IF(B132&lt;100000,0.02,0.015)))</f>
        <v/>
      </c>
      <c r="AC131" s="21" t="str">
        <f aca="false">IF($A132="","",IFERROR(DATEDIF($A$2,$A132,"m"),0))</f>
        <v/>
      </c>
      <c r="AD131" s="18" t="str">
        <f aca="false">IF($A132="","",IF(OR(AA132="",AB132="",AC132=""),"",AA132*POWER(1+AB132,AC132)))</f>
        <v/>
      </c>
      <c r="AE131" s="23" t="str">
        <f aca="false">IF($A132="","",IF(OR(AD132="",AD132=0),"",B132/AD132-1))</f>
        <v/>
      </c>
      <c r="AG131" s="1" t="str">
        <f aca="false">IF($A132="","",IF(B132&lt;30000,"婴儿",IF(B132&lt;100000,"成长","成熟")))</f>
        <v/>
      </c>
      <c r="AH131" s="24"/>
      <c r="AJ131" s="24"/>
      <c r="AK131" s="24"/>
      <c r="AM131" s="24"/>
      <c r="AP131" s="15"/>
      <c r="AQ131" s="25" t="str">
        <f aca="false">IF($A132="","",B132-$AA$2-SUM($F$2:F132))</f>
        <v/>
      </c>
      <c r="AR131" s="1" t="str">
        <f aca="false">IF($A131="","",30000)</f>
        <v/>
      </c>
      <c r="AS131" s="1" t="str">
        <f aca="false">IF($A131="","",AR131-B131)</f>
        <v/>
      </c>
      <c r="AT131" s="1" t="str">
        <f aca="false">IF($A131="","",IFERROR(B131/AR131,0))</f>
        <v/>
      </c>
      <c r="AU131" s="1" t="str">
        <f aca="false">IF($A131="","",IFERROR(B131*O131,0))</f>
        <v/>
      </c>
      <c r="AV131" s="1" t="str">
        <f aca="false">IF($A131="","",IFERROR(C131/B131,0))</f>
        <v/>
      </c>
      <c r="AW131" s="1" t="str">
        <f aca="false">IF($A131="","",MAX(0,R131-S131))</f>
        <v/>
      </c>
      <c r="AX131" s="1" t="str">
        <f aca="false">IF($A131="","",IF(AW131&gt;0,"优先降持仓数",IF(C131&lt;=0,"现金不足","允许评估")))</f>
        <v/>
      </c>
      <c r="AY131" s="1" t="str">
        <f aca="false">IF($A131="","",IF(B131&lt;30000,"婴儿阶段: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9"/>
      <c r="B132" s="26"/>
      <c r="C132" s="26"/>
      <c r="D132" s="18" t="str">
        <f aca="false">IF($A133="","",SUMIFS(持仓表!$J:$J,持仓表!$A:$A,$A133))</f>
        <v/>
      </c>
      <c r="E132" s="19" t="n">
        <f aca="false">IFERROR(D133/B133,0)</f>
        <v>0</v>
      </c>
      <c r="F132" s="26"/>
      <c r="G132" s="18" t="str">
        <f aca="false">IF($B133="","",MAX($B$2:B133))</f>
        <v/>
      </c>
      <c r="H132" s="19" t="n">
        <f aca="false">IFERROR((B133-F133)/F133,0)</f>
        <v>0</v>
      </c>
      <c r="I132" s="19" t="n">
        <f aca="false">IFERROR((B133-G133)/G133,0)</f>
        <v>0</v>
      </c>
      <c r="J132" s="9"/>
      <c r="K132" s="14"/>
      <c r="L132" s="27"/>
      <c r="M132" s="27"/>
      <c r="N132" s="19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32" s="19" t="str">
        <f aca="false">IF($B133="","",IF(B133&lt;30000,35%,IF(B133&lt;50000,30%,IF(B133&lt;100000,25%,20%))))</f>
        <v/>
      </c>
      <c r="P132" s="21" t="str">
        <f aca="false">IF($A133="","",COUNTIFS(持仓表!$A:$A,$A133,持仓表!$G:$G,"&gt;0"))</f>
        <v/>
      </c>
      <c r="Q132" s="21" t="str">
        <f aca="false">IF($A133="","",COUNTIFS(持仓表!$A:$A,$A133,持仓表!$D:$D,"是",持仓表!$G:$G,"&gt;0"))</f>
        <v/>
      </c>
      <c r="R132" s="21" t="str">
        <f aca="false">IF($A133="","",MAX(0,P133-Q133))</f>
        <v/>
      </c>
      <c r="S132" s="21" t="str">
        <f aca="false">IF($B133="","",IF(B133&lt;50000,3,IF(B133&lt;100000,4,5)))</f>
        <v/>
      </c>
      <c r="T132" s="5" t="str">
        <f aca="false">IF($A133="","",IF(OR(M133&gt;=4,I133&lt;=-8%),"防守",IF(OR(M133&gt;=2,I133&lt;=-5%),"警戒","正常")))</f>
        <v/>
      </c>
      <c r="U132" s="5" t="str">
        <f aca="false">IF($A133="","",IF(AND(L133&gt;=3,M133&lt;=2,T133&lt;&gt;"防守"),"是","否"))</f>
        <v/>
      </c>
      <c r="V132" s="5" t="str">
        <f aca="false">IF($A133="","",IF(AND(E133&lt;N133,R133&lt;S133,M133&lt;=2,I133&gt;-15%),"是","否"))</f>
        <v/>
      </c>
      <c r="W132" s="5" t="str">
        <f aca="false">IF($A133="","",IF(OR(M133&gt;=3,I133&lt;=-15%),"是","否"))</f>
        <v/>
      </c>
      <c r="X132" s="18" t="str">
        <f aca="false">IF($A133="","",IFERROR(maxifs(候选池!$AB:$AB,候选池!$A:$A,$A133),0))</f>
        <v/>
      </c>
      <c r="Y132" s="18" t="str">
        <f aca="false">IF($A133="","",IF(OR(M133&gt;=4,I133&lt;=-8%),MAX(0,B133*60%-C133),IF(AND(ISNUMBER(AD133),B133&gt;AD133),IF(B133&lt;30000,0,IF(B133&lt;100000,MAX(0,(B133-AD133)*0.2),MAX(0,(B133-AD133)*0.3))),0)))</f>
        <v/>
      </c>
      <c r="Z132" s="9"/>
      <c r="AA132" s="5" t="str">
        <f aca="false">IF($A133="","",IF($AA$2&lt;&gt;"",$AA$2,""))</f>
        <v/>
      </c>
      <c r="AB132" s="9" t="str">
        <f aca="false">IF($A133="","",IF(B133&lt;30000,0.03,IF(B133&lt;100000,0.02,0.015)))</f>
        <v/>
      </c>
      <c r="AC132" s="21" t="str">
        <f aca="false">IF($A133="","",IFERROR(DATEDIF($A$2,$A133,"m"),0))</f>
        <v/>
      </c>
      <c r="AD132" s="18" t="str">
        <f aca="false">IF($A133="","",IF(OR(AA133="",AB133="",AC133=""),"",AA133*POWER(1+AB133,AC133)))</f>
        <v/>
      </c>
      <c r="AE132" s="29" t="str">
        <f aca="false">IF($A133="","",IF(OR(AD133="",AD133=0),"",B133/AD133-1))</f>
        <v/>
      </c>
      <c r="AG132" s="1" t="str">
        <f aca="false">IF($A133="","",IF(B133&lt;30000,"婴儿",IF(B133&lt;100000,"成长","成熟")))</f>
        <v/>
      </c>
      <c r="AH132" s="24"/>
      <c r="AJ132" s="24"/>
      <c r="AK132" s="24"/>
      <c r="AM132" s="24"/>
      <c r="AP132" s="15"/>
      <c r="AQ132" s="25" t="str">
        <f aca="false">IF($A133="","",B133-$AA$2-SUM($F$2:F133))</f>
        <v/>
      </c>
      <c r="AR132" s="1" t="str">
        <f aca="false">IF($A132="","",30000)</f>
        <v/>
      </c>
      <c r="AS132" s="1" t="str">
        <f aca="false">IF($A132="","",AR132-B132)</f>
        <v/>
      </c>
      <c r="AT132" s="1" t="str">
        <f aca="false">IF($A132="","",IFERROR(B132/AR132,0))</f>
        <v/>
      </c>
      <c r="AU132" s="1" t="str">
        <f aca="false">IF($A132="","",IFERROR(B132*O132,0))</f>
        <v/>
      </c>
      <c r="AV132" s="1" t="str">
        <f aca="false">IF($A132="","",IFERROR(C132/B132,0))</f>
        <v/>
      </c>
      <c r="AW132" s="1" t="str">
        <f aca="false">IF($A132="","",MAX(0,R132-S132))</f>
        <v/>
      </c>
      <c r="AX132" s="1" t="str">
        <f aca="false">IF($A132="","",IF(AW132&gt;0,"优先降持仓数",IF(C132&lt;=0,"现金不足","允许评估")))</f>
        <v/>
      </c>
      <c r="AY132" s="1" t="str">
        <f aca="false">IF($A132="","",IF(B132&lt;30000,"婴儿阶段: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6"/>
      <c r="B133" s="17"/>
      <c r="C133" s="17"/>
      <c r="D133" s="18" t="str">
        <f aca="false">IF($A134="","",SUMIFS(持仓表!$J:$J,持仓表!$A:$A,$A134))</f>
        <v/>
      </c>
      <c r="E133" s="19" t="n">
        <f aca="false">IFERROR(D134/B134,0)</f>
        <v>0</v>
      </c>
      <c r="F133" s="17"/>
      <c r="G133" s="18" t="str">
        <f aca="false">IF($B134="","",MAX($B$2:B134))</f>
        <v/>
      </c>
      <c r="H133" s="19" t="n">
        <f aca="false">IFERROR((B134-F134)/F134,0)</f>
        <v>0</v>
      </c>
      <c r="I133" s="19" t="n">
        <f aca="false">IFERROR((B134-G134)/G134,0)</f>
        <v>0</v>
      </c>
      <c r="J133" s="6"/>
      <c r="K133" s="13"/>
      <c r="L133" s="20"/>
      <c r="M133" s="20"/>
      <c r="N133" s="19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33" s="19" t="str">
        <f aca="false">IF($B134="","",IF(B134&lt;30000,35%,IF(B134&lt;50000,30%,IF(B134&lt;100000,25%,20%))))</f>
        <v/>
      </c>
      <c r="P133" s="21" t="str">
        <f aca="false">IF($A134="","",COUNTIFS(持仓表!$A:$A,$A134,持仓表!$G:$G,"&gt;0"))</f>
        <v/>
      </c>
      <c r="Q133" s="21" t="str">
        <f aca="false">IF($A134="","",COUNTIFS(持仓表!$A:$A,$A134,持仓表!$D:$D,"是",持仓表!$G:$G,"&gt;0"))</f>
        <v/>
      </c>
      <c r="R133" s="21" t="str">
        <f aca="false">IF($A134="","",MAX(0,P134-Q134))</f>
        <v/>
      </c>
      <c r="S133" s="21" t="str">
        <f aca="false">IF($B134="","",IF(B134&lt;50000,3,IF(B134&lt;100000,4,5)))</f>
        <v/>
      </c>
      <c r="T133" s="5" t="str">
        <f aca="false">IF($A134="","",IF(OR(M134&gt;=4,I134&lt;=-8%),"防守",IF(OR(M134&gt;=2,I134&lt;=-5%),"警戒","正常")))</f>
        <v/>
      </c>
      <c r="U133" s="5" t="str">
        <f aca="false">IF($A134="","",IF(AND(L134&gt;=3,M134&lt;=2,T134&lt;&gt;"防守"),"是","否"))</f>
        <v/>
      </c>
      <c r="V133" s="5" t="str">
        <f aca="false">IF($A134="","",IF(AND(E134&lt;N134,R134&lt;S134,M134&lt;=2,I134&gt;-15%),"是","否"))</f>
        <v/>
      </c>
      <c r="W133" s="5" t="str">
        <f aca="false">IF($A134="","",IF(OR(M134&gt;=3,I134&lt;=-15%),"是","否"))</f>
        <v/>
      </c>
      <c r="X133" s="18" t="str">
        <f aca="false">IF($A134="","",IFERROR(maxifs(候选池!$AB:$AB,候选池!$A:$A,$A134),0))</f>
        <v/>
      </c>
      <c r="Y133" s="18" t="str">
        <f aca="false">IF($A134="","",IF(OR(M134&gt;=4,I134&lt;=-8%),MAX(0,B134*60%-C134),IF(AND(ISNUMBER(AD134),B134&gt;AD134),IF(B134&lt;30000,0,IF(B134&lt;100000,MAX(0,(B134-AD134)*0.2),MAX(0,(B134-AD134)*0.3))),0)))</f>
        <v/>
      </c>
      <c r="Z133" s="6"/>
      <c r="AA133" s="5" t="str">
        <f aca="false">IF($A134="","",IF($AA$2&lt;&gt;"",$AA$2,""))</f>
        <v/>
      </c>
      <c r="AB133" s="6" t="str">
        <f aca="false">IF($A134="","",IF(B134&lt;30000,0.03,IF(B134&lt;100000,0.02,0.015)))</f>
        <v/>
      </c>
      <c r="AC133" s="21" t="str">
        <f aca="false">IF($A134="","",IFERROR(DATEDIF($A$2,$A134,"m"),0))</f>
        <v/>
      </c>
      <c r="AD133" s="18" t="str">
        <f aca="false">IF($A134="","",IF(OR(AA134="",AB134="",AC134=""),"",AA134*POWER(1+AB134,AC134)))</f>
        <v/>
      </c>
      <c r="AE133" s="23" t="str">
        <f aca="false">IF($A134="","",IF(OR(AD134="",AD134=0),"",B134/AD134-1))</f>
        <v/>
      </c>
      <c r="AG133" s="1" t="str">
        <f aca="false">IF($A134="","",IF(B134&lt;30000,"婴儿",IF(B134&lt;100000,"成长","成熟")))</f>
        <v/>
      </c>
      <c r="AH133" s="24"/>
      <c r="AJ133" s="24"/>
      <c r="AK133" s="24"/>
      <c r="AM133" s="24"/>
      <c r="AP133" s="15"/>
      <c r="AQ133" s="25" t="str">
        <f aca="false">IF($A134="","",B134-$AA$2-SUM($F$2:F134))</f>
        <v/>
      </c>
      <c r="AR133" s="1" t="str">
        <f aca="false">IF($A133="","",30000)</f>
        <v/>
      </c>
      <c r="AS133" s="1" t="str">
        <f aca="false">IF($A133="","",AR133-B133)</f>
        <v/>
      </c>
      <c r="AT133" s="1" t="str">
        <f aca="false">IF($A133="","",IFERROR(B133/AR133,0))</f>
        <v/>
      </c>
      <c r="AU133" s="1" t="str">
        <f aca="false">IF($A133="","",IFERROR(B133*O133,0))</f>
        <v/>
      </c>
      <c r="AV133" s="1" t="str">
        <f aca="false">IF($A133="","",IFERROR(C133/B133,0))</f>
        <v/>
      </c>
      <c r="AW133" s="1" t="str">
        <f aca="false">IF($A133="","",MAX(0,R133-S133))</f>
        <v/>
      </c>
      <c r="AX133" s="1" t="str">
        <f aca="false">IF($A133="","",IF(AW133&gt;0,"优先降持仓数",IF(C133&lt;=0,"现金不足","允许评估")))</f>
        <v/>
      </c>
      <c r="AY133" s="1" t="str">
        <f aca="false">IF($A133="","",IF(B133&lt;30000,"婴儿阶段: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9"/>
      <c r="B134" s="26"/>
      <c r="C134" s="26"/>
      <c r="D134" s="18" t="str">
        <f aca="false">IF($A135="","",SUMIFS(持仓表!$J:$J,持仓表!$A:$A,$A135))</f>
        <v/>
      </c>
      <c r="E134" s="19" t="n">
        <f aca="false">IFERROR(D135/B135,0)</f>
        <v>0</v>
      </c>
      <c r="F134" s="26"/>
      <c r="G134" s="18" t="str">
        <f aca="false">IF($B135="","",MAX($B$2:B135))</f>
        <v/>
      </c>
      <c r="H134" s="19" t="n">
        <f aca="false">IFERROR((B135-F135)/F135,0)</f>
        <v>0</v>
      </c>
      <c r="I134" s="19" t="n">
        <f aca="false">IFERROR((B135-G135)/G135,0)</f>
        <v>0</v>
      </c>
      <c r="J134" s="9"/>
      <c r="K134" s="14"/>
      <c r="L134" s="27"/>
      <c r="M134" s="27"/>
      <c r="N134" s="19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4" s="19" t="str">
        <f aca="false">IF($B135="","",IF(B135&lt;30000,35%,IF(B135&lt;50000,30%,IF(B135&lt;100000,25%,20%))))</f>
        <v/>
      </c>
      <c r="P134" s="21" t="str">
        <f aca="false">IF($A135="","",COUNTIFS(持仓表!$A:$A,$A135,持仓表!$G:$G,"&gt;0"))</f>
        <v/>
      </c>
      <c r="Q134" s="21" t="str">
        <f aca="false">IF($A135="","",COUNTIFS(持仓表!$A:$A,$A135,持仓表!$D:$D,"是",持仓表!$G:$G,"&gt;0"))</f>
        <v/>
      </c>
      <c r="R134" s="21" t="str">
        <f aca="false">IF($A135="","",MAX(0,P135-Q135))</f>
        <v/>
      </c>
      <c r="S134" s="21" t="str">
        <f aca="false">IF($B135="","",IF(B135&lt;50000,3,IF(B135&lt;100000,4,5)))</f>
        <v/>
      </c>
      <c r="T134" s="5" t="str">
        <f aca="false">IF($A135="","",IF(OR(M135&gt;=4,I135&lt;=-8%),"防守",IF(OR(M135&gt;=2,I135&lt;=-5%),"警戒","正常")))</f>
        <v/>
      </c>
      <c r="U134" s="5" t="str">
        <f aca="false">IF($A135="","",IF(AND(L135&gt;=3,M135&lt;=2,T135&lt;&gt;"防守"),"是","否"))</f>
        <v/>
      </c>
      <c r="V134" s="5" t="str">
        <f aca="false">IF($A135="","",IF(AND(E135&lt;N135,R135&lt;S135,M135&lt;=2,I135&gt;-15%),"是","否"))</f>
        <v/>
      </c>
      <c r="W134" s="5" t="str">
        <f aca="false">IF($A135="","",IF(OR(M135&gt;=3,I135&lt;=-15%),"是","否"))</f>
        <v/>
      </c>
      <c r="X134" s="18" t="str">
        <f aca="false">IF($A135="","",IFERROR(maxifs(候选池!$AB:$AB,候选池!$A:$A,$A135),0))</f>
        <v/>
      </c>
      <c r="Y134" s="18" t="str">
        <f aca="false">IF($A135="","",IF(OR(M135&gt;=4,I135&lt;=-8%),MAX(0,B135*60%-C135),IF(AND(ISNUMBER(AD135),B135&gt;AD135),IF(B135&lt;30000,0,IF(B135&lt;100000,MAX(0,(B135-AD135)*0.2),MAX(0,(B135-AD135)*0.3))),0)))</f>
        <v/>
      </c>
      <c r="Z134" s="9"/>
      <c r="AA134" s="5" t="str">
        <f aca="false">IF($A135="","",IF($AA$2&lt;&gt;"",$AA$2,""))</f>
        <v/>
      </c>
      <c r="AB134" s="9" t="str">
        <f aca="false">IF($A135="","",IF(B135&lt;30000,0.03,IF(B135&lt;100000,0.02,0.015)))</f>
        <v/>
      </c>
      <c r="AC134" s="21" t="str">
        <f aca="false">IF($A135="","",IFERROR(DATEDIF($A$2,$A135,"m"),0))</f>
        <v/>
      </c>
      <c r="AD134" s="18" t="str">
        <f aca="false">IF($A135="","",IF(OR(AA135="",AB135="",AC135=""),"",AA135*POWER(1+AB135,AC135)))</f>
        <v/>
      </c>
      <c r="AE134" s="29" t="str">
        <f aca="false">IF($A135="","",IF(OR(AD135="",AD135=0),"",B135/AD135-1))</f>
        <v/>
      </c>
      <c r="AG134" s="1" t="str">
        <f aca="false">IF($A135="","",IF(B135&lt;30000,"婴儿",IF(B135&lt;100000,"成长","成熟")))</f>
        <v/>
      </c>
      <c r="AH134" s="24"/>
      <c r="AJ134" s="24"/>
      <c r="AK134" s="24"/>
      <c r="AM134" s="24"/>
      <c r="AP134" s="15"/>
      <c r="AQ134" s="25" t="str">
        <f aca="false">IF($A135="","",B135-$AA$2-SUM($F$2:F135))</f>
        <v/>
      </c>
      <c r="AR134" s="1" t="str">
        <f aca="false">IF($A134="","",30000)</f>
        <v/>
      </c>
      <c r="AS134" s="1" t="str">
        <f aca="false">IF($A134="","",AR134-B134)</f>
        <v/>
      </c>
      <c r="AT134" s="1" t="str">
        <f aca="false">IF($A134="","",IFERROR(B134/AR134,0))</f>
        <v/>
      </c>
      <c r="AU134" s="1" t="str">
        <f aca="false">IF($A134="","",IFERROR(B134*O134,0))</f>
        <v/>
      </c>
      <c r="AV134" s="1" t="str">
        <f aca="false">IF($A134="","",IFERROR(C134/B134,0))</f>
        <v/>
      </c>
      <c r="AW134" s="1" t="str">
        <f aca="false">IF($A134="","",MAX(0,R134-S134))</f>
        <v/>
      </c>
      <c r="AX134" s="1" t="str">
        <f aca="false">IF($A134="","",IF(AW134&gt;0,"优先降持仓数",IF(C134&lt;=0,"现金不足","允许评估")))</f>
        <v/>
      </c>
      <c r="AY134" s="1" t="str">
        <f aca="false">IF($A134="","",IF(B134&lt;30000,"婴儿阶段: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6"/>
      <c r="B135" s="17"/>
      <c r="C135" s="17"/>
      <c r="D135" s="18" t="str">
        <f aca="false">IF($A136="","",SUMIFS(持仓表!$J:$J,持仓表!$A:$A,$A136))</f>
        <v/>
      </c>
      <c r="E135" s="19" t="n">
        <f aca="false">IFERROR(D136/B136,0)</f>
        <v>0</v>
      </c>
      <c r="F135" s="17"/>
      <c r="G135" s="18" t="str">
        <f aca="false">IF($B136="","",MAX($B$2:B136))</f>
        <v/>
      </c>
      <c r="H135" s="19" t="n">
        <f aca="false">IFERROR((B136-F136)/F136,0)</f>
        <v>0</v>
      </c>
      <c r="I135" s="19" t="n">
        <f aca="false">IFERROR((B136-G136)/G136,0)</f>
        <v>0</v>
      </c>
      <c r="J135" s="6"/>
      <c r="K135" s="13"/>
      <c r="L135" s="20"/>
      <c r="M135" s="20"/>
      <c r="N135" s="19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5" s="19" t="str">
        <f aca="false">IF($B136="","",IF(B136&lt;30000,35%,IF(B136&lt;50000,30%,IF(B136&lt;100000,25%,20%))))</f>
        <v/>
      </c>
      <c r="P135" s="21" t="str">
        <f aca="false">IF($A136="","",COUNTIFS(持仓表!$A:$A,$A136,持仓表!$G:$G,"&gt;0"))</f>
        <v/>
      </c>
      <c r="Q135" s="21" t="str">
        <f aca="false">IF($A136="","",COUNTIFS(持仓表!$A:$A,$A136,持仓表!$D:$D,"是",持仓表!$G:$G,"&gt;0"))</f>
        <v/>
      </c>
      <c r="R135" s="21" t="str">
        <f aca="false">IF($A136="","",MAX(0,P136-Q136))</f>
        <v/>
      </c>
      <c r="S135" s="21" t="str">
        <f aca="false">IF($B136="","",IF(B136&lt;50000,3,IF(B136&lt;100000,4,5)))</f>
        <v/>
      </c>
      <c r="T135" s="5" t="str">
        <f aca="false">IF($A136="","",IF(OR(M136&gt;=4,I136&lt;=-8%),"防守",IF(OR(M136&gt;=2,I136&lt;=-5%),"警戒","正常")))</f>
        <v/>
      </c>
      <c r="U135" s="5" t="str">
        <f aca="false">IF($A136="","",IF(AND(L136&gt;=3,M136&lt;=2,T136&lt;&gt;"防守"),"是","否"))</f>
        <v/>
      </c>
      <c r="V135" s="5" t="str">
        <f aca="false">IF($A136="","",IF(AND(E136&lt;N136,R136&lt;S136,M136&lt;=2,I136&gt;-15%),"是","否"))</f>
        <v/>
      </c>
      <c r="W135" s="5" t="str">
        <f aca="false">IF($A136="","",IF(OR(M136&gt;=3,I136&lt;=-15%),"是","否"))</f>
        <v/>
      </c>
      <c r="X135" s="18" t="str">
        <f aca="false">IF($A136="","",IFERROR(maxifs(候选池!$AB:$AB,候选池!$A:$A,$A136),0))</f>
        <v/>
      </c>
      <c r="Y135" s="18" t="str">
        <f aca="false">IF($A136="","",IF(OR(M136&gt;=4,I136&lt;=-8%),MAX(0,B136*60%-C136),IF(AND(ISNUMBER(AD136),B136&gt;AD136),IF(B136&lt;30000,0,IF(B136&lt;100000,MAX(0,(B136-AD136)*0.2),MAX(0,(B136-AD136)*0.3))),0)))</f>
        <v/>
      </c>
      <c r="Z135" s="6"/>
      <c r="AA135" s="5" t="str">
        <f aca="false">IF($A136="","",IF($AA$2&lt;&gt;"",$AA$2,""))</f>
        <v/>
      </c>
      <c r="AB135" s="6" t="str">
        <f aca="false">IF($A136="","",IF(B136&lt;30000,0.03,IF(B136&lt;100000,0.02,0.015)))</f>
        <v/>
      </c>
      <c r="AC135" s="21" t="str">
        <f aca="false">IF($A136="","",IFERROR(DATEDIF($A$2,$A136,"m"),0))</f>
        <v/>
      </c>
      <c r="AD135" s="18" t="str">
        <f aca="false">IF($A136="","",IF(OR(AA136="",AB136="",AC136=""),"",AA136*POWER(1+AB136,AC136)))</f>
        <v/>
      </c>
      <c r="AE135" s="23" t="str">
        <f aca="false">IF($A136="","",IF(OR(AD136="",AD136=0),"",B136/AD136-1))</f>
        <v/>
      </c>
      <c r="AG135" s="1" t="str">
        <f aca="false">IF($A136="","",IF(B136&lt;30000,"婴儿",IF(B136&lt;100000,"成长","成熟")))</f>
        <v/>
      </c>
      <c r="AH135" s="24"/>
      <c r="AJ135" s="24"/>
      <c r="AK135" s="24"/>
      <c r="AM135" s="24"/>
      <c r="AP135" s="15"/>
      <c r="AQ135" s="25" t="str">
        <f aca="false">IF($A136="","",B136-$AA$2-SUM($F$2:F136))</f>
        <v/>
      </c>
      <c r="AR135" s="1" t="str">
        <f aca="false">IF($A135="","",30000)</f>
        <v/>
      </c>
      <c r="AS135" s="1" t="str">
        <f aca="false">IF($A135="","",AR135-B135)</f>
        <v/>
      </c>
      <c r="AT135" s="1" t="str">
        <f aca="false">IF($A135="","",IFERROR(B135/AR135,0))</f>
        <v/>
      </c>
      <c r="AU135" s="1" t="str">
        <f aca="false">IF($A135="","",IFERROR(B135*O135,0))</f>
        <v/>
      </c>
      <c r="AV135" s="1" t="str">
        <f aca="false">IF($A135="","",IFERROR(C135/B135,0))</f>
        <v/>
      </c>
      <c r="AW135" s="1" t="str">
        <f aca="false">IF($A135="","",MAX(0,R135-S135))</f>
        <v/>
      </c>
      <c r="AX135" s="1" t="str">
        <f aca="false">IF($A135="","",IF(AW135&gt;0,"优先降持仓数",IF(C135&lt;=0,"现金不足","允许评估")))</f>
        <v/>
      </c>
      <c r="AY135" s="1" t="str">
        <f aca="false">IF($A135="","",IF(B135&lt;30000,"婴儿阶段: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9"/>
      <c r="B136" s="26"/>
      <c r="C136" s="26"/>
      <c r="D136" s="18" t="str">
        <f aca="false">IF($A137="","",SUMIFS(持仓表!$J:$J,持仓表!$A:$A,$A137))</f>
        <v/>
      </c>
      <c r="E136" s="19" t="n">
        <f aca="false">IFERROR(D137/B137,0)</f>
        <v>0</v>
      </c>
      <c r="F136" s="26"/>
      <c r="G136" s="18" t="str">
        <f aca="false">IF($B137="","",MAX($B$2:B137))</f>
        <v/>
      </c>
      <c r="H136" s="19" t="n">
        <f aca="false">IFERROR((B137-F137)/F137,0)</f>
        <v>0</v>
      </c>
      <c r="I136" s="19" t="n">
        <f aca="false">IFERROR((B137-G137)/G137,0)</f>
        <v>0</v>
      </c>
      <c r="J136" s="9"/>
      <c r="K136" s="14"/>
      <c r="L136" s="27"/>
      <c r="M136" s="27"/>
      <c r="N136" s="19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6" s="19" t="str">
        <f aca="false">IF($B137="","",IF(B137&lt;30000,35%,IF(B137&lt;50000,30%,IF(B137&lt;100000,25%,20%))))</f>
        <v/>
      </c>
      <c r="P136" s="21" t="str">
        <f aca="false">IF($A137="","",COUNTIFS(持仓表!$A:$A,$A137,持仓表!$G:$G,"&gt;0"))</f>
        <v/>
      </c>
      <c r="Q136" s="21" t="str">
        <f aca="false">IF($A137="","",COUNTIFS(持仓表!$A:$A,$A137,持仓表!$D:$D,"是",持仓表!$G:$G,"&gt;0"))</f>
        <v/>
      </c>
      <c r="R136" s="21" t="str">
        <f aca="false">IF($A137="","",MAX(0,P137-Q137))</f>
        <v/>
      </c>
      <c r="S136" s="21" t="str">
        <f aca="false">IF($B137="","",IF(B137&lt;50000,3,IF(B137&lt;100000,4,5)))</f>
        <v/>
      </c>
      <c r="T136" s="5" t="str">
        <f aca="false">IF($A137="","",IF(OR(M137&gt;=4,I137&lt;=-8%),"防守",IF(OR(M137&gt;=2,I137&lt;=-5%),"警戒","正常")))</f>
        <v/>
      </c>
      <c r="U136" s="5" t="str">
        <f aca="false">IF($A137="","",IF(AND(L137&gt;=3,M137&lt;=2,T137&lt;&gt;"防守"),"是","否"))</f>
        <v/>
      </c>
      <c r="V136" s="5" t="str">
        <f aca="false">IF($A137="","",IF(AND(E137&lt;N137,R137&lt;S137,M137&lt;=2,I137&gt;-15%),"是","否"))</f>
        <v/>
      </c>
      <c r="W136" s="5" t="str">
        <f aca="false">IF($A137="","",IF(OR(M137&gt;=3,I137&lt;=-15%),"是","否"))</f>
        <v/>
      </c>
      <c r="X136" s="18" t="str">
        <f aca="false">IF($A137="","",IFERROR(maxifs(候选池!$AB:$AB,候选池!$A:$A,$A137),0))</f>
        <v/>
      </c>
      <c r="Y136" s="18" t="str">
        <f aca="false">IF($A137="","",IF(OR(M137&gt;=4,I137&lt;=-8%),MAX(0,B137*60%-C137),IF(AND(ISNUMBER(AD137),B137&gt;AD137),IF(B137&lt;30000,0,IF(B137&lt;100000,MAX(0,(B137-AD137)*0.2),MAX(0,(B137-AD137)*0.3))),0)))</f>
        <v/>
      </c>
      <c r="Z136" s="9"/>
      <c r="AA136" s="5" t="str">
        <f aca="false">IF($A137="","",IF($AA$2&lt;&gt;"",$AA$2,""))</f>
        <v/>
      </c>
      <c r="AB136" s="9" t="str">
        <f aca="false">IF($A137="","",IF(B137&lt;30000,0.03,IF(B137&lt;100000,0.02,0.015)))</f>
        <v/>
      </c>
      <c r="AC136" s="21" t="str">
        <f aca="false">IF($A137="","",IFERROR(DATEDIF($A$2,$A137,"m"),0))</f>
        <v/>
      </c>
      <c r="AD136" s="18" t="str">
        <f aca="false">IF($A137="","",IF(OR(AA137="",AB137="",AC137=""),"",AA137*POWER(1+AB137,AC137)))</f>
        <v/>
      </c>
      <c r="AE136" s="29" t="str">
        <f aca="false">IF($A137="","",IF(OR(AD137="",AD137=0),"",B137/AD137-1))</f>
        <v/>
      </c>
      <c r="AG136" s="1" t="str">
        <f aca="false">IF($A137="","",IF(B137&lt;30000,"婴儿",IF(B137&lt;100000,"成长","成熟")))</f>
        <v/>
      </c>
      <c r="AH136" s="24"/>
      <c r="AJ136" s="24"/>
      <c r="AK136" s="24"/>
      <c r="AM136" s="24"/>
      <c r="AP136" s="15"/>
      <c r="AQ136" s="25" t="str">
        <f aca="false">IF($A137="","",B137-$AA$2-SUM($F$2:F137))</f>
        <v/>
      </c>
      <c r="AR136" s="1" t="str">
        <f aca="false">IF($A136="","",30000)</f>
        <v/>
      </c>
      <c r="AS136" s="1" t="str">
        <f aca="false">IF($A136="","",AR136-B136)</f>
        <v/>
      </c>
      <c r="AT136" s="1" t="str">
        <f aca="false">IF($A136="","",IFERROR(B136/AR136,0))</f>
        <v/>
      </c>
      <c r="AU136" s="1" t="str">
        <f aca="false">IF($A136="","",IFERROR(B136*O136,0))</f>
        <v/>
      </c>
      <c r="AV136" s="1" t="str">
        <f aca="false">IF($A136="","",IFERROR(C136/B136,0))</f>
        <v/>
      </c>
      <c r="AW136" s="1" t="str">
        <f aca="false">IF($A136="","",MAX(0,R136-S136))</f>
        <v/>
      </c>
      <c r="AX136" s="1" t="str">
        <f aca="false">IF($A136="","",IF(AW136&gt;0,"优先降持仓数",IF(C136&lt;=0,"现金不足","允许评估")))</f>
        <v/>
      </c>
      <c r="AY136" s="1" t="str">
        <f aca="false">IF($A136="","",IF(B136&lt;30000,"婴儿阶段: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6"/>
      <c r="B137" s="17"/>
      <c r="C137" s="17"/>
      <c r="D137" s="18" t="str">
        <f aca="false">IF($A138="","",SUMIFS(持仓表!$J:$J,持仓表!$A:$A,$A138))</f>
        <v/>
      </c>
      <c r="E137" s="19" t="n">
        <f aca="false">IFERROR(D138/B138,0)</f>
        <v>0</v>
      </c>
      <c r="F137" s="17"/>
      <c r="G137" s="18" t="str">
        <f aca="false">IF($B138="","",MAX($B$2:B138))</f>
        <v/>
      </c>
      <c r="H137" s="19" t="n">
        <f aca="false">IFERROR((B138-F138)/F138,0)</f>
        <v>0</v>
      </c>
      <c r="I137" s="19" t="n">
        <f aca="false">IFERROR((B138-G138)/G138,0)</f>
        <v>0</v>
      </c>
      <c r="J137" s="6"/>
      <c r="K137" s="13"/>
      <c r="L137" s="20"/>
      <c r="M137" s="20"/>
      <c r="N137" s="19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7" s="19" t="str">
        <f aca="false">IF($B138="","",IF(B138&lt;30000,35%,IF(B138&lt;50000,30%,IF(B138&lt;100000,25%,20%))))</f>
        <v/>
      </c>
      <c r="P137" s="21" t="str">
        <f aca="false">IF($A138="","",COUNTIFS(持仓表!$A:$A,$A138,持仓表!$G:$G,"&gt;0"))</f>
        <v/>
      </c>
      <c r="Q137" s="21" t="str">
        <f aca="false">IF($A138="","",COUNTIFS(持仓表!$A:$A,$A138,持仓表!$D:$D,"是",持仓表!$G:$G,"&gt;0"))</f>
        <v/>
      </c>
      <c r="R137" s="21" t="str">
        <f aca="false">IF($A138="","",MAX(0,P138-Q138))</f>
        <v/>
      </c>
      <c r="S137" s="21" t="str">
        <f aca="false">IF($B138="","",IF(B138&lt;50000,3,IF(B138&lt;100000,4,5)))</f>
        <v/>
      </c>
      <c r="T137" s="5" t="str">
        <f aca="false">IF($A138="","",IF(OR(M138&gt;=4,I138&lt;=-8%),"防守",IF(OR(M138&gt;=2,I138&lt;=-5%),"警戒","正常")))</f>
        <v/>
      </c>
      <c r="U137" s="5" t="str">
        <f aca="false">IF($A138="","",IF(AND(L138&gt;=3,M138&lt;=2,T138&lt;&gt;"防守"),"是","否"))</f>
        <v/>
      </c>
      <c r="V137" s="5" t="str">
        <f aca="false">IF($A138="","",IF(AND(E138&lt;N138,R138&lt;S138,M138&lt;=2,I138&gt;-15%),"是","否"))</f>
        <v/>
      </c>
      <c r="W137" s="5" t="str">
        <f aca="false">IF($A138="","",IF(OR(M138&gt;=3,I138&lt;=-15%),"是","否"))</f>
        <v/>
      </c>
      <c r="X137" s="18" t="str">
        <f aca="false">IF($A138="","",IFERROR(maxifs(候选池!$AB:$AB,候选池!$A:$A,$A138),0))</f>
        <v/>
      </c>
      <c r="Y137" s="18" t="str">
        <f aca="false">IF($A138="","",IF(OR(M138&gt;=4,I138&lt;=-8%),MAX(0,B138*60%-C138),IF(AND(ISNUMBER(AD138),B138&gt;AD138),IF(B138&lt;30000,0,IF(B138&lt;100000,MAX(0,(B138-AD138)*0.2),MAX(0,(B138-AD138)*0.3))),0)))</f>
        <v/>
      </c>
      <c r="Z137" s="6"/>
      <c r="AA137" s="5" t="str">
        <f aca="false">IF($A138="","",IF($AA$2&lt;&gt;"",$AA$2,""))</f>
        <v/>
      </c>
      <c r="AB137" s="6" t="str">
        <f aca="false">IF($A138="","",IF(B138&lt;30000,0.03,IF(B138&lt;100000,0.02,0.015)))</f>
        <v/>
      </c>
      <c r="AC137" s="21" t="str">
        <f aca="false">IF($A138="","",IFERROR(DATEDIF($A$2,$A138,"m"),0))</f>
        <v/>
      </c>
      <c r="AD137" s="18" t="str">
        <f aca="false">IF($A138="","",IF(OR(AA138="",AB138="",AC138=""),"",AA138*POWER(1+AB138,AC138)))</f>
        <v/>
      </c>
      <c r="AE137" s="23" t="str">
        <f aca="false">IF($A138="","",IF(OR(AD138="",AD138=0),"",B138/AD138-1))</f>
        <v/>
      </c>
      <c r="AG137" s="1" t="str">
        <f aca="false">IF($A138="","",IF(B138&lt;30000,"婴儿",IF(B138&lt;100000,"成长","成熟")))</f>
        <v/>
      </c>
      <c r="AH137" s="24"/>
      <c r="AJ137" s="24"/>
      <c r="AK137" s="24"/>
      <c r="AM137" s="24"/>
      <c r="AP137" s="15"/>
      <c r="AQ137" s="25" t="str">
        <f aca="false">IF($A138="","",B138-$AA$2-SUM($F$2:F138))</f>
        <v/>
      </c>
      <c r="AR137" s="1" t="str">
        <f aca="false">IF($A137="","",30000)</f>
        <v/>
      </c>
      <c r="AS137" s="1" t="str">
        <f aca="false">IF($A137="","",AR137-B137)</f>
        <v/>
      </c>
      <c r="AT137" s="1" t="str">
        <f aca="false">IF($A137="","",IFERROR(B137/AR137,0))</f>
        <v/>
      </c>
      <c r="AU137" s="1" t="str">
        <f aca="false">IF($A137="","",IFERROR(B137*O137,0))</f>
        <v/>
      </c>
      <c r="AV137" s="1" t="str">
        <f aca="false">IF($A137="","",IFERROR(C137/B137,0))</f>
        <v/>
      </c>
      <c r="AW137" s="1" t="str">
        <f aca="false">IF($A137="","",MAX(0,R137-S137))</f>
        <v/>
      </c>
      <c r="AX137" s="1" t="str">
        <f aca="false">IF($A137="","",IF(AW137&gt;0,"优先降持仓数",IF(C137&lt;=0,"现金不足","允许评估")))</f>
        <v/>
      </c>
      <c r="AY137" s="1" t="str">
        <f aca="false">IF($A137="","",IF(B137&lt;30000,"婴儿阶段: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9"/>
      <c r="B138" s="26"/>
      <c r="C138" s="26"/>
      <c r="D138" s="18" t="str">
        <f aca="false">IF($A139="","",SUMIFS(持仓表!$J:$J,持仓表!$A:$A,$A139))</f>
        <v/>
      </c>
      <c r="E138" s="19" t="n">
        <f aca="false">IFERROR(D139/B139,0)</f>
        <v>0</v>
      </c>
      <c r="F138" s="26"/>
      <c r="G138" s="18" t="str">
        <f aca="false">IF($B139="","",MAX($B$2:B139))</f>
        <v/>
      </c>
      <c r="H138" s="19" t="n">
        <f aca="false">IFERROR((B139-F139)/F139,0)</f>
        <v>0</v>
      </c>
      <c r="I138" s="19" t="n">
        <f aca="false">IFERROR((B139-G139)/G139,0)</f>
        <v>0</v>
      </c>
      <c r="J138" s="9"/>
      <c r="K138" s="14"/>
      <c r="L138" s="27"/>
      <c r="M138" s="27"/>
      <c r="N138" s="19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8" s="19" t="str">
        <f aca="false">IF($B139="","",IF(B139&lt;30000,35%,IF(B139&lt;50000,30%,IF(B139&lt;100000,25%,20%))))</f>
        <v/>
      </c>
      <c r="P138" s="21" t="str">
        <f aca="false">IF($A139="","",COUNTIFS(持仓表!$A:$A,$A139,持仓表!$G:$G,"&gt;0"))</f>
        <v/>
      </c>
      <c r="Q138" s="21" t="str">
        <f aca="false">IF($A139="","",COUNTIFS(持仓表!$A:$A,$A139,持仓表!$D:$D,"是",持仓表!$G:$G,"&gt;0"))</f>
        <v/>
      </c>
      <c r="R138" s="21" t="str">
        <f aca="false">IF($A139="","",MAX(0,P139-Q139))</f>
        <v/>
      </c>
      <c r="S138" s="21" t="str">
        <f aca="false">IF($B139="","",IF(B139&lt;50000,3,IF(B139&lt;100000,4,5)))</f>
        <v/>
      </c>
      <c r="T138" s="5" t="str">
        <f aca="false">IF($A139="","",IF(OR(M139&gt;=4,I139&lt;=-8%),"防守",IF(OR(M139&gt;=2,I139&lt;=-5%),"警戒","正常")))</f>
        <v/>
      </c>
      <c r="U138" s="5" t="str">
        <f aca="false">IF($A139="","",IF(AND(L139&gt;=3,M139&lt;=2,T139&lt;&gt;"防守"),"是","否"))</f>
        <v/>
      </c>
      <c r="V138" s="5" t="str">
        <f aca="false">IF($A139="","",IF(AND(E139&lt;N139,R139&lt;S139,M139&lt;=2,I139&gt;-15%),"是","否"))</f>
        <v/>
      </c>
      <c r="W138" s="5" t="str">
        <f aca="false">IF($A139="","",IF(OR(M139&gt;=3,I139&lt;=-15%),"是","否"))</f>
        <v/>
      </c>
      <c r="X138" s="18" t="str">
        <f aca="false">IF($A139="","",IFERROR(maxifs(候选池!$AB:$AB,候选池!$A:$A,$A139),0))</f>
        <v/>
      </c>
      <c r="Y138" s="18" t="str">
        <f aca="false">IF($A139="","",IF(OR(M139&gt;=4,I139&lt;=-8%),MAX(0,B139*60%-C139),IF(AND(ISNUMBER(AD139),B139&gt;AD139),IF(B139&lt;30000,0,IF(B139&lt;100000,MAX(0,(B139-AD139)*0.2),MAX(0,(B139-AD139)*0.3))),0)))</f>
        <v/>
      </c>
      <c r="Z138" s="9"/>
      <c r="AA138" s="5" t="str">
        <f aca="false">IF($A139="","",IF($AA$2&lt;&gt;"",$AA$2,""))</f>
        <v/>
      </c>
      <c r="AB138" s="9" t="str">
        <f aca="false">IF($A139="","",IF(B139&lt;30000,0.03,IF(B139&lt;100000,0.02,0.015)))</f>
        <v/>
      </c>
      <c r="AC138" s="21" t="str">
        <f aca="false">IF($A139="","",IFERROR(DATEDIF($A$2,$A139,"m"),0))</f>
        <v/>
      </c>
      <c r="AD138" s="18" t="str">
        <f aca="false">IF($A139="","",IF(OR(AA139="",AB139="",AC139=""),"",AA139*POWER(1+AB139,AC139)))</f>
        <v/>
      </c>
      <c r="AE138" s="29" t="str">
        <f aca="false">IF($A139="","",IF(OR(AD139="",AD139=0),"",B139/AD139-1))</f>
        <v/>
      </c>
      <c r="AG138" s="1" t="str">
        <f aca="false">IF($A139="","",IF(B139&lt;30000,"婴儿",IF(B139&lt;100000,"成长","成熟")))</f>
        <v/>
      </c>
      <c r="AH138" s="24"/>
      <c r="AJ138" s="24"/>
      <c r="AK138" s="24"/>
      <c r="AM138" s="24"/>
      <c r="AP138" s="15"/>
      <c r="AQ138" s="25" t="str">
        <f aca="false">IF($A139="","",B139-$AA$2-SUM($F$2:F139))</f>
        <v/>
      </c>
      <c r="AR138" s="1" t="str">
        <f aca="false">IF($A138="","",30000)</f>
        <v/>
      </c>
      <c r="AS138" s="1" t="str">
        <f aca="false">IF($A138="","",AR138-B138)</f>
        <v/>
      </c>
      <c r="AT138" s="1" t="str">
        <f aca="false">IF($A138="","",IFERROR(B138/AR138,0))</f>
        <v/>
      </c>
      <c r="AU138" s="1" t="str">
        <f aca="false">IF($A138="","",IFERROR(B138*O138,0))</f>
        <v/>
      </c>
      <c r="AV138" s="1" t="str">
        <f aca="false">IF($A138="","",IFERROR(C138/B138,0))</f>
        <v/>
      </c>
      <c r="AW138" s="1" t="str">
        <f aca="false">IF($A138="","",MAX(0,R138-S138))</f>
        <v/>
      </c>
      <c r="AX138" s="1" t="str">
        <f aca="false">IF($A138="","",IF(AW138&gt;0,"优先降持仓数",IF(C138&lt;=0,"现金不足","允许评估")))</f>
        <v/>
      </c>
      <c r="AY138" s="1" t="str">
        <f aca="false">IF($A138="","",IF(B138&lt;30000,"婴儿阶段: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6"/>
      <c r="B139" s="17"/>
      <c r="C139" s="17"/>
      <c r="D139" s="18" t="str">
        <f aca="false">IF($A140="","",SUMIFS(持仓表!$J:$J,持仓表!$A:$A,$A140))</f>
        <v/>
      </c>
      <c r="E139" s="19" t="n">
        <f aca="false">IFERROR(D140/B140,0)</f>
        <v>0</v>
      </c>
      <c r="F139" s="17"/>
      <c r="G139" s="18" t="str">
        <f aca="false">IF($B140="","",MAX($B$2:B140))</f>
        <v/>
      </c>
      <c r="H139" s="19" t="n">
        <f aca="false">IFERROR((B140-F140)/F140,0)</f>
        <v>0</v>
      </c>
      <c r="I139" s="19" t="n">
        <f aca="false">IFERROR((B140-G140)/G140,0)</f>
        <v>0</v>
      </c>
      <c r="J139" s="6"/>
      <c r="K139" s="13"/>
      <c r="L139" s="20"/>
      <c r="M139" s="20"/>
      <c r="N139" s="19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9" s="19" t="str">
        <f aca="false">IF($B140="","",IF(B140&lt;30000,35%,IF(B140&lt;50000,30%,IF(B140&lt;100000,25%,20%))))</f>
        <v/>
      </c>
      <c r="P139" s="21" t="str">
        <f aca="false">IF($A140="","",COUNTIFS(持仓表!$A:$A,$A140,持仓表!$G:$G,"&gt;0"))</f>
        <v/>
      </c>
      <c r="Q139" s="21" t="str">
        <f aca="false">IF($A140="","",COUNTIFS(持仓表!$A:$A,$A140,持仓表!$D:$D,"是",持仓表!$G:$G,"&gt;0"))</f>
        <v/>
      </c>
      <c r="R139" s="21" t="str">
        <f aca="false">IF($A140="","",MAX(0,P140-Q140))</f>
        <v/>
      </c>
      <c r="S139" s="21" t="str">
        <f aca="false">IF($B140="","",IF(B140&lt;50000,3,IF(B140&lt;100000,4,5)))</f>
        <v/>
      </c>
      <c r="T139" s="5" t="str">
        <f aca="false">IF($A140="","",IF(OR(M140&gt;=4,I140&lt;=-8%),"防守",IF(OR(M140&gt;=2,I140&lt;=-5%),"警戒","正常")))</f>
        <v/>
      </c>
      <c r="U139" s="5" t="str">
        <f aca="false">IF($A140="","",IF(AND(L140&gt;=3,M140&lt;=2,T140&lt;&gt;"防守"),"是","否"))</f>
        <v/>
      </c>
      <c r="V139" s="5" t="str">
        <f aca="false">IF($A140="","",IF(AND(E140&lt;N140,R140&lt;S140,M140&lt;=2,I140&gt;-15%),"是","否"))</f>
        <v/>
      </c>
      <c r="W139" s="5" t="str">
        <f aca="false">IF($A140="","",IF(OR(M140&gt;=3,I140&lt;=-15%),"是","否"))</f>
        <v/>
      </c>
      <c r="X139" s="18" t="str">
        <f aca="false">IF($A140="","",IFERROR(maxifs(候选池!$AB:$AB,候选池!$A:$A,$A140),0))</f>
        <v/>
      </c>
      <c r="Y139" s="18" t="str">
        <f aca="false">IF($A140="","",IF(OR(M140&gt;=4,I140&lt;=-8%),MAX(0,B140*60%-C140),IF(AND(ISNUMBER(AD140),B140&gt;AD140),IF(B140&lt;30000,0,IF(B140&lt;100000,MAX(0,(B140-AD140)*0.2),MAX(0,(B140-AD140)*0.3))),0)))</f>
        <v/>
      </c>
      <c r="Z139" s="6"/>
      <c r="AA139" s="5" t="str">
        <f aca="false">IF($A140="","",IF($AA$2&lt;&gt;"",$AA$2,""))</f>
        <v/>
      </c>
      <c r="AB139" s="6" t="str">
        <f aca="false">IF($A140="","",IF(B140&lt;30000,0.03,IF(B140&lt;100000,0.02,0.015)))</f>
        <v/>
      </c>
      <c r="AC139" s="21" t="str">
        <f aca="false">IF($A140="","",IFERROR(DATEDIF($A$2,$A140,"m"),0))</f>
        <v/>
      </c>
      <c r="AD139" s="18" t="str">
        <f aca="false">IF($A140="","",IF(OR(AA140="",AB140="",AC140=""),"",AA140*POWER(1+AB140,AC140)))</f>
        <v/>
      </c>
      <c r="AE139" s="23" t="str">
        <f aca="false">IF($A140="","",IF(OR(AD140="",AD140=0),"",B140/AD140-1))</f>
        <v/>
      </c>
      <c r="AG139" s="1" t="str">
        <f aca="false">IF($A140="","",IF(B140&lt;30000,"婴儿",IF(B140&lt;100000,"成长","成熟")))</f>
        <v/>
      </c>
      <c r="AH139" s="24"/>
      <c r="AJ139" s="24"/>
      <c r="AK139" s="24"/>
      <c r="AM139" s="24"/>
      <c r="AP139" s="15"/>
      <c r="AQ139" s="25" t="str">
        <f aca="false">IF($A140="","",B140-$AA$2-SUM($F$2:F140))</f>
        <v/>
      </c>
      <c r="AR139" s="1" t="str">
        <f aca="false">IF($A139="","",30000)</f>
        <v/>
      </c>
      <c r="AS139" s="1" t="str">
        <f aca="false">IF($A139="","",AR139-B139)</f>
        <v/>
      </c>
      <c r="AT139" s="1" t="str">
        <f aca="false">IF($A139="","",IFERROR(B139/AR139,0))</f>
        <v/>
      </c>
      <c r="AU139" s="1" t="str">
        <f aca="false">IF($A139="","",IFERROR(B139*O139,0))</f>
        <v/>
      </c>
      <c r="AV139" s="1" t="str">
        <f aca="false">IF($A139="","",IFERROR(C139/B139,0))</f>
        <v/>
      </c>
      <c r="AW139" s="1" t="str">
        <f aca="false">IF($A139="","",MAX(0,R139-S139))</f>
        <v/>
      </c>
      <c r="AX139" s="1" t="str">
        <f aca="false">IF($A139="","",IF(AW139&gt;0,"优先降持仓数",IF(C139&lt;=0,"现金不足","允许评估")))</f>
        <v/>
      </c>
      <c r="AY139" s="1" t="str">
        <f aca="false">IF($A139="","",IF(B139&lt;30000,"婴儿阶段: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9"/>
      <c r="B140" s="26"/>
      <c r="C140" s="26"/>
      <c r="D140" s="18" t="str">
        <f aca="false">IF($A141="","",SUMIFS(持仓表!$J:$J,持仓表!$A:$A,$A141))</f>
        <v/>
      </c>
      <c r="E140" s="19" t="n">
        <f aca="false">IFERROR(D141/B141,0)</f>
        <v>0</v>
      </c>
      <c r="F140" s="26"/>
      <c r="G140" s="18" t="str">
        <f aca="false">IF($B141="","",MAX($B$2:B141))</f>
        <v/>
      </c>
      <c r="H140" s="19" t="n">
        <f aca="false">IFERROR((B141-F141)/F141,0)</f>
        <v>0</v>
      </c>
      <c r="I140" s="19" t="n">
        <f aca="false">IFERROR((B141-G141)/G141,0)</f>
        <v>0</v>
      </c>
      <c r="J140" s="9"/>
      <c r="K140" s="14"/>
      <c r="L140" s="27"/>
      <c r="M140" s="27"/>
      <c r="N140" s="19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40" s="19" t="str">
        <f aca="false">IF($B141="","",IF(B141&lt;30000,35%,IF(B141&lt;50000,30%,IF(B141&lt;100000,25%,20%))))</f>
        <v/>
      </c>
      <c r="P140" s="21" t="str">
        <f aca="false">IF($A141="","",COUNTIFS(持仓表!$A:$A,$A141,持仓表!$G:$G,"&gt;0"))</f>
        <v/>
      </c>
      <c r="Q140" s="21" t="str">
        <f aca="false">IF($A141="","",COUNTIFS(持仓表!$A:$A,$A141,持仓表!$D:$D,"是",持仓表!$G:$G,"&gt;0"))</f>
        <v/>
      </c>
      <c r="R140" s="21" t="str">
        <f aca="false">IF($A141="","",MAX(0,P141-Q141))</f>
        <v/>
      </c>
      <c r="S140" s="21" t="str">
        <f aca="false">IF($B141="","",IF(B141&lt;50000,3,IF(B141&lt;100000,4,5)))</f>
        <v/>
      </c>
      <c r="T140" s="5" t="str">
        <f aca="false">IF($A141="","",IF(OR(M141&gt;=4,I141&lt;=-8%),"防守",IF(OR(M141&gt;=2,I141&lt;=-5%),"警戒","正常")))</f>
        <v/>
      </c>
      <c r="U140" s="5" t="str">
        <f aca="false">IF($A141="","",IF(AND(L141&gt;=3,M141&lt;=2,T141&lt;&gt;"防守"),"是","否"))</f>
        <v/>
      </c>
      <c r="V140" s="5" t="str">
        <f aca="false">IF($A141="","",IF(AND(E141&lt;N141,R141&lt;S141,M141&lt;=2,I141&gt;-15%),"是","否"))</f>
        <v/>
      </c>
      <c r="W140" s="5" t="str">
        <f aca="false">IF($A141="","",IF(OR(M141&gt;=3,I141&lt;=-15%),"是","否"))</f>
        <v/>
      </c>
      <c r="X140" s="18" t="str">
        <f aca="false">IF($A141="","",IFERROR(maxifs(候选池!$AB:$AB,候选池!$A:$A,$A141),0))</f>
        <v/>
      </c>
      <c r="Y140" s="18" t="str">
        <f aca="false">IF($A141="","",IF(OR(M141&gt;=4,I141&lt;=-8%),MAX(0,B141*60%-C141),IF(AND(ISNUMBER(AD141),B141&gt;AD141),IF(B141&lt;30000,0,IF(B141&lt;100000,MAX(0,(B141-AD141)*0.2),MAX(0,(B141-AD141)*0.3))),0)))</f>
        <v/>
      </c>
      <c r="Z140" s="9"/>
      <c r="AA140" s="5" t="str">
        <f aca="false">IF($A141="","",IF($AA$2&lt;&gt;"",$AA$2,""))</f>
        <v/>
      </c>
      <c r="AB140" s="9" t="str">
        <f aca="false">IF($A141="","",IF(B141&lt;30000,0.03,IF(B141&lt;100000,0.02,0.015)))</f>
        <v/>
      </c>
      <c r="AC140" s="21" t="str">
        <f aca="false">IF($A141="","",IFERROR(DATEDIF($A$2,$A141,"m"),0))</f>
        <v/>
      </c>
      <c r="AD140" s="18" t="str">
        <f aca="false">IF($A141="","",IF(OR(AA141="",AB141="",AC141=""),"",AA141*POWER(1+AB141,AC141)))</f>
        <v/>
      </c>
      <c r="AE140" s="29" t="str">
        <f aca="false">IF($A141="","",IF(OR(AD141="",AD141=0),"",B141/AD141-1))</f>
        <v/>
      </c>
      <c r="AG140" s="1" t="str">
        <f aca="false">IF($A141="","",IF(B141&lt;30000,"婴儿",IF(B141&lt;100000,"成长","成熟")))</f>
        <v/>
      </c>
      <c r="AH140" s="24"/>
      <c r="AJ140" s="24"/>
      <c r="AK140" s="24"/>
      <c r="AM140" s="24"/>
      <c r="AP140" s="15"/>
      <c r="AQ140" s="25" t="str">
        <f aca="false">IF($A141="","",B141-$AA$2-SUM($F$2:F141))</f>
        <v/>
      </c>
      <c r="AR140" s="1" t="str">
        <f aca="false">IF($A140="","",30000)</f>
        <v/>
      </c>
      <c r="AS140" s="1" t="str">
        <f aca="false">IF($A140="","",AR140-B140)</f>
        <v/>
      </c>
      <c r="AT140" s="1" t="str">
        <f aca="false">IF($A140="","",IFERROR(B140/AR140,0))</f>
        <v/>
      </c>
      <c r="AU140" s="1" t="str">
        <f aca="false">IF($A140="","",IFERROR(B140*O140,0))</f>
        <v/>
      </c>
      <c r="AV140" s="1" t="str">
        <f aca="false">IF($A140="","",IFERROR(C140/B140,0))</f>
        <v/>
      </c>
      <c r="AW140" s="1" t="str">
        <f aca="false">IF($A140="","",MAX(0,R140-S140))</f>
        <v/>
      </c>
      <c r="AX140" s="1" t="str">
        <f aca="false">IF($A140="","",IF(AW140&gt;0,"优先降持仓数",IF(C140&lt;=0,"现金不足","允许评估")))</f>
        <v/>
      </c>
      <c r="AY140" s="1" t="str">
        <f aca="false">IF($A140="","",IF(B140&lt;30000,"婴儿阶段: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6"/>
      <c r="B141" s="17"/>
      <c r="C141" s="17"/>
      <c r="D141" s="18" t="str">
        <f aca="false">IF($A142="","",SUMIFS(持仓表!$J:$J,持仓表!$A:$A,$A142))</f>
        <v/>
      </c>
      <c r="E141" s="19" t="n">
        <f aca="false">IFERROR(D142/B142,0)</f>
        <v>0</v>
      </c>
      <c r="F141" s="17"/>
      <c r="G141" s="18" t="str">
        <f aca="false">IF($B142="","",MAX($B$2:B142))</f>
        <v/>
      </c>
      <c r="H141" s="19" t="n">
        <f aca="false">IFERROR((B142-F142)/F142,0)</f>
        <v>0</v>
      </c>
      <c r="I141" s="19" t="n">
        <f aca="false">IFERROR((B142-G142)/G142,0)</f>
        <v>0</v>
      </c>
      <c r="J141" s="6"/>
      <c r="K141" s="13"/>
      <c r="L141" s="20"/>
      <c r="M141" s="20"/>
      <c r="N141" s="19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41" s="19" t="str">
        <f aca="false">IF($B142="","",IF(B142&lt;30000,35%,IF(B142&lt;50000,30%,IF(B142&lt;100000,25%,20%))))</f>
        <v/>
      </c>
      <c r="P141" s="21" t="str">
        <f aca="false">IF($A142="","",COUNTIFS(持仓表!$A:$A,$A142,持仓表!$G:$G,"&gt;0"))</f>
        <v/>
      </c>
      <c r="Q141" s="21" t="str">
        <f aca="false">IF($A142="","",COUNTIFS(持仓表!$A:$A,$A142,持仓表!$D:$D,"是",持仓表!$G:$G,"&gt;0"))</f>
        <v/>
      </c>
      <c r="R141" s="21" t="str">
        <f aca="false">IF($A142="","",MAX(0,P142-Q142))</f>
        <v/>
      </c>
      <c r="S141" s="21" t="str">
        <f aca="false">IF($B142="","",IF(B142&lt;50000,3,IF(B142&lt;100000,4,5)))</f>
        <v/>
      </c>
      <c r="T141" s="5" t="str">
        <f aca="false">IF($A142="","",IF(OR(M142&gt;=4,I142&lt;=-8%),"防守",IF(OR(M142&gt;=2,I142&lt;=-5%),"警戒","正常")))</f>
        <v/>
      </c>
      <c r="U141" s="5" t="str">
        <f aca="false">IF($A142="","",IF(AND(L142&gt;=3,M142&lt;=2,T142&lt;&gt;"防守"),"是","否"))</f>
        <v/>
      </c>
      <c r="V141" s="5" t="str">
        <f aca="false">IF($A142="","",IF(AND(E142&lt;N142,R142&lt;S142,M142&lt;=2,I142&gt;-15%),"是","否"))</f>
        <v/>
      </c>
      <c r="W141" s="5" t="str">
        <f aca="false">IF($A142="","",IF(OR(M142&gt;=3,I142&lt;=-15%),"是","否"))</f>
        <v/>
      </c>
      <c r="X141" s="18" t="str">
        <f aca="false">IF($A142="","",IFERROR(maxifs(候选池!$AB:$AB,候选池!$A:$A,$A142),0))</f>
        <v/>
      </c>
      <c r="Y141" s="18" t="str">
        <f aca="false">IF($A142="","",IF(OR(M142&gt;=4,I142&lt;=-8%),MAX(0,B142*60%-C142),IF(AND(ISNUMBER(AD142),B142&gt;AD142),IF(B142&lt;30000,0,IF(B142&lt;100000,MAX(0,(B142-AD142)*0.2),MAX(0,(B142-AD142)*0.3))),0)))</f>
        <v/>
      </c>
      <c r="Z141" s="6"/>
      <c r="AA141" s="5" t="str">
        <f aca="false">IF($A142="","",IF($AA$2&lt;&gt;"",$AA$2,""))</f>
        <v/>
      </c>
      <c r="AB141" s="6" t="str">
        <f aca="false">IF($A142="","",IF(B142&lt;30000,0.03,IF(B142&lt;100000,0.02,0.015)))</f>
        <v/>
      </c>
      <c r="AC141" s="21" t="str">
        <f aca="false">IF($A142="","",IFERROR(DATEDIF($A$2,$A142,"m"),0))</f>
        <v/>
      </c>
      <c r="AD141" s="18" t="str">
        <f aca="false">IF($A142="","",IF(OR(AA142="",AB142="",AC142=""),"",AA142*POWER(1+AB142,AC142)))</f>
        <v/>
      </c>
      <c r="AE141" s="23" t="str">
        <f aca="false">IF($A142="","",IF(OR(AD142="",AD142=0),"",B142/AD142-1))</f>
        <v/>
      </c>
      <c r="AG141" s="1" t="str">
        <f aca="false">IF($A142="","",IF(B142&lt;30000,"婴儿",IF(B142&lt;100000,"成长","成熟")))</f>
        <v/>
      </c>
      <c r="AH141" s="24"/>
      <c r="AJ141" s="24"/>
      <c r="AK141" s="24"/>
      <c r="AM141" s="24"/>
      <c r="AP141" s="15"/>
      <c r="AQ141" s="25" t="str">
        <f aca="false">IF($A142="","",B142-$AA$2-SUM($F$2:F142))</f>
        <v/>
      </c>
      <c r="AR141" s="1" t="str">
        <f aca="false">IF($A141="","",30000)</f>
        <v/>
      </c>
      <c r="AS141" s="1" t="str">
        <f aca="false">IF($A141="","",AR141-B141)</f>
        <v/>
      </c>
      <c r="AT141" s="1" t="str">
        <f aca="false">IF($A141="","",IFERROR(B141/AR141,0))</f>
        <v/>
      </c>
      <c r="AU141" s="1" t="str">
        <f aca="false">IF($A141="","",IFERROR(B141*O141,0))</f>
        <v/>
      </c>
      <c r="AV141" s="1" t="str">
        <f aca="false">IF($A141="","",IFERROR(C141/B141,0))</f>
        <v/>
      </c>
      <c r="AW141" s="1" t="str">
        <f aca="false">IF($A141="","",MAX(0,R141-S141))</f>
        <v/>
      </c>
      <c r="AX141" s="1" t="str">
        <f aca="false">IF($A141="","",IF(AW141&gt;0,"优先降持仓数",IF(C141&lt;=0,"现金不足","允许评估")))</f>
        <v/>
      </c>
      <c r="AY141" s="1" t="str">
        <f aca="false">IF($A141="","",IF(B141&lt;30000,"婴儿阶段: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9"/>
      <c r="B142" s="26"/>
      <c r="C142" s="26"/>
      <c r="D142" s="18" t="str">
        <f aca="false">IF($A143="","",SUMIFS(持仓表!$J:$J,持仓表!$A:$A,$A143))</f>
        <v/>
      </c>
      <c r="E142" s="19" t="n">
        <f aca="false">IFERROR(D143/B143,0)</f>
        <v>0</v>
      </c>
      <c r="F142" s="26"/>
      <c r="G142" s="18" t="str">
        <f aca="false">IF($B143="","",MAX($B$2:B143))</f>
        <v/>
      </c>
      <c r="H142" s="19" t="n">
        <f aca="false">IFERROR((B143-F143)/F143,0)</f>
        <v>0</v>
      </c>
      <c r="I142" s="19" t="n">
        <f aca="false">IFERROR((B143-G143)/G143,0)</f>
        <v>0</v>
      </c>
      <c r="J142" s="9"/>
      <c r="K142" s="14"/>
      <c r="L142" s="27"/>
      <c r="M142" s="27"/>
      <c r="N142" s="19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42" s="19" t="str">
        <f aca="false">IF($B143="","",IF(B143&lt;30000,35%,IF(B143&lt;50000,30%,IF(B143&lt;100000,25%,20%))))</f>
        <v/>
      </c>
      <c r="P142" s="21" t="str">
        <f aca="false">IF($A143="","",COUNTIFS(持仓表!$A:$A,$A143,持仓表!$G:$G,"&gt;0"))</f>
        <v/>
      </c>
      <c r="Q142" s="21" t="str">
        <f aca="false">IF($A143="","",COUNTIFS(持仓表!$A:$A,$A143,持仓表!$D:$D,"是",持仓表!$G:$G,"&gt;0"))</f>
        <v/>
      </c>
      <c r="R142" s="21" t="str">
        <f aca="false">IF($A143="","",MAX(0,P143-Q143))</f>
        <v/>
      </c>
      <c r="S142" s="21" t="str">
        <f aca="false">IF($B143="","",IF(B143&lt;50000,3,IF(B143&lt;100000,4,5)))</f>
        <v/>
      </c>
      <c r="T142" s="5" t="str">
        <f aca="false">IF($A143="","",IF(OR(M143&gt;=4,I143&lt;=-8%),"防守",IF(OR(M143&gt;=2,I143&lt;=-5%),"警戒","正常")))</f>
        <v/>
      </c>
      <c r="U142" s="5" t="str">
        <f aca="false">IF($A143="","",IF(AND(L143&gt;=3,M143&lt;=2,T143&lt;&gt;"防守"),"是","否"))</f>
        <v/>
      </c>
      <c r="V142" s="5" t="str">
        <f aca="false">IF($A143="","",IF(AND(E143&lt;N143,R143&lt;S143,M143&lt;=2,I143&gt;-15%),"是","否"))</f>
        <v/>
      </c>
      <c r="W142" s="5" t="str">
        <f aca="false">IF($A143="","",IF(OR(M143&gt;=3,I143&lt;=-15%),"是","否"))</f>
        <v/>
      </c>
      <c r="X142" s="18" t="str">
        <f aca="false">IF($A143="","",IFERROR(maxifs(候选池!$AB:$AB,候选池!$A:$A,$A143),0))</f>
        <v/>
      </c>
      <c r="Y142" s="18" t="str">
        <f aca="false">IF($A143="","",IF(OR(M143&gt;=4,I143&lt;=-8%),MAX(0,B143*60%-C143),IF(AND(ISNUMBER(AD143),B143&gt;AD143),IF(B143&lt;30000,0,IF(B143&lt;100000,MAX(0,(B143-AD143)*0.2),MAX(0,(B143-AD143)*0.3))),0)))</f>
        <v/>
      </c>
      <c r="Z142" s="9"/>
      <c r="AA142" s="5" t="str">
        <f aca="false">IF($A143="","",IF($AA$2&lt;&gt;"",$AA$2,""))</f>
        <v/>
      </c>
      <c r="AB142" s="9" t="str">
        <f aca="false">IF($A143="","",IF(B143&lt;30000,0.03,IF(B143&lt;100000,0.02,0.015)))</f>
        <v/>
      </c>
      <c r="AC142" s="21" t="str">
        <f aca="false">IF($A143="","",IFERROR(DATEDIF($A$2,$A143,"m"),0))</f>
        <v/>
      </c>
      <c r="AD142" s="18" t="str">
        <f aca="false">IF($A143="","",IF(OR(AA143="",AB143="",AC143=""),"",AA143*POWER(1+AB143,AC143)))</f>
        <v/>
      </c>
      <c r="AE142" s="29" t="str">
        <f aca="false">IF($A143="","",IF(OR(AD143="",AD143=0),"",B143/AD143-1))</f>
        <v/>
      </c>
      <c r="AG142" s="1" t="str">
        <f aca="false">IF($A143="","",IF(B143&lt;30000,"婴儿",IF(B143&lt;100000,"成长","成熟")))</f>
        <v/>
      </c>
      <c r="AH142" s="24"/>
      <c r="AJ142" s="24"/>
      <c r="AK142" s="24"/>
      <c r="AM142" s="24"/>
      <c r="AP142" s="15"/>
      <c r="AQ142" s="25" t="str">
        <f aca="false">IF($A143="","",B143-$AA$2-SUM($F$2:F143))</f>
        <v/>
      </c>
      <c r="AR142" s="1" t="str">
        <f aca="false">IF($A142="","",30000)</f>
        <v/>
      </c>
      <c r="AS142" s="1" t="str">
        <f aca="false">IF($A142="","",AR142-B142)</f>
        <v/>
      </c>
      <c r="AT142" s="1" t="str">
        <f aca="false">IF($A142="","",IFERROR(B142/AR142,0))</f>
        <v/>
      </c>
      <c r="AU142" s="1" t="str">
        <f aca="false">IF($A142="","",IFERROR(B142*O142,0))</f>
        <v/>
      </c>
      <c r="AV142" s="1" t="str">
        <f aca="false">IF($A142="","",IFERROR(C142/B142,0))</f>
        <v/>
      </c>
      <c r="AW142" s="1" t="str">
        <f aca="false">IF($A142="","",MAX(0,R142-S142))</f>
        <v/>
      </c>
      <c r="AX142" s="1" t="str">
        <f aca="false">IF($A142="","",IF(AW142&gt;0,"优先降持仓数",IF(C142&lt;=0,"现金不足","允许评估")))</f>
        <v/>
      </c>
      <c r="AY142" s="1" t="str">
        <f aca="false">IF($A142="","",IF(B142&lt;30000,"婴儿阶段: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6"/>
      <c r="B143" s="17"/>
      <c r="C143" s="17"/>
      <c r="D143" s="18" t="str">
        <f aca="false">IF($A144="","",SUMIFS(持仓表!$J:$J,持仓表!$A:$A,$A144))</f>
        <v/>
      </c>
      <c r="E143" s="19" t="n">
        <f aca="false">IFERROR(D144/B144,0)</f>
        <v>0</v>
      </c>
      <c r="F143" s="17"/>
      <c r="G143" s="18" t="str">
        <f aca="false">IF($B144="","",MAX($B$2:B144))</f>
        <v/>
      </c>
      <c r="H143" s="19" t="n">
        <f aca="false">IFERROR((B144-F144)/F144,0)</f>
        <v>0</v>
      </c>
      <c r="I143" s="19" t="n">
        <f aca="false">IFERROR((B144-G144)/G144,0)</f>
        <v>0</v>
      </c>
      <c r="J143" s="6"/>
      <c r="K143" s="13"/>
      <c r="L143" s="20"/>
      <c r="M143" s="20"/>
      <c r="N143" s="19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43" s="19" t="str">
        <f aca="false">IF($B144="","",IF(B144&lt;30000,35%,IF(B144&lt;50000,30%,IF(B144&lt;100000,25%,20%))))</f>
        <v/>
      </c>
      <c r="P143" s="21" t="str">
        <f aca="false">IF($A144="","",COUNTIFS(持仓表!$A:$A,$A144,持仓表!$G:$G,"&gt;0"))</f>
        <v/>
      </c>
      <c r="Q143" s="21" t="str">
        <f aca="false">IF($A144="","",COUNTIFS(持仓表!$A:$A,$A144,持仓表!$D:$D,"是",持仓表!$G:$G,"&gt;0"))</f>
        <v/>
      </c>
      <c r="R143" s="21" t="str">
        <f aca="false">IF($A144="","",MAX(0,P144-Q144))</f>
        <v/>
      </c>
      <c r="S143" s="21" t="str">
        <f aca="false">IF($B144="","",IF(B144&lt;50000,3,IF(B144&lt;100000,4,5)))</f>
        <v/>
      </c>
      <c r="T143" s="5" t="str">
        <f aca="false">IF($A144="","",IF(OR(M144&gt;=4,I144&lt;=-8%),"防守",IF(OR(M144&gt;=2,I144&lt;=-5%),"警戒","正常")))</f>
        <v/>
      </c>
      <c r="U143" s="5" t="str">
        <f aca="false">IF($A144="","",IF(AND(L144&gt;=3,M144&lt;=2,T144&lt;&gt;"防守"),"是","否"))</f>
        <v/>
      </c>
      <c r="V143" s="5" t="str">
        <f aca="false">IF($A144="","",IF(AND(E144&lt;N144,R144&lt;S144,M144&lt;=2,I144&gt;-15%),"是","否"))</f>
        <v/>
      </c>
      <c r="W143" s="5" t="str">
        <f aca="false">IF($A144="","",IF(OR(M144&gt;=3,I144&lt;=-15%),"是","否"))</f>
        <v/>
      </c>
      <c r="X143" s="18" t="str">
        <f aca="false">IF($A144="","",IFERROR(maxifs(候选池!$AB:$AB,候选池!$A:$A,$A144),0))</f>
        <v/>
      </c>
      <c r="Y143" s="18" t="str">
        <f aca="false">IF($A144="","",IF(OR(M144&gt;=4,I144&lt;=-8%),MAX(0,B144*60%-C144),IF(AND(ISNUMBER(AD144),B144&gt;AD144),IF(B144&lt;30000,0,IF(B144&lt;100000,MAX(0,(B144-AD144)*0.2),MAX(0,(B144-AD144)*0.3))),0)))</f>
        <v/>
      </c>
      <c r="Z143" s="6"/>
      <c r="AA143" s="5" t="str">
        <f aca="false">IF($A144="","",IF($AA$2&lt;&gt;"",$AA$2,""))</f>
        <v/>
      </c>
      <c r="AB143" s="6" t="str">
        <f aca="false">IF($A144="","",IF(B144&lt;30000,0.03,IF(B144&lt;100000,0.02,0.015)))</f>
        <v/>
      </c>
      <c r="AC143" s="21" t="str">
        <f aca="false">IF($A144="","",IFERROR(DATEDIF($A$2,$A144,"m"),0))</f>
        <v/>
      </c>
      <c r="AD143" s="18" t="str">
        <f aca="false">IF($A144="","",IF(OR(AA144="",AB144="",AC144=""),"",AA144*POWER(1+AB144,AC144)))</f>
        <v/>
      </c>
      <c r="AE143" s="23" t="str">
        <f aca="false">IF($A144="","",IF(OR(AD144="",AD144=0),"",B144/AD144-1))</f>
        <v/>
      </c>
      <c r="AG143" s="1" t="str">
        <f aca="false">IF($A144="","",IF(B144&lt;30000,"婴儿",IF(B144&lt;100000,"成长","成熟")))</f>
        <v/>
      </c>
      <c r="AH143" s="24"/>
      <c r="AJ143" s="24"/>
      <c r="AK143" s="24"/>
      <c r="AM143" s="24"/>
      <c r="AP143" s="15"/>
      <c r="AQ143" s="25" t="str">
        <f aca="false">IF($A144="","",B144-$AA$2-SUM($F$2:F144))</f>
        <v/>
      </c>
      <c r="AR143" s="1" t="str">
        <f aca="false">IF($A143="","",30000)</f>
        <v/>
      </c>
      <c r="AS143" s="1" t="str">
        <f aca="false">IF($A143="","",AR143-B143)</f>
        <v/>
      </c>
      <c r="AT143" s="1" t="str">
        <f aca="false">IF($A143="","",IFERROR(B143/AR143,0))</f>
        <v/>
      </c>
      <c r="AU143" s="1" t="str">
        <f aca="false">IF($A143="","",IFERROR(B143*O143,0))</f>
        <v/>
      </c>
      <c r="AV143" s="1" t="str">
        <f aca="false">IF($A143="","",IFERROR(C143/B143,0))</f>
        <v/>
      </c>
      <c r="AW143" s="1" t="str">
        <f aca="false">IF($A143="","",MAX(0,R143-S143))</f>
        <v/>
      </c>
      <c r="AX143" s="1" t="str">
        <f aca="false">IF($A143="","",IF(AW143&gt;0,"优先降持仓数",IF(C143&lt;=0,"现金不足","允许评估")))</f>
        <v/>
      </c>
      <c r="AY143" s="1" t="str">
        <f aca="false">IF($A143="","",IF(B143&lt;30000,"婴儿阶段: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9"/>
      <c r="B144" s="26"/>
      <c r="C144" s="26"/>
      <c r="D144" s="18" t="str">
        <f aca="false">IF($A145="","",SUMIFS(持仓表!$J:$J,持仓表!$A:$A,$A145))</f>
        <v/>
      </c>
      <c r="E144" s="19" t="n">
        <f aca="false">IFERROR(D145/B145,0)</f>
        <v>0</v>
      </c>
      <c r="F144" s="26"/>
      <c r="G144" s="18" t="str">
        <f aca="false">IF($B145="","",MAX($B$2:B145))</f>
        <v/>
      </c>
      <c r="H144" s="19" t="n">
        <f aca="false">IFERROR((B145-F145)/F145,0)</f>
        <v>0</v>
      </c>
      <c r="I144" s="19" t="n">
        <f aca="false">IFERROR((B145-G145)/G145,0)</f>
        <v>0</v>
      </c>
      <c r="J144" s="9"/>
      <c r="K144" s="14"/>
      <c r="L144" s="27"/>
      <c r="M144" s="27"/>
      <c r="N144" s="19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4" s="19" t="str">
        <f aca="false">IF($B145="","",IF(B145&lt;30000,35%,IF(B145&lt;50000,30%,IF(B145&lt;100000,25%,20%))))</f>
        <v/>
      </c>
      <c r="P144" s="21" t="str">
        <f aca="false">IF($A145="","",COUNTIFS(持仓表!$A:$A,$A145,持仓表!$G:$G,"&gt;0"))</f>
        <v/>
      </c>
      <c r="Q144" s="21" t="str">
        <f aca="false">IF($A145="","",COUNTIFS(持仓表!$A:$A,$A145,持仓表!$D:$D,"是",持仓表!$G:$G,"&gt;0"))</f>
        <v/>
      </c>
      <c r="R144" s="21" t="str">
        <f aca="false">IF($A145="","",MAX(0,P145-Q145))</f>
        <v/>
      </c>
      <c r="S144" s="21" t="str">
        <f aca="false">IF($B145="","",IF(B145&lt;50000,3,IF(B145&lt;100000,4,5)))</f>
        <v/>
      </c>
      <c r="T144" s="5" t="str">
        <f aca="false">IF($A145="","",IF(OR(M145&gt;=4,I145&lt;=-8%),"防守",IF(OR(M145&gt;=2,I145&lt;=-5%),"警戒","正常")))</f>
        <v/>
      </c>
      <c r="U144" s="5" t="str">
        <f aca="false">IF($A145="","",IF(AND(L145&gt;=3,M145&lt;=2,T145&lt;&gt;"防守"),"是","否"))</f>
        <v/>
      </c>
      <c r="V144" s="5" t="str">
        <f aca="false">IF($A145="","",IF(AND(E145&lt;N145,R145&lt;S145,M145&lt;=2,I145&gt;-15%),"是","否"))</f>
        <v/>
      </c>
      <c r="W144" s="5" t="str">
        <f aca="false">IF($A145="","",IF(OR(M145&gt;=3,I145&lt;=-15%),"是","否"))</f>
        <v/>
      </c>
      <c r="X144" s="18" t="str">
        <f aca="false">IF($A145="","",IFERROR(maxifs(候选池!$AB:$AB,候选池!$A:$A,$A145),0))</f>
        <v/>
      </c>
      <c r="Y144" s="18" t="str">
        <f aca="false">IF($A145="","",IF(OR(M145&gt;=4,I145&lt;=-8%),MAX(0,B145*60%-C145),IF(AND(ISNUMBER(AD145),B145&gt;AD145),IF(B145&lt;30000,0,IF(B145&lt;100000,MAX(0,(B145-AD145)*0.2),MAX(0,(B145-AD145)*0.3))),0)))</f>
        <v/>
      </c>
      <c r="Z144" s="9"/>
      <c r="AA144" s="5" t="str">
        <f aca="false">IF($A145="","",IF($AA$2&lt;&gt;"",$AA$2,""))</f>
        <v/>
      </c>
      <c r="AB144" s="9" t="str">
        <f aca="false">IF($A145="","",IF(B145&lt;30000,0.03,IF(B145&lt;100000,0.02,0.015)))</f>
        <v/>
      </c>
      <c r="AC144" s="21" t="str">
        <f aca="false">IF($A145="","",IFERROR(DATEDIF($A$2,$A145,"m"),0))</f>
        <v/>
      </c>
      <c r="AD144" s="18" t="str">
        <f aca="false">IF($A145="","",IF(OR(AA145="",AB145="",AC145=""),"",AA145*POWER(1+AB145,AC145)))</f>
        <v/>
      </c>
      <c r="AE144" s="29" t="str">
        <f aca="false">IF($A145="","",IF(OR(AD145="",AD145=0),"",B145/AD145-1))</f>
        <v/>
      </c>
      <c r="AG144" s="1" t="str">
        <f aca="false">IF($A145="","",IF(B145&lt;30000,"婴儿",IF(B145&lt;100000,"成长","成熟")))</f>
        <v/>
      </c>
      <c r="AH144" s="24"/>
      <c r="AJ144" s="24"/>
      <c r="AK144" s="24"/>
      <c r="AM144" s="24"/>
      <c r="AP144" s="15"/>
      <c r="AQ144" s="25" t="str">
        <f aca="false">IF($A145="","",B145-$AA$2-SUM($F$2:F145))</f>
        <v/>
      </c>
      <c r="AR144" s="1" t="str">
        <f aca="false">IF($A144="","",30000)</f>
        <v/>
      </c>
      <c r="AS144" s="1" t="str">
        <f aca="false">IF($A144="","",AR144-B144)</f>
        <v/>
      </c>
      <c r="AT144" s="1" t="str">
        <f aca="false">IF($A144="","",IFERROR(B144/AR144,0))</f>
        <v/>
      </c>
      <c r="AU144" s="1" t="str">
        <f aca="false">IF($A144="","",IFERROR(B144*O144,0))</f>
        <v/>
      </c>
      <c r="AV144" s="1" t="str">
        <f aca="false">IF($A144="","",IFERROR(C144/B144,0))</f>
        <v/>
      </c>
      <c r="AW144" s="1" t="str">
        <f aca="false">IF($A144="","",MAX(0,R144-S144))</f>
        <v/>
      </c>
      <c r="AX144" s="1" t="str">
        <f aca="false">IF($A144="","",IF(AW144&gt;0,"优先降持仓数",IF(C144&lt;=0,"现金不足","允许评估")))</f>
        <v/>
      </c>
      <c r="AY144" s="1" t="str">
        <f aca="false">IF($A144="","",IF(B144&lt;30000,"婴儿阶段: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6"/>
      <c r="B145" s="17"/>
      <c r="C145" s="17"/>
      <c r="D145" s="18" t="str">
        <f aca="false">IF($A146="","",SUMIFS(持仓表!$J:$J,持仓表!$A:$A,$A146))</f>
        <v/>
      </c>
      <c r="E145" s="19" t="n">
        <f aca="false">IFERROR(D146/B146,0)</f>
        <v>0</v>
      </c>
      <c r="F145" s="17"/>
      <c r="G145" s="18" t="str">
        <f aca="false">IF($B146="","",MAX($B$2:B146))</f>
        <v/>
      </c>
      <c r="H145" s="19" t="n">
        <f aca="false">IFERROR((B146-F146)/F146,0)</f>
        <v>0</v>
      </c>
      <c r="I145" s="19" t="n">
        <f aca="false">IFERROR((B146-G146)/G146,0)</f>
        <v>0</v>
      </c>
      <c r="J145" s="6"/>
      <c r="K145" s="13"/>
      <c r="L145" s="20"/>
      <c r="M145" s="20"/>
      <c r="N145" s="19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5" s="19" t="str">
        <f aca="false">IF($B146="","",IF(B146&lt;30000,35%,IF(B146&lt;50000,30%,IF(B146&lt;100000,25%,20%))))</f>
        <v/>
      </c>
      <c r="P145" s="21" t="str">
        <f aca="false">IF($A146="","",COUNTIFS(持仓表!$A:$A,$A146,持仓表!$G:$G,"&gt;0"))</f>
        <v/>
      </c>
      <c r="Q145" s="21" t="str">
        <f aca="false">IF($A146="","",COUNTIFS(持仓表!$A:$A,$A146,持仓表!$D:$D,"是",持仓表!$G:$G,"&gt;0"))</f>
        <v/>
      </c>
      <c r="R145" s="21" t="str">
        <f aca="false">IF($A146="","",MAX(0,P146-Q146))</f>
        <v/>
      </c>
      <c r="S145" s="21" t="str">
        <f aca="false">IF($B146="","",IF(B146&lt;50000,3,IF(B146&lt;100000,4,5)))</f>
        <v/>
      </c>
      <c r="T145" s="5" t="str">
        <f aca="false">IF($A146="","",IF(OR(M146&gt;=4,I146&lt;=-8%),"防守",IF(OR(M146&gt;=2,I146&lt;=-5%),"警戒","正常")))</f>
        <v/>
      </c>
      <c r="U145" s="5" t="str">
        <f aca="false">IF($A146="","",IF(AND(L146&gt;=3,M146&lt;=2,T146&lt;&gt;"防守"),"是","否"))</f>
        <v/>
      </c>
      <c r="V145" s="5" t="str">
        <f aca="false">IF($A146="","",IF(AND(E146&lt;N146,R146&lt;S146,M146&lt;=2,I146&gt;-15%),"是","否"))</f>
        <v/>
      </c>
      <c r="W145" s="5" t="str">
        <f aca="false">IF($A146="","",IF(OR(M146&gt;=3,I146&lt;=-15%),"是","否"))</f>
        <v/>
      </c>
      <c r="X145" s="18" t="str">
        <f aca="false">IF($A146="","",IFERROR(maxifs(候选池!$AB:$AB,候选池!$A:$A,$A146),0))</f>
        <v/>
      </c>
      <c r="Y145" s="18" t="str">
        <f aca="false">IF($A146="","",IF(OR(M146&gt;=4,I146&lt;=-8%),MAX(0,B146*60%-C146),IF(AND(ISNUMBER(AD146),B146&gt;AD146),IF(B146&lt;30000,0,IF(B146&lt;100000,MAX(0,(B146-AD146)*0.2),MAX(0,(B146-AD146)*0.3))),0)))</f>
        <v/>
      </c>
      <c r="Z145" s="6"/>
      <c r="AA145" s="5" t="str">
        <f aca="false">IF($A146="","",IF($AA$2&lt;&gt;"",$AA$2,""))</f>
        <v/>
      </c>
      <c r="AB145" s="6" t="str">
        <f aca="false">IF($A146="","",IF(B146&lt;30000,0.03,IF(B146&lt;100000,0.02,0.015)))</f>
        <v/>
      </c>
      <c r="AC145" s="21" t="str">
        <f aca="false">IF($A146="","",IFERROR(DATEDIF($A$2,$A146,"m"),0))</f>
        <v/>
      </c>
      <c r="AD145" s="18" t="str">
        <f aca="false">IF($A146="","",IF(OR(AA146="",AB146="",AC146=""),"",AA146*POWER(1+AB146,AC146)))</f>
        <v/>
      </c>
      <c r="AE145" s="23" t="str">
        <f aca="false">IF($A146="","",IF(OR(AD146="",AD146=0),"",B146/AD146-1))</f>
        <v/>
      </c>
      <c r="AG145" s="1" t="str">
        <f aca="false">IF($A146="","",IF(B146&lt;30000,"婴儿",IF(B146&lt;100000,"成长","成熟")))</f>
        <v/>
      </c>
      <c r="AH145" s="24"/>
      <c r="AJ145" s="24"/>
      <c r="AK145" s="24"/>
      <c r="AM145" s="24"/>
      <c r="AP145" s="15"/>
      <c r="AQ145" s="25" t="str">
        <f aca="false">IF($A146="","",B146-$AA$2-SUM($F$2:F146))</f>
        <v/>
      </c>
      <c r="AR145" s="1" t="str">
        <f aca="false">IF($A145="","",30000)</f>
        <v/>
      </c>
      <c r="AS145" s="1" t="str">
        <f aca="false">IF($A145="","",AR145-B145)</f>
        <v/>
      </c>
      <c r="AT145" s="1" t="str">
        <f aca="false">IF($A145="","",IFERROR(B145/AR145,0))</f>
        <v/>
      </c>
      <c r="AU145" s="1" t="str">
        <f aca="false">IF($A145="","",IFERROR(B145*O145,0))</f>
        <v/>
      </c>
      <c r="AV145" s="1" t="str">
        <f aca="false">IF($A145="","",IFERROR(C145/B145,0))</f>
        <v/>
      </c>
      <c r="AW145" s="1" t="str">
        <f aca="false">IF($A145="","",MAX(0,R145-S145))</f>
        <v/>
      </c>
      <c r="AX145" s="1" t="str">
        <f aca="false">IF($A145="","",IF(AW145&gt;0,"优先降持仓数",IF(C145&lt;=0,"现金不足","允许评估")))</f>
        <v/>
      </c>
      <c r="AY145" s="1" t="str">
        <f aca="false">IF($A145="","",IF(B145&lt;30000,"婴儿阶段: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9"/>
      <c r="B146" s="26"/>
      <c r="C146" s="26"/>
      <c r="D146" s="18" t="str">
        <f aca="false">IF($A147="","",SUMIFS(持仓表!$J:$J,持仓表!$A:$A,$A147))</f>
        <v/>
      </c>
      <c r="E146" s="19" t="n">
        <f aca="false">IFERROR(D147/B147,0)</f>
        <v>0</v>
      </c>
      <c r="F146" s="26"/>
      <c r="G146" s="18" t="str">
        <f aca="false">IF($B147="","",MAX($B$2:B147))</f>
        <v/>
      </c>
      <c r="H146" s="19" t="n">
        <f aca="false">IFERROR((B147-F147)/F147,0)</f>
        <v>0</v>
      </c>
      <c r="I146" s="19" t="n">
        <f aca="false">IFERROR((B147-G147)/G147,0)</f>
        <v>0</v>
      </c>
      <c r="J146" s="9"/>
      <c r="K146" s="14"/>
      <c r="L146" s="27"/>
      <c r="M146" s="27"/>
      <c r="N146" s="19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6" s="19" t="str">
        <f aca="false">IF($B147="","",IF(B147&lt;30000,35%,IF(B147&lt;50000,30%,IF(B147&lt;100000,25%,20%))))</f>
        <v/>
      </c>
      <c r="P146" s="21" t="str">
        <f aca="false">IF($A147="","",COUNTIFS(持仓表!$A:$A,$A147,持仓表!$G:$G,"&gt;0"))</f>
        <v/>
      </c>
      <c r="Q146" s="21" t="str">
        <f aca="false">IF($A147="","",COUNTIFS(持仓表!$A:$A,$A147,持仓表!$D:$D,"是",持仓表!$G:$G,"&gt;0"))</f>
        <v/>
      </c>
      <c r="R146" s="21" t="str">
        <f aca="false">IF($A147="","",MAX(0,P147-Q147))</f>
        <v/>
      </c>
      <c r="S146" s="21" t="str">
        <f aca="false">IF($B147="","",IF(B147&lt;50000,3,IF(B147&lt;100000,4,5)))</f>
        <v/>
      </c>
      <c r="T146" s="5" t="str">
        <f aca="false">IF($A147="","",IF(OR(M147&gt;=4,I147&lt;=-8%),"防守",IF(OR(M147&gt;=2,I147&lt;=-5%),"警戒","正常")))</f>
        <v/>
      </c>
      <c r="U146" s="5" t="str">
        <f aca="false">IF($A147="","",IF(AND(L147&gt;=3,M147&lt;=2,T147&lt;&gt;"防守"),"是","否"))</f>
        <v/>
      </c>
      <c r="V146" s="5" t="str">
        <f aca="false">IF($A147="","",IF(AND(E147&lt;N147,R147&lt;S147,M147&lt;=2,I147&gt;-15%),"是","否"))</f>
        <v/>
      </c>
      <c r="W146" s="5" t="str">
        <f aca="false">IF($A147="","",IF(OR(M147&gt;=3,I147&lt;=-15%),"是","否"))</f>
        <v/>
      </c>
      <c r="X146" s="18" t="str">
        <f aca="false">IF($A147="","",IFERROR(maxifs(候选池!$AB:$AB,候选池!$A:$A,$A147),0))</f>
        <v/>
      </c>
      <c r="Y146" s="18" t="str">
        <f aca="false">IF($A147="","",IF(OR(M147&gt;=4,I147&lt;=-8%),MAX(0,B147*60%-C147),IF(AND(ISNUMBER(AD147),B147&gt;AD147),IF(B147&lt;30000,0,IF(B147&lt;100000,MAX(0,(B147-AD147)*0.2),MAX(0,(B147-AD147)*0.3))),0)))</f>
        <v/>
      </c>
      <c r="Z146" s="9"/>
      <c r="AA146" s="5" t="str">
        <f aca="false">IF($A147="","",IF($AA$2&lt;&gt;"",$AA$2,""))</f>
        <v/>
      </c>
      <c r="AB146" s="9" t="str">
        <f aca="false">IF($A147="","",IF(B147&lt;30000,0.03,IF(B147&lt;100000,0.02,0.015)))</f>
        <v/>
      </c>
      <c r="AC146" s="21" t="str">
        <f aca="false">IF($A147="","",IFERROR(DATEDIF($A$2,$A147,"m"),0))</f>
        <v/>
      </c>
      <c r="AD146" s="18" t="str">
        <f aca="false">IF($A147="","",IF(OR(AA147="",AB147="",AC147=""),"",AA147*POWER(1+AB147,AC147)))</f>
        <v/>
      </c>
      <c r="AE146" s="29" t="str">
        <f aca="false">IF($A147="","",IF(OR(AD147="",AD147=0),"",B147/AD147-1))</f>
        <v/>
      </c>
      <c r="AG146" s="1" t="str">
        <f aca="false">IF($A147="","",IF(B147&lt;30000,"婴儿",IF(B147&lt;100000,"成长","成熟")))</f>
        <v/>
      </c>
      <c r="AH146" s="24"/>
      <c r="AJ146" s="24"/>
      <c r="AK146" s="24"/>
      <c r="AM146" s="24"/>
      <c r="AP146" s="15"/>
      <c r="AQ146" s="25" t="str">
        <f aca="false">IF($A147="","",B147-$AA$2-SUM($F$2:F147))</f>
        <v/>
      </c>
      <c r="AR146" s="1" t="str">
        <f aca="false">IF($A146="","",30000)</f>
        <v/>
      </c>
      <c r="AS146" s="1" t="str">
        <f aca="false">IF($A146="","",AR146-B146)</f>
        <v/>
      </c>
      <c r="AT146" s="1" t="str">
        <f aca="false">IF($A146="","",IFERROR(B146/AR146,0))</f>
        <v/>
      </c>
      <c r="AU146" s="1" t="str">
        <f aca="false">IF($A146="","",IFERROR(B146*O146,0))</f>
        <v/>
      </c>
      <c r="AV146" s="1" t="str">
        <f aca="false">IF($A146="","",IFERROR(C146/B146,0))</f>
        <v/>
      </c>
      <c r="AW146" s="1" t="str">
        <f aca="false">IF($A146="","",MAX(0,R146-S146))</f>
        <v/>
      </c>
      <c r="AX146" s="1" t="str">
        <f aca="false">IF($A146="","",IF(AW146&gt;0,"优先降持仓数",IF(C146&lt;=0,"现金不足","允许评估")))</f>
        <v/>
      </c>
      <c r="AY146" s="1" t="str">
        <f aca="false">IF($A146="","",IF(B146&lt;30000,"婴儿阶段: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6"/>
      <c r="B147" s="17"/>
      <c r="C147" s="17"/>
      <c r="D147" s="18" t="str">
        <f aca="false">IF($A148="","",SUMIFS(持仓表!$J:$J,持仓表!$A:$A,$A148))</f>
        <v/>
      </c>
      <c r="E147" s="19" t="n">
        <f aca="false">IFERROR(D148/B148,0)</f>
        <v>0</v>
      </c>
      <c r="F147" s="17"/>
      <c r="G147" s="18" t="str">
        <f aca="false">IF($B148="","",MAX($B$2:B148))</f>
        <v/>
      </c>
      <c r="H147" s="19" t="n">
        <f aca="false">IFERROR((B148-F148)/F148,0)</f>
        <v>0</v>
      </c>
      <c r="I147" s="19" t="n">
        <f aca="false">IFERROR((B148-G148)/G148,0)</f>
        <v>0</v>
      </c>
      <c r="J147" s="6"/>
      <c r="K147" s="13"/>
      <c r="L147" s="20"/>
      <c r="M147" s="20"/>
      <c r="N147" s="19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7" s="19" t="str">
        <f aca="false">IF($B148="","",IF(B148&lt;30000,35%,IF(B148&lt;50000,30%,IF(B148&lt;100000,25%,20%))))</f>
        <v/>
      </c>
      <c r="P147" s="21" t="str">
        <f aca="false">IF($A148="","",COUNTIFS(持仓表!$A:$A,$A148,持仓表!$G:$G,"&gt;0"))</f>
        <v/>
      </c>
      <c r="Q147" s="21" t="str">
        <f aca="false">IF($A148="","",COUNTIFS(持仓表!$A:$A,$A148,持仓表!$D:$D,"是",持仓表!$G:$G,"&gt;0"))</f>
        <v/>
      </c>
      <c r="R147" s="21" t="str">
        <f aca="false">IF($A148="","",MAX(0,P148-Q148))</f>
        <v/>
      </c>
      <c r="S147" s="21" t="str">
        <f aca="false">IF($B148="","",IF(B148&lt;50000,3,IF(B148&lt;100000,4,5)))</f>
        <v/>
      </c>
      <c r="T147" s="5" t="str">
        <f aca="false">IF($A148="","",IF(OR(M148&gt;=4,I148&lt;=-8%),"防守",IF(OR(M148&gt;=2,I148&lt;=-5%),"警戒","正常")))</f>
        <v/>
      </c>
      <c r="U147" s="5" t="str">
        <f aca="false">IF($A148="","",IF(AND(L148&gt;=3,M148&lt;=2,T148&lt;&gt;"防守"),"是","否"))</f>
        <v/>
      </c>
      <c r="V147" s="5" t="str">
        <f aca="false">IF($A148="","",IF(AND(E148&lt;N148,R148&lt;S148,M148&lt;=2,I148&gt;-15%),"是","否"))</f>
        <v/>
      </c>
      <c r="W147" s="5" t="str">
        <f aca="false">IF($A148="","",IF(OR(M148&gt;=3,I148&lt;=-15%),"是","否"))</f>
        <v/>
      </c>
      <c r="X147" s="18" t="str">
        <f aca="false">IF($A148="","",IFERROR(maxifs(候选池!$AB:$AB,候选池!$A:$A,$A148),0))</f>
        <v/>
      </c>
      <c r="Y147" s="18" t="str">
        <f aca="false">IF($A148="","",IF(OR(M148&gt;=4,I148&lt;=-8%),MAX(0,B148*60%-C148),IF(AND(ISNUMBER(AD148),B148&gt;AD148),IF(B148&lt;30000,0,IF(B148&lt;100000,MAX(0,(B148-AD148)*0.2),MAX(0,(B148-AD148)*0.3))),0)))</f>
        <v/>
      </c>
      <c r="Z147" s="6"/>
      <c r="AA147" s="5" t="str">
        <f aca="false">IF($A148="","",IF($AA$2&lt;&gt;"",$AA$2,""))</f>
        <v/>
      </c>
      <c r="AB147" s="6" t="str">
        <f aca="false">IF($A148="","",IF(B148&lt;30000,0.03,IF(B148&lt;100000,0.02,0.015)))</f>
        <v/>
      </c>
      <c r="AC147" s="21" t="str">
        <f aca="false">IF($A148="","",IFERROR(DATEDIF($A$2,$A148,"m"),0))</f>
        <v/>
      </c>
      <c r="AD147" s="18" t="str">
        <f aca="false">IF($A148="","",IF(OR(AA148="",AB148="",AC148=""),"",AA148*POWER(1+AB148,AC148)))</f>
        <v/>
      </c>
      <c r="AE147" s="23" t="str">
        <f aca="false">IF($A148="","",IF(OR(AD148="",AD148=0),"",B148/AD148-1))</f>
        <v/>
      </c>
      <c r="AG147" s="1" t="str">
        <f aca="false">IF($A148="","",IF(B148&lt;30000,"婴儿",IF(B148&lt;100000,"成长","成熟")))</f>
        <v/>
      </c>
      <c r="AH147" s="24"/>
      <c r="AJ147" s="24"/>
      <c r="AK147" s="24"/>
      <c r="AM147" s="24"/>
      <c r="AP147" s="15"/>
      <c r="AQ147" s="25" t="str">
        <f aca="false">IF($A148="","",B148-$AA$2-SUM($F$2:F148))</f>
        <v/>
      </c>
      <c r="AR147" s="1" t="str">
        <f aca="false">IF($A147="","",30000)</f>
        <v/>
      </c>
      <c r="AS147" s="1" t="str">
        <f aca="false">IF($A147="","",AR147-B147)</f>
        <v/>
      </c>
      <c r="AT147" s="1" t="str">
        <f aca="false">IF($A147="","",IFERROR(B147/AR147,0))</f>
        <v/>
      </c>
      <c r="AU147" s="1" t="str">
        <f aca="false">IF($A147="","",IFERROR(B147*O147,0))</f>
        <v/>
      </c>
      <c r="AV147" s="1" t="str">
        <f aca="false">IF($A147="","",IFERROR(C147/B147,0))</f>
        <v/>
      </c>
      <c r="AW147" s="1" t="str">
        <f aca="false">IF($A147="","",MAX(0,R147-S147))</f>
        <v/>
      </c>
      <c r="AX147" s="1" t="str">
        <f aca="false">IF($A147="","",IF(AW147&gt;0,"优先降持仓数",IF(C147&lt;=0,"现金不足","允许评估")))</f>
        <v/>
      </c>
      <c r="AY147" s="1" t="str">
        <f aca="false">IF($A147="","",IF(B147&lt;30000,"婴儿阶段: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9"/>
      <c r="B148" s="26"/>
      <c r="C148" s="26"/>
      <c r="D148" s="18" t="str">
        <f aca="false">IF($A149="","",SUMIFS(持仓表!$J:$J,持仓表!$A:$A,$A149))</f>
        <v/>
      </c>
      <c r="E148" s="19" t="n">
        <f aca="false">IFERROR(D149/B149,0)</f>
        <v>0</v>
      </c>
      <c r="F148" s="26"/>
      <c r="G148" s="18" t="str">
        <f aca="false">IF($B149="","",MAX($B$2:B149))</f>
        <v/>
      </c>
      <c r="H148" s="19" t="n">
        <f aca="false">IFERROR((B149-F149)/F149,0)</f>
        <v>0</v>
      </c>
      <c r="I148" s="19" t="n">
        <f aca="false">IFERROR((B149-G149)/G149,0)</f>
        <v>0</v>
      </c>
      <c r="J148" s="9"/>
      <c r="K148" s="14"/>
      <c r="L148" s="27"/>
      <c r="M148" s="27"/>
      <c r="N148" s="19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8" s="19" t="str">
        <f aca="false">IF($B149="","",IF(B149&lt;30000,35%,IF(B149&lt;50000,30%,IF(B149&lt;100000,25%,20%))))</f>
        <v/>
      </c>
      <c r="P148" s="21" t="str">
        <f aca="false">IF($A149="","",COUNTIFS(持仓表!$A:$A,$A149,持仓表!$G:$G,"&gt;0"))</f>
        <v/>
      </c>
      <c r="Q148" s="21" t="str">
        <f aca="false">IF($A149="","",COUNTIFS(持仓表!$A:$A,$A149,持仓表!$D:$D,"是",持仓表!$G:$G,"&gt;0"))</f>
        <v/>
      </c>
      <c r="R148" s="21" t="str">
        <f aca="false">IF($A149="","",MAX(0,P149-Q149))</f>
        <v/>
      </c>
      <c r="S148" s="21" t="str">
        <f aca="false">IF($B149="","",IF(B149&lt;50000,3,IF(B149&lt;100000,4,5)))</f>
        <v/>
      </c>
      <c r="T148" s="5" t="str">
        <f aca="false">IF($A149="","",IF(OR(M149&gt;=4,I149&lt;=-8%),"防守",IF(OR(M149&gt;=2,I149&lt;=-5%),"警戒","正常")))</f>
        <v/>
      </c>
      <c r="U148" s="5" t="str">
        <f aca="false">IF($A149="","",IF(AND(L149&gt;=3,M149&lt;=2,T149&lt;&gt;"防守"),"是","否"))</f>
        <v/>
      </c>
      <c r="V148" s="5" t="str">
        <f aca="false">IF($A149="","",IF(AND(E149&lt;N149,R149&lt;S149,M149&lt;=2,I149&gt;-15%),"是","否"))</f>
        <v/>
      </c>
      <c r="W148" s="5" t="str">
        <f aca="false">IF($A149="","",IF(OR(M149&gt;=3,I149&lt;=-15%),"是","否"))</f>
        <v/>
      </c>
      <c r="X148" s="18" t="str">
        <f aca="false">IF($A149="","",IFERROR(maxifs(候选池!$AB:$AB,候选池!$A:$A,$A149),0))</f>
        <v/>
      </c>
      <c r="Y148" s="18" t="str">
        <f aca="false">IF($A149="","",IF(OR(M149&gt;=4,I149&lt;=-8%),MAX(0,B149*60%-C149),IF(AND(ISNUMBER(AD149),B149&gt;AD149),IF(B149&lt;30000,0,IF(B149&lt;100000,MAX(0,(B149-AD149)*0.2),MAX(0,(B149-AD149)*0.3))),0)))</f>
        <v/>
      </c>
      <c r="Z148" s="9"/>
      <c r="AA148" s="5" t="str">
        <f aca="false">IF($A149="","",IF($AA$2&lt;&gt;"",$AA$2,""))</f>
        <v/>
      </c>
      <c r="AB148" s="9" t="str">
        <f aca="false">IF($A149="","",IF(B149&lt;30000,0.03,IF(B149&lt;100000,0.02,0.015)))</f>
        <v/>
      </c>
      <c r="AC148" s="21" t="str">
        <f aca="false">IF($A149="","",IFERROR(DATEDIF($A$2,$A149,"m"),0))</f>
        <v/>
      </c>
      <c r="AD148" s="18" t="str">
        <f aca="false">IF($A149="","",IF(OR(AA149="",AB149="",AC149=""),"",AA149*POWER(1+AB149,AC149)))</f>
        <v/>
      </c>
      <c r="AE148" s="29" t="str">
        <f aca="false">IF($A149="","",IF(OR(AD149="",AD149=0),"",B149/AD149-1))</f>
        <v/>
      </c>
      <c r="AG148" s="1" t="str">
        <f aca="false">IF($A149="","",IF(B149&lt;30000,"婴儿",IF(B149&lt;100000,"成长","成熟")))</f>
        <v/>
      </c>
      <c r="AH148" s="24"/>
      <c r="AJ148" s="24"/>
      <c r="AK148" s="24"/>
      <c r="AM148" s="24"/>
      <c r="AP148" s="15"/>
      <c r="AQ148" s="25" t="str">
        <f aca="false">IF($A149="","",B149-$AA$2-SUM($F$2:F149))</f>
        <v/>
      </c>
      <c r="AR148" s="1" t="str">
        <f aca="false">IF($A148="","",30000)</f>
        <v/>
      </c>
      <c r="AS148" s="1" t="str">
        <f aca="false">IF($A148="","",AR148-B148)</f>
        <v/>
      </c>
      <c r="AT148" s="1" t="str">
        <f aca="false">IF($A148="","",IFERROR(B148/AR148,0))</f>
        <v/>
      </c>
      <c r="AU148" s="1" t="str">
        <f aca="false">IF($A148="","",IFERROR(B148*O148,0))</f>
        <v/>
      </c>
      <c r="AV148" s="1" t="str">
        <f aca="false">IF($A148="","",IFERROR(C148/B148,0))</f>
        <v/>
      </c>
      <c r="AW148" s="1" t="str">
        <f aca="false">IF($A148="","",MAX(0,R148-S148))</f>
        <v/>
      </c>
      <c r="AX148" s="1" t="str">
        <f aca="false">IF($A148="","",IF(AW148&gt;0,"优先降持仓数",IF(C148&lt;=0,"现金不足","允许评估")))</f>
        <v/>
      </c>
      <c r="AY148" s="1" t="str">
        <f aca="false">IF($A148="","",IF(B148&lt;30000,"婴儿阶段: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6"/>
      <c r="B149" s="17"/>
      <c r="C149" s="17"/>
      <c r="D149" s="18" t="str">
        <f aca="false">IF($A150="","",SUMIFS(持仓表!$J:$J,持仓表!$A:$A,$A150))</f>
        <v/>
      </c>
      <c r="E149" s="19" t="n">
        <f aca="false">IFERROR(D150/B150,0)</f>
        <v>0</v>
      </c>
      <c r="F149" s="17"/>
      <c r="G149" s="18" t="str">
        <f aca="false">IF($B150="","",MAX($B$2:B150))</f>
        <v/>
      </c>
      <c r="H149" s="19" t="n">
        <f aca="false">IFERROR((B150-F150)/F150,0)</f>
        <v>0</v>
      </c>
      <c r="I149" s="19" t="n">
        <f aca="false">IFERROR((B150-G150)/G150,0)</f>
        <v>0</v>
      </c>
      <c r="J149" s="6"/>
      <c r="K149" s="13"/>
      <c r="L149" s="20"/>
      <c r="M149" s="20"/>
      <c r="N149" s="19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9" s="19" t="str">
        <f aca="false">IF($B150="","",IF(B150&lt;30000,35%,IF(B150&lt;50000,30%,IF(B150&lt;100000,25%,20%))))</f>
        <v/>
      </c>
      <c r="P149" s="21" t="str">
        <f aca="false">IF($A150="","",COUNTIFS(持仓表!$A:$A,$A150,持仓表!$G:$G,"&gt;0"))</f>
        <v/>
      </c>
      <c r="Q149" s="21" t="str">
        <f aca="false">IF($A150="","",COUNTIFS(持仓表!$A:$A,$A150,持仓表!$D:$D,"是",持仓表!$G:$G,"&gt;0"))</f>
        <v/>
      </c>
      <c r="R149" s="21" t="str">
        <f aca="false">IF($A150="","",MAX(0,P150-Q150))</f>
        <v/>
      </c>
      <c r="S149" s="21" t="str">
        <f aca="false">IF($B150="","",IF(B150&lt;50000,3,IF(B150&lt;100000,4,5)))</f>
        <v/>
      </c>
      <c r="T149" s="5" t="str">
        <f aca="false">IF($A150="","",IF(OR(M150&gt;=4,I150&lt;=-8%),"防守",IF(OR(M150&gt;=2,I150&lt;=-5%),"警戒","正常")))</f>
        <v/>
      </c>
      <c r="U149" s="5" t="str">
        <f aca="false">IF($A150="","",IF(AND(L150&gt;=3,M150&lt;=2,T150&lt;&gt;"防守"),"是","否"))</f>
        <v/>
      </c>
      <c r="V149" s="5" t="str">
        <f aca="false">IF($A150="","",IF(AND(E150&lt;N150,R150&lt;S150,M150&lt;=2,I150&gt;-15%),"是","否"))</f>
        <v/>
      </c>
      <c r="W149" s="5" t="str">
        <f aca="false">IF($A150="","",IF(OR(M150&gt;=3,I150&lt;=-15%),"是","否"))</f>
        <v/>
      </c>
      <c r="X149" s="18" t="str">
        <f aca="false">IF($A150="","",IFERROR(maxifs(候选池!$AB:$AB,候选池!$A:$A,$A150),0))</f>
        <v/>
      </c>
      <c r="Y149" s="18" t="str">
        <f aca="false">IF($A150="","",IF(OR(M150&gt;=4,I150&lt;=-8%),MAX(0,B150*60%-C150),IF(AND(ISNUMBER(AD150),B150&gt;AD150),IF(B150&lt;30000,0,IF(B150&lt;100000,MAX(0,(B150-AD150)*0.2),MAX(0,(B150-AD150)*0.3))),0)))</f>
        <v/>
      </c>
      <c r="Z149" s="6"/>
      <c r="AA149" s="5" t="str">
        <f aca="false">IF($A150="","",IF($AA$2&lt;&gt;"",$AA$2,""))</f>
        <v/>
      </c>
      <c r="AB149" s="6" t="str">
        <f aca="false">IF($A150="","",IF(B150&lt;30000,0.03,IF(B150&lt;100000,0.02,0.015)))</f>
        <v/>
      </c>
      <c r="AC149" s="21" t="str">
        <f aca="false">IF($A150="","",IFERROR(DATEDIF($A$2,$A150,"m"),0))</f>
        <v/>
      </c>
      <c r="AD149" s="18" t="str">
        <f aca="false">IF($A150="","",IF(OR(AA150="",AB150="",AC150=""),"",AA150*POWER(1+AB150,AC150)))</f>
        <v/>
      </c>
      <c r="AE149" s="23" t="str">
        <f aca="false">IF($A150="","",IF(OR(AD150="",AD150=0),"",B150/AD150-1))</f>
        <v/>
      </c>
      <c r="AG149" s="1" t="str">
        <f aca="false">IF($A150="","",IF(B150&lt;30000,"婴儿",IF(B150&lt;100000,"成长","成熟")))</f>
        <v/>
      </c>
      <c r="AH149" s="24"/>
      <c r="AJ149" s="24"/>
      <c r="AK149" s="24"/>
      <c r="AM149" s="24"/>
      <c r="AP149" s="15"/>
      <c r="AQ149" s="25" t="str">
        <f aca="false">IF($A150="","",B150-$AA$2-SUM($F$2:F150))</f>
        <v/>
      </c>
      <c r="AR149" s="1" t="str">
        <f aca="false">IF($A149="","",30000)</f>
        <v/>
      </c>
      <c r="AS149" s="1" t="str">
        <f aca="false">IF($A149="","",AR149-B149)</f>
        <v/>
      </c>
      <c r="AT149" s="1" t="str">
        <f aca="false">IF($A149="","",IFERROR(B149/AR149,0))</f>
        <v/>
      </c>
      <c r="AU149" s="1" t="str">
        <f aca="false">IF($A149="","",IFERROR(B149*O149,0))</f>
        <v/>
      </c>
      <c r="AV149" s="1" t="str">
        <f aca="false">IF($A149="","",IFERROR(C149/B149,0))</f>
        <v/>
      </c>
      <c r="AW149" s="1" t="str">
        <f aca="false">IF($A149="","",MAX(0,R149-S149))</f>
        <v/>
      </c>
      <c r="AX149" s="1" t="str">
        <f aca="false">IF($A149="","",IF(AW149&gt;0,"优先降持仓数",IF(C149&lt;=0,"现金不足","允许评估")))</f>
        <v/>
      </c>
      <c r="AY149" s="1" t="str">
        <f aca="false">IF($A149="","",IF(B149&lt;30000,"婴儿阶段: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9"/>
      <c r="B150" s="26"/>
      <c r="C150" s="26"/>
      <c r="D150" s="18" t="str">
        <f aca="false">IF($A151="","",SUMIFS(持仓表!$J:$J,持仓表!$A:$A,$A151))</f>
        <v/>
      </c>
      <c r="E150" s="19" t="n">
        <f aca="false">IFERROR(D151/B151,0)</f>
        <v>0</v>
      </c>
      <c r="F150" s="26"/>
      <c r="G150" s="18" t="str">
        <f aca="false">IF($B151="","",MAX($B$2:B151))</f>
        <v/>
      </c>
      <c r="H150" s="19" t="n">
        <f aca="false">IFERROR((B151-F151)/F151,0)</f>
        <v>0</v>
      </c>
      <c r="I150" s="19" t="n">
        <f aca="false">IFERROR((B151-G151)/G151,0)</f>
        <v>0</v>
      </c>
      <c r="J150" s="9"/>
      <c r="K150" s="14"/>
      <c r="L150" s="27"/>
      <c r="M150" s="27"/>
      <c r="N150" s="19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50" s="19" t="str">
        <f aca="false">IF($B151="","",IF(B151&lt;30000,35%,IF(B151&lt;50000,30%,IF(B151&lt;100000,25%,20%))))</f>
        <v/>
      </c>
      <c r="P150" s="21" t="str">
        <f aca="false">IF($A151="","",COUNTIFS(持仓表!$A:$A,$A151,持仓表!$G:$G,"&gt;0"))</f>
        <v/>
      </c>
      <c r="Q150" s="21" t="str">
        <f aca="false">IF($A151="","",COUNTIFS(持仓表!$A:$A,$A151,持仓表!$D:$D,"是",持仓表!$G:$G,"&gt;0"))</f>
        <v/>
      </c>
      <c r="R150" s="21" t="str">
        <f aca="false">IF($A151="","",MAX(0,P151-Q151))</f>
        <v/>
      </c>
      <c r="S150" s="21" t="str">
        <f aca="false">IF($B151="","",IF(B151&lt;50000,3,IF(B151&lt;100000,4,5)))</f>
        <v/>
      </c>
      <c r="T150" s="5" t="str">
        <f aca="false">IF($A151="","",IF(OR(M151&gt;=4,I151&lt;=-8%),"防守",IF(OR(M151&gt;=2,I151&lt;=-5%),"警戒","正常")))</f>
        <v/>
      </c>
      <c r="U150" s="5" t="str">
        <f aca="false">IF($A151="","",IF(AND(L151&gt;=3,M151&lt;=2,T151&lt;&gt;"防守"),"是","否"))</f>
        <v/>
      </c>
      <c r="V150" s="5" t="str">
        <f aca="false">IF($A151="","",IF(AND(E151&lt;N151,R151&lt;S151,M151&lt;=2,I151&gt;-15%),"是","否"))</f>
        <v/>
      </c>
      <c r="W150" s="5" t="str">
        <f aca="false">IF($A151="","",IF(OR(M151&gt;=3,I151&lt;=-15%),"是","否"))</f>
        <v/>
      </c>
      <c r="X150" s="18" t="str">
        <f aca="false">IF($A151="","",IFERROR(maxifs(候选池!$AB:$AB,候选池!$A:$A,$A151),0))</f>
        <v/>
      </c>
      <c r="Y150" s="18" t="str">
        <f aca="false">IF($A151="","",IF(OR(M151&gt;=4,I151&lt;=-8%),MAX(0,B151*60%-C151),IF(AND(ISNUMBER(AD151),B151&gt;AD151),IF(B151&lt;30000,0,IF(B151&lt;100000,MAX(0,(B151-AD151)*0.2),MAX(0,(B151-AD151)*0.3))),0)))</f>
        <v/>
      </c>
      <c r="Z150" s="9"/>
      <c r="AA150" s="5" t="str">
        <f aca="false">IF($A151="","",IF($AA$2&lt;&gt;"",$AA$2,""))</f>
        <v/>
      </c>
      <c r="AB150" s="9" t="str">
        <f aca="false">IF($A151="","",IF(B151&lt;30000,0.03,IF(B151&lt;100000,0.02,0.015)))</f>
        <v/>
      </c>
      <c r="AC150" s="21" t="str">
        <f aca="false">IF($A151="","",IFERROR(DATEDIF($A$2,$A151,"m"),0))</f>
        <v/>
      </c>
      <c r="AD150" s="18" t="str">
        <f aca="false">IF($A151="","",IF(OR(AA151="",AB151="",AC151=""),"",AA151*POWER(1+AB151,AC151)))</f>
        <v/>
      </c>
      <c r="AE150" s="29" t="str">
        <f aca="false">IF($A151="","",IF(OR(AD151="",AD151=0),"",B151/AD151-1))</f>
        <v/>
      </c>
      <c r="AG150" s="1" t="str">
        <f aca="false">IF($A151="","",IF(B151&lt;30000,"婴儿",IF(B151&lt;100000,"成长","成熟")))</f>
        <v/>
      </c>
      <c r="AH150" s="24"/>
      <c r="AJ150" s="24"/>
      <c r="AK150" s="24"/>
      <c r="AM150" s="24"/>
      <c r="AP150" s="15"/>
      <c r="AQ150" s="25" t="str">
        <f aca="false">IF($A151="","",B151-$AA$2-SUM($F$2:F151))</f>
        <v/>
      </c>
      <c r="AR150" s="1" t="str">
        <f aca="false">IF($A150="","",30000)</f>
        <v/>
      </c>
      <c r="AS150" s="1" t="str">
        <f aca="false">IF($A150="","",AR150-B150)</f>
        <v/>
      </c>
      <c r="AT150" s="1" t="str">
        <f aca="false">IF($A150="","",IFERROR(B150/AR150,0))</f>
        <v/>
      </c>
      <c r="AU150" s="1" t="str">
        <f aca="false">IF($A150="","",IFERROR(B150*O150,0))</f>
        <v/>
      </c>
      <c r="AV150" s="1" t="str">
        <f aca="false">IF($A150="","",IFERROR(C150/B150,0))</f>
        <v/>
      </c>
      <c r="AW150" s="1" t="str">
        <f aca="false">IF($A150="","",MAX(0,R150-S150))</f>
        <v/>
      </c>
      <c r="AX150" s="1" t="str">
        <f aca="false">IF($A150="","",IF(AW150&gt;0,"优先降持仓数",IF(C150&lt;=0,"现金不足","允许评估")))</f>
        <v/>
      </c>
      <c r="AY150" s="1" t="str">
        <f aca="false">IF($A150="","",IF(B150&lt;30000,"婴儿阶段: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6"/>
      <c r="B151" s="17"/>
      <c r="C151" s="17"/>
      <c r="D151" s="18" t="str">
        <f aca="false">IF($A152="","",SUMIFS(持仓表!$J:$J,持仓表!$A:$A,$A152))</f>
        <v/>
      </c>
      <c r="E151" s="19" t="n">
        <f aca="false">IFERROR(D152/B152,0)</f>
        <v>0</v>
      </c>
      <c r="F151" s="17"/>
      <c r="G151" s="18" t="str">
        <f aca="false">IF($B152="","",MAX($B$2:B152))</f>
        <v/>
      </c>
      <c r="H151" s="19" t="n">
        <f aca="false">IFERROR((B152-F152)/F152,0)</f>
        <v>0</v>
      </c>
      <c r="I151" s="19" t="n">
        <f aca="false">IFERROR((B152-G152)/G152,0)</f>
        <v>0</v>
      </c>
      <c r="J151" s="6"/>
      <c r="K151" s="13"/>
      <c r="L151" s="20"/>
      <c r="M151" s="20"/>
      <c r="N151" s="19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51" s="19" t="str">
        <f aca="false">IF($B152="","",IF(B152&lt;30000,35%,IF(B152&lt;50000,30%,IF(B152&lt;100000,25%,20%))))</f>
        <v/>
      </c>
      <c r="P151" s="21" t="str">
        <f aca="false">IF($A152="","",COUNTIFS(持仓表!$A:$A,$A152,持仓表!$G:$G,"&gt;0"))</f>
        <v/>
      </c>
      <c r="Q151" s="21" t="str">
        <f aca="false">IF($A152="","",COUNTIFS(持仓表!$A:$A,$A152,持仓表!$D:$D,"是",持仓表!$G:$G,"&gt;0"))</f>
        <v/>
      </c>
      <c r="R151" s="21" t="str">
        <f aca="false">IF($A152="","",MAX(0,P152-Q152))</f>
        <v/>
      </c>
      <c r="S151" s="21" t="str">
        <f aca="false">IF($B152="","",IF(B152&lt;50000,3,IF(B152&lt;100000,4,5)))</f>
        <v/>
      </c>
      <c r="T151" s="5" t="str">
        <f aca="false">IF($A152="","",IF(OR(M152&gt;=4,I152&lt;=-8%),"防守",IF(OR(M152&gt;=2,I152&lt;=-5%),"警戒","正常")))</f>
        <v/>
      </c>
      <c r="U151" s="5" t="str">
        <f aca="false">IF($A152="","",IF(AND(L152&gt;=3,M152&lt;=2,T152&lt;&gt;"防守"),"是","否"))</f>
        <v/>
      </c>
      <c r="V151" s="5" t="str">
        <f aca="false">IF($A152="","",IF(AND(E152&lt;N152,R152&lt;S152,M152&lt;=2,I152&gt;-15%),"是","否"))</f>
        <v/>
      </c>
      <c r="W151" s="5" t="str">
        <f aca="false">IF($A152="","",IF(OR(M152&gt;=3,I152&lt;=-15%),"是","否"))</f>
        <v/>
      </c>
      <c r="X151" s="18" t="str">
        <f aca="false">IF($A152="","",IFERROR(maxifs(候选池!$AB:$AB,候选池!$A:$A,$A152),0))</f>
        <v/>
      </c>
      <c r="Y151" s="18" t="str">
        <f aca="false">IF($A152="","",IF(OR(M152&gt;=4,I152&lt;=-8%),MAX(0,B152*60%-C152),IF(AND(ISNUMBER(AD152),B152&gt;AD152),IF(B152&lt;30000,0,IF(B152&lt;100000,MAX(0,(B152-AD152)*0.2),MAX(0,(B152-AD152)*0.3))),0)))</f>
        <v/>
      </c>
      <c r="Z151" s="6"/>
      <c r="AA151" s="5" t="str">
        <f aca="false">IF($A152="","",IF($AA$2&lt;&gt;"",$AA$2,""))</f>
        <v/>
      </c>
      <c r="AB151" s="6" t="str">
        <f aca="false">IF($A152="","",IF(B152&lt;30000,0.03,IF(B152&lt;100000,0.02,0.015)))</f>
        <v/>
      </c>
      <c r="AC151" s="21" t="str">
        <f aca="false">IF($A152="","",IFERROR(DATEDIF($A$2,$A152,"m"),0))</f>
        <v/>
      </c>
      <c r="AD151" s="18" t="str">
        <f aca="false">IF($A152="","",IF(OR(AA152="",AB152="",AC152=""),"",AA152*POWER(1+AB152,AC152)))</f>
        <v/>
      </c>
      <c r="AE151" s="23" t="str">
        <f aca="false">IF($A152="","",IF(OR(AD152="",AD152=0),"",B152/AD152-1))</f>
        <v/>
      </c>
      <c r="AG151" s="1" t="str">
        <f aca="false">IF($A152="","",IF(B152&lt;30000,"婴儿",IF(B152&lt;100000,"成长","成熟")))</f>
        <v/>
      </c>
      <c r="AH151" s="24"/>
      <c r="AJ151" s="24"/>
      <c r="AK151" s="24"/>
      <c r="AM151" s="24"/>
      <c r="AP151" s="15"/>
      <c r="AQ151" s="25" t="str">
        <f aca="false">IF($A152="","",B152-$AA$2-SUM($F$2:F152))</f>
        <v/>
      </c>
      <c r="AR151" s="1" t="str">
        <f aca="false">IF($A151="","",30000)</f>
        <v/>
      </c>
      <c r="AS151" s="1" t="str">
        <f aca="false">IF($A151="","",AR151-B151)</f>
        <v/>
      </c>
      <c r="AT151" s="1" t="str">
        <f aca="false">IF($A151="","",IFERROR(B151/AR151,0))</f>
        <v/>
      </c>
      <c r="AU151" s="1" t="str">
        <f aca="false">IF($A151="","",IFERROR(B151*O151,0))</f>
        <v/>
      </c>
      <c r="AV151" s="1" t="str">
        <f aca="false">IF($A151="","",IFERROR(C151/B151,0))</f>
        <v/>
      </c>
      <c r="AW151" s="1" t="str">
        <f aca="false">IF($A151="","",MAX(0,R151-S151))</f>
        <v/>
      </c>
      <c r="AX151" s="1" t="str">
        <f aca="false">IF($A151="","",IF(AW151&gt;0,"优先降持仓数",IF(C151&lt;=0,"现金不足","允许评估")))</f>
        <v/>
      </c>
      <c r="AY151" s="1" t="str">
        <f aca="false">IF($A151="","",IF(B151&lt;30000,"婴儿阶段: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9"/>
      <c r="B152" s="26"/>
      <c r="C152" s="26"/>
      <c r="D152" s="18" t="str">
        <f aca="false">IF($A153="","",SUMIFS(持仓表!$J:$J,持仓表!$A:$A,$A153))</f>
        <v/>
      </c>
      <c r="E152" s="19" t="n">
        <f aca="false">IFERROR(D153/B153,0)</f>
        <v>0</v>
      </c>
      <c r="F152" s="26"/>
      <c r="G152" s="18" t="str">
        <f aca="false">IF($B153="","",MAX($B$2:B153))</f>
        <v/>
      </c>
      <c r="H152" s="19" t="n">
        <f aca="false">IFERROR((B153-F153)/F153,0)</f>
        <v>0</v>
      </c>
      <c r="I152" s="19" t="n">
        <f aca="false">IFERROR((B153-G153)/G153,0)</f>
        <v>0</v>
      </c>
      <c r="J152" s="9"/>
      <c r="K152" s="14"/>
      <c r="L152" s="27"/>
      <c r="M152" s="27"/>
      <c r="N152" s="19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52" s="19" t="str">
        <f aca="false">IF($B153="","",IF(B153&lt;30000,35%,IF(B153&lt;50000,30%,IF(B153&lt;100000,25%,20%))))</f>
        <v/>
      </c>
      <c r="P152" s="21" t="str">
        <f aca="false">IF($A153="","",COUNTIFS(持仓表!$A:$A,$A153,持仓表!$G:$G,"&gt;0"))</f>
        <v/>
      </c>
      <c r="Q152" s="21" t="str">
        <f aca="false">IF($A153="","",COUNTIFS(持仓表!$A:$A,$A153,持仓表!$D:$D,"是",持仓表!$G:$G,"&gt;0"))</f>
        <v/>
      </c>
      <c r="R152" s="21" t="str">
        <f aca="false">IF($A153="","",MAX(0,P153-Q153))</f>
        <v/>
      </c>
      <c r="S152" s="21" t="str">
        <f aca="false">IF($B153="","",IF(B153&lt;50000,3,IF(B153&lt;100000,4,5)))</f>
        <v/>
      </c>
      <c r="T152" s="5" t="str">
        <f aca="false">IF($A153="","",IF(OR(M153&gt;=4,I153&lt;=-8%),"防守",IF(OR(M153&gt;=2,I153&lt;=-5%),"警戒","正常")))</f>
        <v/>
      </c>
      <c r="U152" s="5" t="str">
        <f aca="false">IF($A153="","",IF(AND(L153&gt;=3,M153&lt;=2,T153&lt;&gt;"防守"),"是","否"))</f>
        <v/>
      </c>
      <c r="V152" s="5" t="str">
        <f aca="false">IF($A153="","",IF(AND(E153&lt;N153,R153&lt;S153,M153&lt;=2,I153&gt;-15%),"是","否"))</f>
        <v/>
      </c>
      <c r="W152" s="5" t="str">
        <f aca="false">IF($A153="","",IF(OR(M153&gt;=3,I153&lt;=-15%),"是","否"))</f>
        <v/>
      </c>
      <c r="X152" s="18" t="str">
        <f aca="false">IF($A153="","",IFERROR(maxifs(候选池!$AB:$AB,候选池!$A:$A,$A153),0))</f>
        <v/>
      </c>
      <c r="Y152" s="18" t="str">
        <f aca="false">IF($A153="","",IF(OR(M153&gt;=4,I153&lt;=-8%),MAX(0,B153*60%-C153),IF(AND(ISNUMBER(AD153),B153&gt;AD153),IF(B153&lt;30000,0,IF(B153&lt;100000,MAX(0,(B153-AD153)*0.2),MAX(0,(B153-AD153)*0.3))),0)))</f>
        <v/>
      </c>
      <c r="Z152" s="9"/>
      <c r="AA152" s="5" t="str">
        <f aca="false">IF($A153="","",IF($AA$2&lt;&gt;"",$AA$2,""))</f>
        <v/>
      </c>
      <c r="AB152" s="9" t="str">
        <f aca="false">IF($A153="","",IF(B153&lt;30000,0.03,IF(B153&lt;100000,0.02,0.015)))</f>
        <v/>
      </c>
      <c r="AC152" s="21" t="str">
        <f aca="false">IF($A153="","",IFERROR(DATEDIF($A$2,$A153,"m"),0))</f>
        <v/>
      </c>
      <c r="AD152" s="18" t="str">
        <f aca="false">IF($A153="","",IF(OR(AA153="",AB153="",AC153=""),"",AA153*POWER(1+AB153,AC153)))</f>
        <v/>
      </c>
      <c r="AE152" s="29" t="str">
        <f aca="false">IF($A153="","",IF(OR(AD153="",AD153=0),"",B153/AD153-1))</f>
        <v/>
      </c>
      <c r="AG152" s="1" t="str">
        <f aca="false">IF($A153="","",IF(B153&lt;30000,"婴儿",IF(B153&lt;100000,"成长","成熟")))</f>
        <v/>
      </c>
      <c r="AH152" s="24"/>
      <c r="AJ152" s="24"/>
      <c r="AK152" s="24"/>
      <c r="AM152" s="24"/>
      <c r="AP152" s="15"/>
      <c r="AQ152" s="25" t="str">
        <f aca="false">IF($A153="","",B153-$AA$2-SUM($F$2:F153))</f>
        <v/>
      </c>
      <c r="AR152" s="1" t="str">
        <f aca="false">IF($A152="","",30000)</f>
        <v/>
      </c>
      <c r="AS152" s="1" t="str">
        <f aca="false">IF($A152="","",AR152-B152)</f>
        <v/>
      </c>
      <c r="AT152" s="1" t="str">
        <f aca="false">IF($A152="","",IFERROR(B152/AR152,0))</f>
        <v/>
      </c>
      <c r="AU152" s="1" t="str">
        <f aca="false">IF($A152="","",IFERROR(B152*O152,0))</f>
        <v/>
      </c>
      <c r="AV152" s="1" t="str">
        <f aca="false">IF($A152="","",IFERROR(C152/B152,0))</f>
        <v/>
      </c>
      <c r="AW152" s="1" t="str">
        <f aca="false">IF($A152="","",MAX(0,R152-S152))</f>
        <v/>
      </c>
      <c r="AX152" s="1" t="str">
        <f aca="false">IF($A152="","",IF(AW152&gt;0,"优先降持仓数",IF(C152&lt;=0,"现金不足","允许评估")))</f>
        <v/>
      </c>
      <c r="AY152" s="1" t="str">
        <f aca="false">IF($A152="","",IF(B152&lt;30000,"婴儿阶段: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6"/>
      <c r="B153" s="17"/>
      <c r="C153" s="17"/>
      <c r="D153" s="18" t="str">
        <f aca="false">IF($A154="","",SUMIFS(持仓表!$J:$J,持仓表!$A:$A,$A154))</f>
        <v/>
      </c>
      <c r="E153" s="19" t="n">
        <f aca="false">IFERROR(D154/B154,0)</f>
        <v>0</v>
      </c>
      <c r="F153" s="17"/>
      <c r="G153" s="18" t="str">
        <f aca="false">IF($B154="","",MAX($B$2:B154))</f>
        <v/>
      </c>
      <c r="H153" s="19" t="n">
        <f aca="false">IFERROR((B154-F154)/F154,0)</f>
        <v>0</v>
      </c>
      <c r="I153" s="19" t="n">
        <f aca="false">IFERROR((B154-G154)/G154,0)</f>
        <v>0</v>
      </c>
      <c r="J153" s="6"/>
      <c r="K153" s="13"/>
      <c r="L153" s="20"/>
      <c r="M153" s="20"/>
      <c r="N153" s="19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53" s="19" t="str">
        <f aca="false">IF($B154="","",IF(B154&lt;30000,35%,IF(B154&lt;50000,30%,IF(B154&lt;100000,25%,20%))))</f>
        <v/>
      </c>
      <c r="P153" s="21" t="str">
        <f aca="false">IF($A154="","",COUNTIFS(持仓表!$A:$A,$A154,持仓表!$G:$G,"&gt;0"))</f>
        <v/>
      </c>
      <c r="Q153" s="21" t="str">
        <f aca="false">IF($A154="","",COUNTIFS(持仓表!$A:$A,$A154,持仓表!$D:$D,"是",持仓表!$G:$G,"&gt;0"))</f>
        <v/>
      </c>
      <c r="R153" s="21" t="str">
        <f aca="false">IF($A154="","",MAX(0,P154-Q154))</f>
        <v/>
      </c>
      <c r="S153" s="21" t="str">
        <f aca="false">IF($B154="","",IF(B154&lt;50000,3,IF(B154&lt;100000,4,5)))</f>
        <v/>
      </c>
      <c r="T153" s="5" t="str">
        <f aca="false">IF($A154="","",IF(OR(M154&gt;=4,I154&lt;=-8%),"防守",IF(OR(M154&gt;=2,I154&lt;=-5%),"警戒","正常")))</f>
        <v/>
      </c>
      <c r="U153" s="5" t="str">
        <f aca="false">IF($A154="","",IF(AND(L154&gt;=3,M154&lt;=2,T154&lt;&gt;"防守"),"是","否"))</f>
        <v/>
      </c>
      <c r="V153" s="5" t="str">
        <f aca="false">IF($A154="","",IF(AND(E154&lt;N154,R154&lt;S154,M154&lt;=2,I154&gt;-15%),"是","否"))</f>
        <v/>
      </c>
      <c r="W153" s="5" t="str">
        <f aca="false">IF($A154="","",IF(OR(M154&gt;=3,I154&lt;=-15%),"是","否"))</f>
        <v/>
      </c>
      <c r="X153" s="18" t="str">
        <f aca="false">IF($A154="","",IFERROR(maxifs(候选池!$AB:$AB,候选池!$A:$A,$A154),0))</f>
        <v/>
      </c>
      <c r="Y153" s="18" t="str">
        <f aca="false">IF($A154="","",IF(OR(M154&gt;=4,I154&lt;=-8%),MAX(0,B154*60%-C154),IF(AND(ISNUMBER(AD154),B154&gt;AD154),IF(B154&lt;30000,0,IF(B154&lt;100000,MAX(0,(B154-AD154)*0.2),MAX(0,(B154-AD154)*0.3))),0)))</f>
        <v/>
      </c>
      <c r="Z153" s="6"/>
      <c r="AA153" s="5" t="str">
        <f aca="false">IF($A154="","",IF($AA$2&lt;&gt;"",$AA$2,""))</f>
        <v/>
      </c>
      <c r="AB153" s="6" t="str">
        <f aca="false">IF($A154="","",IF(B154&lt;30000,0.03,IF(B154&lt;100000,0.02,0.015)))</f>
        <v/>
      </c>
      <c r="AC153" s="21" t="str">
        <f aca="false">IF($A154="","",IFERROR(DATEDIF($A$2,$A154,"m"),0))</f>
        <v/>
      </c>
      <c r="AD153" s="18" t="str">
        <f aca="false">IF($A154="","",IF(OR(AA154="",AB154="",AC154=""),"",AA154*POWER(1+AB154,AC154)))</f>
        <v/>
      </c>
      <c r="AE153" s="23" t="str">
        <f aca="false">IF($A154="","",IF(OR(AD154="",AD154=0),"",B154/AD154-1))</f>
        <v/>
      </c>
      <c r="AG153" s="1" t="str">
        <f aca="false">IF($A154="","",IF(B154&lt;30000,"婴儿",IF(B154&lt;100000,"成长","成熟")))</f>
        <v/>
      </c>
      <c r="AH153" s="24"/>
      <c r="AJ153" s="24"/>
      <c r="AK153" s="24"/>
      <c r="AM153" s="24"/>
      <c r="AP153" s="15"/>
      <c r="AQ153" s="25" t="str">
        <f aca="false">IF($A154="","",B154-$AA$2-SUM($F$2:F154))</f>
        <v/>
      </c>
      <c r="AR153" s="1" t="str">
        <f aca="false">IF($A153="","",30000)</f>
        <v/>
      </c>
      <c r="AS153" s="1" t="str">
        <f aca="false">IF($A153="","",AR153-B153)</f>
        <v/>
      </c>
      <c r="AT153" s="1" t="str">
        <f aca="false">IF($A153="","",IFERROR(B153/AR153,0))</f>
        <v/>
      </c>
      <c r="AU153" s="1" t="str">
        <f aca="false">IF($A153="","",IFERROR(B153*O153,0))</f>
        <v/>
      </c>
      <c r="AV153" s="1" t="str">
        <f aca="false">IF($A153="","",IFERROR(C153/B153,0))</f>
        <v/>
      </c>
      <c r="AW153" s="1" t="str">
        <f aca="false">IF($A153="","",MAX(0,R153-S153))</f>
        <v/>
      </c>
      <c r="AX153" s="1" t="str">
        <f aca="false">IF($A153="","",IF(AW153&gt;0,"优先降持仓数",IF(C153&lt;=0,"现金不足","允许评估")))</f>
        <v/>
      </c>
      <c r="AY153" s="1" t="str">
        <f aca="false">IF($A153="","",IF(B153&lt;30000,"婴儿阶段: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9"/>
      <c r="B154" s="26"/>
      <c r="C154" s="26"/>
      <c r="D154" s="18" t="str">
        <f aca="false">IF($A155="","",SUMIFS(持仓表!$J:$J,持仓表!$A:$A,$A155))</f>
        <v/>
      </c>
      <c r="E154" s="19" t="n">
        <f aca="false">IFERROR(D155/B155,0)</f>
        <v>0</v>
      </c>
      <c r="F154" s="26"/>
      <c r="G154" s="18" t="str">
        <f aca="false">IF($B155="","",MAX($B$2:B155))</f>
        <v/>
      </c>
      <c r="H154" s="19" t="n">
        <f aca="false">IFERROR((B155-F155)/F155,0)</f>
        <v>0</v>
      </c>
      <c r="I154" s="19" t="n">
        <f aca="false">IFERROR((B155-G155)/G155,0)</f>
        <v>0</v>
      </c>
      <c r="J154" s="9"/>
      <c r="K154" s="14"/>
      <c r="L154" s="27"/>
      <c r="M154" s="27"/>
      <c r="N154" s="19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4" s="19" t="str">
        <f aca="false">IF($B155="","",IF(B155&lt;30000,35%,IF(B155&lt;50000,30%,IF(B155&lt;100000,25%,20%))))</f>
        <v/>
      </c>
      <c r="P154" s="21" t="str">
        <f aca="false">IF($A155="","",COUNTIFS(持仓表!$A:$A,$A155,持仓表!$G:$G,"&gt;0"))</f>
        <v/>
      </c>
      <c r="Q154" s="21" t="str">
        <f aca="false">IF($A155="","",COUNTIFS(持仓表!$A:$A,$A155,持仓表!$D:$D,"是",持仓表!$G:$G,"&gt;0"))</f>
        <v/>
      </c>
      <c r="R154" s="21" t="str">
        <f aca="false">IF($A155="","",MAX(0,P155-Q155))</f>
        <v/>
      </c>
      <c r="S154" s="21" t="str">
        <f aca="false">IF($B155="","",IF(B155&lt;50000,3,IF(B155&lt;100000,4,5)))</f>
        <v/>
      </c>
      <c r="T154" s="5" t="str">
        <f aca="false">IF($A155="","",IF(OR(M155&gt;=4,I155&lt;=-8%),"防守",IF(OR(M155&gt;=2,I155&lt;=-5%),"警戒","正常")))</f>
        <v/>
      </c>
      <c r="U154" s="5" t="str">
        <f aca="false">IF($A155="","",IF(AND(L155&gt;=3,M155&lt;=2,T155&lt;&gt;"防守"),"是","否"))</f>
        <v/>
      </c>
      <c r="V154" s="5" t="str">
        <f aca="false">IF($A155="","",IF(AND(E155&lt;N155,R155&lt;S155,M155&lt;=2,I155&gt;-15%),"是","否"))</f>
        <v/>
      </c>
      <c r="W154" s="5" t="str">
        <f aca="false">IF($A155="","",IF(OR(M155&gt;=3,I155&lt;=-15%),"是","否"))</f>
        <v/>
      </c>
      <c r="X154" s="18" t="str">
        <f aca="false">IF($A155="","",IFERROR(maxifs(候选池!$AB:$AB,候选池!$A:$A,$A155),0))</f>
        <v/>
      </c>
      <c r="Y154" s="18" t="str">
        <f aca="false">IF($A155="","",IF(OR(M155&gt;=4,I155&lt;=-8%),MAX(0,B155*60%-C155),IF(AND(ISNUMBER(AD155),B155&gt;AD155),IF(B155&lt;30000,0,IF(B155&lt;100000,MAX(0,(B155-AD155)*0.2),MAX(0,(B155-AD155)*0.3))),0)))</f>
        <v/>
      </c>
      <c r="Z154" s="9"/>
      <c r="AA154" s="5" t="str">
        <f aca="false">IF($A155="","",IF($AA$2&lt;&gt;"",$AA$2,""))</f>
        <v/>
      </c>
      <c r="AB154" s="9" t="str">
        <f aca="false">IF($A155="","",IF(B155&lt;30000,0.03,IF(B155&lt;100000,0.02,0.015)))</f>
        <v/>
      </c>
      <c r="AC154" s="21" t="str">
        <f aca="false">IF($A155="","",IFERROR(DATEDIF($A$2,$A155,"m"),0))</f>
        <v/>
      </c>
      <c r="AD154" s="18" t="str">
        <f aca="false">IF($A155="","",IF(OR(AA155="",AB155="",AC155=""),"",AA155*POWER(1+AB155,AC155)))</f>
        <v/>
      </c>
      <c r="AE154" s="29" t="str">
        <f aca="false">IF($A155="","",IF(OR(AD155="",AD155=0),"",B155/AD155-1))</f>
        <v/>
      </c>
      <c r="AG154" s="1" t="str">
        <f aca="false">IF($A155="","",IF(B155&lt;30000,"婴儿",IF(B155&lt;100000,"成长","成熟")))</f>
        <v/>
      </c>
      <c r="AH154" s="24"/>
      <c r="AJ154" s="24"/>
      <c r="AK154" s="24"/>
      <c r="AM154" s="24"/>
      <c r="AP154" s="15"/>
      <c r="AQ154" s="25" t="str">
        <f aca="false">IF($A155="","",B155-$AA$2-SUM($F$2:F155))</f>
        <v/>
      </c>
      <c r="AR154" s="1" t="str">
        <f aca="false">IF($A154="","",30000)</f>
        <v/>
      </c>
      <c r="AS154" s="1" t="str">
        <f aca="false">IF($A154="","",AR154-B154)</f>
        <v/>
      </c>
      <c r="AT154" s="1" t="str">
        <f aca="false">IF($A154="","",IFERROR(B154/AR154,0))</f>
        <v/>
      </c>
      <c r="AU154" s="1" t="str">
        <f aca="false">IF($A154="","",IFERROR(B154*O154,0))</f>
        <v/>
      </c>
      <c r="AV154" s="1" t="str">
        <f aca="false">IF($A154="","",IFERROR(C154/B154,0))</f>
        <v/>
      </c>
      <c r="AW154" s="1" t="str">
        <f aca="false">IF($A154="","",MAX(0,R154-S154))</f>
        <v/>
      </c>
      <c r="AX154" s="1" t="str">
        <f aca="false">IF($A154="","",IF(AW154&gt;0,"优先降持仓数",IF(C154&lt;=0,"现金不足","允许评估")))</f>
        <v/>
      </c>
      <c r="AY154" s="1" t="str">
        <f aca="false">IF($A154="","",IF(B154&lt;30000,"婴儿阶段: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6"/>
      <c r="B155" s="17"/>
      <c r="C155" s="17"/>
      <c r="D155" s="18" t="str">
        <f aca="false">IF($A156="","",SUMIFS(持仓表!$J:$J,持仓表!$A:$A,$A156))</f>
        <v/>
      </c>
      <c r="E155" s="19" t="n">
        <f aca="false">IFERROR(D156/B156,0)</f>
        <v>0</v>
      </c>
      <c r="F155" s="17"/>
      <c r="G155" s="18" t="str">
        <f aca="false">IF($B156="","",MAX($B$2:B156))</f>
        <v/>
      </c>
      <c r="H155" s="19" t="n">
        <f aca="false">IFERROR((B156-F156)/F156,0)</f>
        <v>0</v>
      </c>
      <c r="I155" s="19" t="n">
        <f aca="false">IFERROR((B156-G156)/G156,0)</f>
        <v>0</v>
      </c>
      <c r="J155" s="6"/>
      <c r="K155" s="13"/>
      <c r="L155" s="20"/>
      <c r="M155" s="20"/>
      <c r="N155" s="19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5" s="19" t="str">
        <f aca="false">IF($B156="","",IF(B156&lt;30000,35%,IF(B156&lt;50000,30%,IF(B156&lt;100000,25%,20%))))</f>
        <v/>
      </c>
      <c r="P155" s="21" t="str">
        <f aca="false">IF($A156="","",COUNTIFS(持仓表!$A:$A,$A156,持仓表!$G:$G,"&gt;0"))</f>
        <v/>
      </c>
      <c r="Q155" s="21" t="str">
        <f aca="false">IF($A156="","",COUNTIFS(持仓表!$A:$A,$A156,持仓表!$D:$D,"是",持仓表!$G:$G,"&gt;0"))</f>
        <v/>
      </c>
      <c r="R155" s="21" t="str">
        <f aca="false">IF($A156="","",MAX(0,P156-Q156))</f>
        <v/>
      </c>
      <c r="S155" s="21" t="str">
        <f aca="false">IF($B156="","",IF(B156&lt;50000,3,IF(B156&lt;100000,4,5)))</f>
        <v/>
      </c>
      <c r="T155" s="5" t="str">
        <f aca="false">IF($A156="","",IF(OR(M156&gt;=4,I156&lt;=-8%),"防守",IF(OR(M156&gt;=2,I156&lt;=-5%),"警戒","正常")))</f>
        <v/>
      </c>
      <c r="U155" s="5" t="str">
        <f aca="false">IF($A156="","",IF(AND(L156&gt;=3,M156&lt;=2,T156&lt;&gt;"防守"),"是","否"))</f>
        <v/>
      </c>
      <c r="V155" s="5" t="str">
        <f aca="false">IF($A156="","",IF(AND(E156&lt;N156,R156&lt;S156,M156&lt;=2,I156&gt;-15%),"是","否"))</f>
        <v/>
      </c>
      <c r="W155" s="5" t="str">
        <f aca="false">IF($A156="","",IF(OR(M156&gt;=3,I156&lt;=-15%),"是","否"))</f>
        <v/>
      </c>
      <c r="X155" s="18" t="str">
        <f aca="false">IF($A156="","",IFERROR(maxifs(候选池!$AB:$AB,候选池!$A:$A,$A156),0))</f>
        <v/>
      </c>
      <c r="Y155" s="18" t="str">
        <f aca="false">IF($A156="","",IF(OR(M156&gt;=4,I156&lt;=-8%),MAX(0,B156*60%-C156),IF(AND(ISNUMBER(AD156),B156&gt;AD156),IF(B156&lt;30000,0,IF(B156&lt;100000,MAX(0,(B156-AD156)*0.2),MAX(0,(B156-AD156)*0.3))),0)))</f>
        <v/>
      </c>
      <c r="Z155" s="6"/>
      <c r="AA155" s="5" t="str">
        <f aca="false">IF($A156="","",IF($AA$2&lt;&gt;"",$AA$2,""))</f>
        <v/>
      </c>
      <c r="AB155" s="6" t="str">
        <f aca="false">IF($A156="","",IF(B156&lt;30000,0.03,IF(B156&lt;100000,0.02,0.015)))</f>
        <v/>
      </c>
      <c r="AC155" s="21" t="str">
        <f aca="false">IF($A156="","",IFERROR(DATEDIF($A$2,$A156,"m"),0))</f>
        <v/>
      </c>
      <c r="AD155" s="18" t="str">
        <f aca="false">IF($A156="","",IF(OR(AA156="",AB156="",AC156=""),"",AA156*POWER(1+AB156,AC156)))</f>
        <v/>
      </c>
      <c r="AE155" s="23" t="str">
        <f aca="false">IF($A156="","",IF(OR(AD156="",AD156=0),"",B156/AD156-1))</f>
        <v/>
      </c>
      <c r="AG155" s="1" t="str">
        <f aca="false">IF($A156="","",IF(B156&lt;30000,"婴儿",IF(B156&lt;100000,"成长","成熟")))</f>
        <v/>
      </c>
      <c r="AH155" s="24"/>
      <c r="AJ155" s="24"/>
      <c r="AK155" s="24"/>
      <c r="AM155" s="24"/>
      <c r="AP155" s="15"/>
      <c r="AQ155" s="25" t="str">
        <f aca="false">IF($A156="","",B156-$AA$2-SUM($F$2:F156))</f>
        <v/>
      </c>
      <c r="AR155" s="1" t="str">
        <f aca="false">IF($A155="","",30000)</f>
        <v/>
      </c>
      <c r="AS155" s="1" t="str">
        <f aca="false">IF($A155="","",AR155-B155)</f>
        <v/>
      </c>
      <c r="AT155" s="1" t="str">
        <f aca="false">IF($A155="","",IFERROR(B155/AR155,0))</f>
        <v/>
      </c>
      <c r="AU155" s="1" t="str">
        <f aca="false">IF($A155="","",IFERROR(B155*O155,0))</f>
        <v/>
      </c>
      <c r="AV155" s="1" t="str">
        <f aca="false">IF($A155="","",IFERROR(C155/B155,0))</f>
        <v/>
      </c>
      <c r="AW155" s="1" t="str">
        <f aca="false">IF($A155="","",MAX(0,R155-S155))</f>
        <v/>
      </c>
      <c r="AX155" s="1" t="str">
        <f aca="false">IF($A155="","",IF(AW155&gt;0,"优先降持仓数",IF(C155&lt;=0,"现金不足","允许评估")))</f>
        <v/>
      </c>
      <c r="AY155" s="1" t="str">
        <f aca="false">IF($A155="","",IF(B155&lt;30000,"婴儿阶段: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9"/>
      <c r="B156" s="26"/>
      <c r="C156" s="26"/>
      <c r="D156" s="18" t="str">
        <f aca="false">IF($A157="","",SUMIFS(持仓表!$J:$J,持仓表!$A:$A,$A157))</f>
        <v/>
      </c>
      <c r="E156" s="19" t="n">
        <f aca="false">IFERROR(D157/B157,0)</f>
        <v>0</v>
      </c>
      <c r="F156" s="26"/>
      <c r="G156" s="18" t="str">
        <f aca="false">IF($B157="","",MAX($B$2:B157))</f>
        <v/>
      </c>
      <c r="H156" s="19" t="n">
        <f aca="false">IFERROR((B157-F157)/F157,0)</f>
        <v>0</v>
      </c>
      <c r="I156" s="19" t="n">
        <f aca="false">IFERROR((B157-G157)/G157,0)</f>
        <v>0</v>
      </c>
      <c r="J156" s="9"/>
      <c r="K156" s="14"/>
      <c r="L156" s="27"/>
      <c r="M156" s="27"/>
      <c r="N156" s="19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6" s="19" t="str">
        <f aca="false">IF($B157="","",IF(B157&lt;30000,35%,IF(B157&lt;50000,30%,IF(B157&lt;100000,25%,20%))))</f>
        <v/>
      </c>
      <c r="P156" s="21" t="str">
        <f aca="false">IF($A157="","",COUNTIFS(持仓表!$A:$A,$A157,持仓表!$G:$G,"&gt;0"))</f>
        <v/>
      </c>
      <c r="Q156" s="21" t="str">
        <f aca="false">IF($A157="","",COUNTIFS(持仓表!$A:$A,$A157,持仓表!$D:$D,"是",持仓表!$G:$G,"&gt;0"))</f>
        <v/>
      </c>
      <c r="R156" s="21" t="str">
        <f aca="false">IF($A157="","",MAX(0,P157-Q157))</f>
        <v/>
      </c>
      <c r="S156" s="21" t="str">
        <f aca="false">IF($B157="","",IF(B157&lt;50000,3,IF(B157&lt;100000,4,5)))</f>
        <v/>
      </c>
      <c r="T156" s="5" t="str">
        <f aca="false">IF($A157="","",IF(OR(M157&gt;=4,I157&lt;=-8%),"防守",IF(OR(M157&gt;=2,I157&lt;=-5%),"警戒","正常")))</f>
        <v/>
      </c>
      <c r="U156" s="5" t="str">
        <f aca="false">IF($A157="","",IF(AND(L157&gt;=3,M157&lt;=2,T157&lt;&gt;"防守"),"是","否"))</f>
        <v/>
      </c>
      <c r="V156" s="5" t="str">
        <f aca="false">IF($A157="","",IF(AND(E157&lt;N157,R157&lt;S157,M157&lt;=2,I157&gt;-15%),"是","否"))</f>
        <v/>
      </c>
      <c r="W156" s="5" t="str">
        <f aca="false">IF($A157="","",IF(OR(M157&gt;=3,I157&lt;=-15%),"是","否"))</f>
        <v/>
      </c>
      <c r="X156" s="18" t="str">
        <f aca="false">IF($A157="","",IFERROR(maxifs(候选池!$AB:$AB,候选池!$A:$A,$A157),0))</f>
        <v/>
      </c>
      <c r="Y156" s="18" t="str">
        <f aca="false">IF($A157="","",IF(OR(M157&gt;=4,I157&lt;=-8%),MAX(0,B157*60%-C157),IF(AND(ISNUMBER(AD157),B157&gt;AD157),IF(B157&lt;30000,0,IF(B157&lt;100000,MAX(0,(B157-AD157)*0.2),MAX(0,(B157-AD157)*0.3))),0)))</f>
        <v/>
      </c>
      <c r="Z156" s="9"/>
      <c r="AA156" s="5" t="str">
        <f aca="false">IF($A157="","",IF($AA$2&lt;&gt;"",$AA$2,""))</f>
        <v/>
      </c>
      <c r="AB156" s="9" t="str">
        <f aca="false">IF($A157="","",IF(B157&lt;30000,0.03,IF(B157&lt;100000,0.02,0.015)))</f>
        <v/>
      </c>
      <c r="AC156" s="21" t="str">
        <f aca="false">IF($A157="","",IFERROR(DATEDIF($A$2,$A157,"m"),0))</f>
        <v/>
      </c>
      <c r="AD156" s="18" t="str">
        <f aca="false">IF($A157="","",IF(OR(AA157="",AB157="",AC157=""),"",AA157*POWER(1+AB157,AC157)))</f>
        <v/>
      </c>
      <c r="AE156" s="29" t="str">
        <f aca="false">IF($A157="","",IF(OR(AD157="",AD157=0),"",B157/AD157-1))</f>
        <v/>
      </c>
      <c r="AG156" s="1" t="str">
        <f aca="false">IF($A157="","",IF(B157&lt;30000,"婴儿",IF(B157&lt;100000,"成长","成熟")))</f>
        <v/>
      </c>
      <c r="AH156" s="24"/>
      <c r="AJ156" s="24"/>
      <c r="AK156" s="24"/>
      <c r="AM156" s="24"/>
      <c r="AP156" s="15"/>
      <c r="AQ156" s="25" t="str">
        <f aca="false">IF($A157="","",B157-$AA$2-SUM($F$2:F157))</f>
        <v/>
      </c>
      <c r="AR156" s="1" t="str">
        <f aca="false">IF($A156="","",30000)</f>
        <v/>
      </c>
      <c r="AS156" s="1" t="str">
        <f aca="false">IF($A156="","",AR156-B156)</f>
        <v/>
      </c>
      <c r="AT156" s="1" t="str">
        <f aca="false">IF($A156="","",IFERROR(B156/AR156,0))</f>
        <v/>
      </c>
      <c r="AU156" s="1" t="str">
        <f aca="false">IF($A156="","",IFERROR(B156*O156,0))</f>
        <v/>
      </c>
      <c r="AV156" s="1" t="str">
        <f aca="false">IF($A156="","",IFERROR(C156/B156,0))</f>
        <v/>
      </c>
      <c r="AW156" s="1" t="str">
        <f aca="false">IF($A156="","",MAX(0,R156-S156))</f>
        <v/>
      </c>
      <c r="AX156" s="1" t="str">
        <f aca="false">IF($A156="","",IF(AW156&gt;0,"优先降持仓数",IF(C156&lt;=0,"现金不足","允许评估")))</f>
        <v/>
      </c>
      <c r="AY156" s="1" t="str">
        <f aca="false">IF($A156="","",IF(B156&lt;30000,"婴儿阶段: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6"/>
      <c r="B157" s="17"/>
      <c r="C157" s="17"/>
      <c r="D157" s="18" t="str">
        <f aca="false">IF($A158="","",SUMIFS(持仓表!$J:$J,持仓表!$A:$A,$A158))</f>
        <v/>
      </c>
      <c r="E157" s="19" t="n">
        <f aca="false">IFERROR(D158/B158,0)</f>
        <v>0</v>
      </c>
      <c r="F157" s="17"/>
      <c r="G157" s="18" t="str">
        <f aca="false">IF($B158="","",MAX($B$2:B158))</f>
        <v/>
      </c>
      <c r="H157" s="19" t="n">
        <f aca="false">IFERROR((B158-F158)/F158,0)</f>
        <v>0</v>
      </c>
      <c r="I157" s="19" t="n">
        <f aca="false">IFERROR((B158-G158)/G158,0)</f>
        <v>0</v>
      </c>
      <c r="J157" s="6"/>
      <c r="K157" s="13"/>
      <c r="L157" s="20"/>
      <c r="M157" s="20"/>
      <c r="N157" s="19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7" s="19" t="str">
        <f aca="false">IF($B158="","",IF(B158&lt;30000,35%,IF(B158&lt;50000,30%,IF(B158&lt;100000,25%,20%))))</f>
        <v/>
      </c>
      <c r="P157" s="21" t="str">
        <f aca="false">IF($A158="","",COUNTIFS(持仓表!$A:$A,$A158,持仓表!$G:$G,"&gt;0"))</f>
        <v/>
      </c>
      <c r="Q157" s="21" t="str">
        <f aca="false">IF($A158="","",COUNTIFS(持仓表!$A:$A,$A158,持仓表!$D:$D,"是",持仓表!$G:$G,"&gt;0"))</f>
        <v/>
      </c>
      <c r="R157" s="21" t="str">
        <f aca="false">IF($A158="","",MAX(0,P158-Q158))</f>
        <v/>
      </c>
      <c r="S157" s="21" t="str">
        <f aca="false">IF($B158="","",IF(B158&lt;50000,3,IF(B158&lt;100000,4,5)))</f>
        <v/>
      </c>
      <c r="T157" s="5" t="str">
        <f aca="false">IF($A158="","",IF(OR(M158&gt;=4,I158&lt;=-8%),"防守",IF(OR(M158&gt;=2,I158&lt;=-5%),"警戒","正常")))</f>
        <v/>
      </c>
      <c r="U157" s="5" t="str">
        <f aca="false">IF($A158="","",IF(AND(L158&gt;=3,M158&lt;=2,T158&lt;&gt;"防守"),"是","否"))</f>
        <v/>
      </c>
      <c r="V157" s="5" t="str">
        <f aca="false">IF($A158="","",IF(AND(E158&lt;N158,R158&lt;S158,M158&lt;=2,I158&gt;-15%),"是","否"))</f>
        <v/>
      </c>
      <c r="W157" s="5" t="str">
        <f aca="false">IF($A158="","",IF(OR(M158&gt;=3,I158&lt;=-15%),"是","否"))</f>
        <v/>
      </c>
      <c r="X157" s="18" t="str">
        <f aca="false">IF($A158="","",IFERROR(maxifs(候选池!$AB:$AB,候选池!$A:$A,$A158),0))</f>
        <v/>
      </c>
      <c r="Y157" s="18" t="str">
        <f aca="false">IF($A158="","",IF(OR(M158&gt;=4,I158&lt;=-8%),MAX(0,B158*60%-C158),IF(AND(ISNUMBER(AD158),B158&gt;AD158),IF(B158&lt;30000,0,IF(B158&lt;100000,MAX(0,(B158-AD158)*0.2),MAX(0,(B158-AD158)*0.3))),0)))</f>
        <v/>
      </c>
      <c r="Z157" s="6"/>
      <c r="AA157" s="5" t="str">
        <f aca="false">IF($A158="","",IF($AA$2&lt;&gt;"",$AA$2,""))</f>
        <v/>
      </c>
      <c r="AB157" s="6" t="str">
        <f aca="false">IF($A158="","",IF(B158&lt;30000,0.03,IF(B158&lt;100000,0.02,0.015)))</f>
        <v/>
      </c>
      <c r="AC157" s="21" t="str">
        <f aca="false">IF($A158="","",IFERROR(DATEDIF($A$2,$A158,"m"),0))</f>
        <v/>
      </c>
      <c r="AD157" s="18" t="str">
        <f aca="false">IF($A158="","",IF(OR(AA158="",AB158="",AC158=""),"",AA158*POWER(1+AB158,AC158)))</f>
        <v/>
      </c>
      <c r="AE157" s="23" t="str">
        <f aca="false">IF($A158="","",IF(OR(AD158="",AD158=0),"",B158/AD158-1))</f>
        <v/>
      </c>
      <c r="AG157" s="1" t="str">
        <f aca="false">IF($A158="","",IF(B158&lt;30000,"婴儿",IF(B158&lt;100000,"成长","成熟")))</f>
        <v/>
      </c>
      <c r="AH157" s="24"/>
      <c r="AJ157" s="24"/>
      <c r="AK157" s="24"/>
      <c r="AM157" s="24"/>
      <c r="AP157" s="15"/>
      <c r="AQ157" s="25" t="str">
        <f aca="false">IF($A158="","",B158-$AA$2-SUM($F$2:F158))</f>
        <v/>
      </c>
      <c r="AR157" s="1" t="str">
        <f aca="false">IF($A157="","",30000)</f>
        <v/>
      </c>
      <c r="AS157" s="1" t="str">
        <f aca="false">IF($A157="","",AR157-B157)</f>
        <v/>
      </c>
      <c r="AT157" s="1" t="str">
        <f aca="false">IF($A157="","",IFERROR(B157/AR157,0))</f>
        <v/>
      </c>
      <c r="AU157" s="1" t="str">
        <f aca="false">IF($A157="","",IFERROR(B157*O157,0))</f>
        <v/>
      </c>
      <c r="AV157" s="1" t="str">
        <f aca="false">IF($A157="","",IFERROR(C157/B157,0))</f>
        <v/>
      </c>
      <c r="AW157" s="1" t="str">
        <f aca="false">IF($A157="","",MAX(0,R157-S157))</f>
        <v/>
      </c>
      <c r="AX157" s="1" t="str">
        <f aca="false">IF($A157="","",IF(AW157&gt;0,"优先降持仓数",IF(C157&lt;=0,"现金不足","允许评估")))</f>
        <v/>
      </c>
      <c r="AY157" s="1" t="str">
        <f aca="false">IF($A157="","",IF(B157&lt;30000,"婴儿阶段: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9"/>
      <c r="B158" s="26"/>
      <c r="C158" s="26"/>
      <c r="D158" s="18" t="str">
        <f aca="false">IF($A159="","",SUMIFS(持仓表!$J:$J,持仓表!$A:$A,$A159))</f>
        <v/>
      </c>
      <c r="E158" s="19" t="n">
        <f aca="false">IFERROR(D159/B159,0)</f>
        <v>0</v>
      </c>
      <c r="F158" s="26"/>
      <c r="G158" s="18" t="str">
        <f aca="false">IF($B159="","",MAX($B$2:B159))</f>
        <v/>
      </c>
      <c r="H158" s="19" t="n">
        <f aca="false">IFERROR((B159-F159)/F159,0)</f>
        <v>0</v>
      </c>
      <c r="I158" s="19" t="n">
        <f aca="false">IFERROR((B159-G159)/G159,0)</f>
        <v>0</v>
      </c>
      <c r="J158" s="9"/>
      <c r="K158" s="14"/>
      <c r="L158" s="27"/>
      <c r="M158" s="27"/>
      <c r="N158" s="19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8" s="19" t="str">
        <f aca="false">IF($B159="","",IF(B159&lt;30000,35%,IF(B159&lt;50000,30%,IF(B159&lt;100000,25%,20%))))</f>
        <v/>
      </c>
      <c r="P158" s="21" t="str">
        <f aca="false">IF($A159="","",COUNTIFS(持仓表!$A:$A,$A159,持仓表!$G:$G,"&gt;0"))</f>
        <v/>
      </c>
      <c r="Q158" s="21" t="str">
        <f aca="false">IF($A159="","",COUNTIFS(持仓表!$A:$A,$A159,持仓表!$D:$D,"是",持仓表!$G:$G,"&gt;0"))</f>
        <v/>
      </c>
      <c r="R158" s="21" t="str">
        <f aca="false">IF($A159="","",MAX(0,P159-Q159))</f>
        <v/>
      </c>
      <c r="S158" s="21" t="str">
        <f aca="false">IF($B159="","",IF(B159&lt;50000,3,IF(B159&lt;100000,4,5)))</f>
        <v/>
      </c>
      <c r="T158" s="5" t="str">
        <f aca="false">IF($A159="","",IF(OR(M159&gt;=4,I159&lt;=-8%),"防守",IF(OR(M159&gt;=2,I159&lt;=-5%),"警戒","正常")))</f>
        <v/>
      </c>
      <c r="U158" s="5" t="str">
        <f aca="false">IF($A159="","",IF(AND(L159&gt;=3,M159&lt;=2,T159&lt;&gt;"防守"),"是","否"))</f>
        <v/>
      </c>
      <c r="V158" s="5" t="str">
        <f aca="false">IF($A159="","",IF(AND(E159&lt;N159,R159&lt;S159,M159&lt;=2,I159&gt;-15%),"是","否"))</f>
        <v/>
      </c>
      <c r="W158" s="5" t="str">
        <f aca="false">IF($A159="","",IF(OR(M159&gt;=3,I159&lt;=-15%),"是","否"))</f>
        <v/>
      </c>
      <c r="X158" s="18" t="str">
        <f aca="false">IF($A159="","",IFERROR(maxifs(候选池!$AB:$AB,候选池!$A:$A,$A159),0))</f>
        <v/>
      </c>
      <c r="Y158" s="18" t="str">
        <f aca="false">IF($A159="","",IF(OR(M159&gt;=4,I159&lt;=-8%),MAX(0,B159*60%-C159),IF(AND(ISNUMBER(AD159),B159&gt;AD159),IF(B159&lt;30000,0,IF(B159&lt;100000,MAX(0,(B159-AD159)*0.2),MAX(0,(B159-AD159)*0.3))),0)))</f>
        <v/>
      </c>
      <c r="Z158" s="9"/>
      <c r="AA158" s="5" t="str">
        <f aca="false">IF($A159="","",IF($AA$2&lt;&gt;"",$AA$2,""))</f>
        <v/>
      </c>
      <c r="AB158" s="9" t="str">
        <f aca="false">IF($A159="","",IF(B159&lt;30000,0.03,IF(B159&lt;100000,0.02,0.015)))</f>
        <v/>
      </c>
      <c r="AC158" s="21" t="str">
        <f aca="false">IF($A159="","",IFERROR(DATEDIF($A$2,$A159,"m"),0))</f>
        <v/>
      </c>
      <c r="AD158" s="18" t="str">
        <f aca="false">IF($A159="","",IF(OR(AA159="",AB159="",AC159=""),"",AA159*POWER(1+AB159,AC159)))</f>
        <v/>
      </c>
      <c r="AE158" s="29" t="str">
        <f aca="false">IF($A159="","",IF(OR(AD159="",AD159=0),"",B159/AD159-1))</f>
        <v/>
      </c>
      <c r="AG158" s="1" t="str">
        <f aca="false">IF($A159="","",IF(B159&lt;30000,"婴儿",IF(B159&lt;100000,"成长","成熟")))</f>
        <v/>
      </c>
      <c r="AH158" s="24"/>
      <c r="AJ158" s="24"/>
      <c r="AK158" s="24"/>
      <c r="AM158" s="24"/>
      <c r="AP158" s="15"/>
      <c r="AQ158" s="25" t="str">
        <f aca="false">IF($A159="","",B159-$AA$2-SUM($F$2:F159))</f>
        <v/>
      </c>
      <c r="AR158" s="1" t="str">
        <f aca="false">IF($A158="","",30000)</f>
        <v/>
      </c>
      <c r="AS158" s="1" t="str">
        <f aca="false">IF($A158="","",AR158-B158)</f>
        <v/>
      </c>
      <c r="AT158" s="1" t="str">
        <f aca="false">IF($A158="","",IFERROR(B158/AR158,0))</f>
        <v/>
      </c>
      <c r="AU158" s="1" t="str">
        <f aca="false">IF($A158="","",IFERROR(B158*O158,0))</f>
        <v/>
      </c>
      <c r="AV158" s="1" t="str">
        <f aca="false">IF($A158="","",IFERROR(C158/B158,0))</f>
        <v/>
      </c>
      <c r="AW158" s="1" t="str">
        <f aca="false">IF($A158="","",MAX(0,R158-S158))</f>
        <v/>
      </c>
      <c r="AX158" s="1" t="str">
        <f aca="false">IF($A158="","",IF(AW158&gt;0,"优先降持仓数",IF(C158&lt;=0,"现金不足","允许评估")))</f>
        <v/>
      </c>
      <c r="AY158" s="1" t="str">
        <f aca="false">IF($A158="","",IF(B158&lt;30000,"婴儿阶段: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6"/>
      <c r="B159" s="17"/>
      <c r="C159" s="17"/>
      <c r="D159" s="18" t="str">
        <f aca="false">IF($A160="","",SUMIFS(持仓表!$J:$J,持仓表!$A:$A,$A160))</f>
        <v/>
      </c>
      <c r="E159" s="19" t="n">
        <f aca="false">IFERROR(D160/B160,0)</f>
        <v>0</v>
      </c>
      <c r="F159" s="17"/>
      <c r="G159" s="18" t="str">
        <f aca="false">IF($B160="","",MAX($B$2:B160))</f>
        <v/>
      </c>
      <c r="H159" s="19" t="n">
        <f aca="false">IFERROR((B160-F160)/F160,0)</f>
        <v>0</v>
      </c>
      <c r="I159" s="19" t="n">
        <f aca="false">IFERROR((B160-G160)/G160,0)</f>
        <v>0</v>
      </c>
      <c r="J159" s="6"/>
      <c r="K159" s="13"/>
      <c r="L159" s="20"/>
      <c r="M159" s="20"/>
      <c r="N159" s="19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9" s="19" t="str">
        <f aca="false">IF($B160="","",IF(B160&lt;30000,35%,IF(B160&lt;50000,30%,IF(B160&lt;100000,25%,20%))))</f>
        <v/>
      </c>
      <c r="P159" s="21" t="str">
        <f aca="false">IF($A160="","",COUNTIFS(持仓表!$A:$A,$A160,持仓表!$G:$G,"&gt;0"))</f>
        <v/>
      </c>
      <c r="Q159" s="21" t="str">
        <f aca="false">IF($A160="","",COUNTIFS(持仓表!$A:$A,$A160,持仓表!$D:$D,"是",持仓表!$G:$G,"&gt;0"))</f>
        <v/>
      </c>
      <c r="R159" s="21" t="str">
        <f aca="false">IF($A160="","",MAX(0,P160-Q160))</f>
        <v/>
      </c>
      <c r="S159" s="21" t="str">
        <f aca="false">IF($B160="","",IF(B160&lt;50000,3,IF(B160&lt;100000,4,5)))</f>
        <v/>
      </c>
      <c r="T159" s="5" t="str">
        <f aca="false">IF($A160="","",IF(OR(M160&gt;=4,I160&lt;=-8%),"防守",IF(OR(M160&gt;=2,I160&lt;=-5%),"警戒","正常")))</f>
        <v/>
      </c>
      <c r="U159" s="5" t="str">
        <f aca="false">IF($A160="","",IF(AND(L160&gt;=3,M160&lt;=2,T160&lt;&gt;"防守"),"是","否"))</f>
        <v/>
      </c>
      <c r="V159" s="5" t="str">
        <f aca="false">IF($A160="","",IF(AND(E160&lt;N160,R160&lt;S160,M160&lt;=2,I160&gt;-15%),"是","否"))</f>
        <v/>
      </c>
      <c r="W159" s="5" t="str">
        <f aca="false">IF($A160="","",IF(OR(M160&gt;=3,I160&lt;=-15%),"是","否"))</f>
        <v/>
      </c>
      <c r="X159" s="18" t="str">
        <f aca="false">IF($A160="","",IFERROR(maxifs(候选池!$AB:$AB,候选池!$A:$A,$A160),0))</f>
        <v/>
      </c>
      <c r="Y159" s="18" t="str">
        <f aca="false">IF($A160="","",IF(OR(M160&gt;=4,I160&lt;=-8%),MAX(0,B160*60%-C160),IF(AND(ISNUMBER(AD160),B160&gt;AD160),IF(B160&lt;30000,0,IF(B160&lt;100000,MAX(0,(B160-AD160)*0.2),MAX(0,(B160-AD160)*0.3))),0)))</f>
        <v/>
      </c>
      <c r="Z159" s="6"/>
      <c r="AA159" s="5" t="str">
        <f aca="false">IF($A160="","",IF($AA$2&lt;&gt;"",$AA$2,""))</f>
        <v/>
      </c>
      <c r="AB159" s="6" t="str">
        <f aca="false">IF($A160="","",IF(B160&lt;30000,0.03,IF(B160&lt;100000,0.02,0.015)))</f>
        <v/>
      </c>
      <c r="AC159" s="21" t="str">
        <f aca="false">IF($A160="","",IFERROR(DATEDIF($A$2,$A160,"m"),0))</f>
        <v/>
      </c>
      <c r="AD159" s="18" t="str">
        <f aca="false">IF($A160="","",IF(OR(AA160="",AB160="",AC160=""),"",AA160*POWER(1+AB160,AC160)))</f>
        <v/>
      </c>
      <c r="AE159" s="23" t="str">
        <f aca="false">IF($A160="","",IF(OR(AD160="",AD160=0),"",B160/AD160-1))</f>
        <v/>
      </c>
      <c r="AG159" s="1" t="str">
        <f aca="false">IF($A160="","",IF(B160&lt;30000,"婴儿",IF(B160&lt;100000,"成长","成熟")))</f>
        <v/>
      </c>
      <c r="AH159" s="24"/>
      <c r="AJ159" s="24"/>
      <c r="AK159" s="24"/>
      <c r="AM159" s="24"/>
      <c r="AP159" s="15"/>
      <c r="AQ159" s="25" t="str">
        <f aca="false">IF($A160="","",B160-$AA$2-SUM($F$2:F160))</f>
        <v/>
      </c>
      <c r="AR159" s="1" t="str">
        <f aca="false">IF($A159="","",30000)</f>
        <v/>
      </c>
      <c r="AS159" s="1" t="str">
        <f aca="false">IF($A159="","",AR159-B159)</f>
        <v/>
      </c>
      <c r="AT159" s="1" t="str">
        <f aca="false">IF($A159="","",IFERROR(B159/AR159,0))</f>
        <v/>
      </c>
      <c r="AU159" s="1" t="str">
        <f aca="false">IF($A159="","",IFERROR(B159*O159,0))</f>
        <v/>
      </c>
      <c r="AV159" s="1" t="str">
        <f aca="false">IF($A159="","",IFERROR(C159/B159,0))</f>
        <v/>
      </c>
      <c r="AW159" s="1" t="str">
        <f aca="false">IF($A159="","",MAX(0,R159-S159))</f>
        <v/>
      </c>
      <c r="AX159" s="1" t="str">
        <f aca="false">IF($A159="","",IF(AW159&gt;0,"优先降持仓数",IF(C159&lt;=0,"现金不足","允许评估")))</f>
        <v/>
      </c>
      <c r="AY159" s="1" t="str">
        <f aca="false">IF($A159="","",IF(B159&lt;30000,"婴儿阶段: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9"/>
      <c r="B160" s="26"/>
      <c r="C160" s="26"/>
      <c r="D160" s="18" t="str">
        <f aca="false">IF($A161="","",SUMIFS(持仓表!$J:$J,持仓表!$A:$A,$A161))</f>
        <v/>
      </c>
      <c r="E160" s="19" t="n">
        <f aca="false">IFERROR(D161/B161,0)</f>
        <v>0</v>
      </c>
      <c r="F160" s="26"/>
      <c r="G160" s="18" t="str">
        <f aca="false">IF($B161="","",MAX($B$2:B161))</f>
        <v/>
      </c>
      <c r="H160" s="19" t="n">
        <f aca="false">IFERROR((B161-F161)/F161,0)</f>
        <v>0</v>
      </c>
      <c r="I160" s="19" t="n">
        <f aca="false">IFERROR((B161-G161)/G161,0)</f>
        <v>0</v>
      </c>
      <c r="J160" s="9"/>
      <c r="K160" s="14"/>
      <c r="L160" s="27"/>
      <c r="M160" s="27"/>
      <c r="N160" s="19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60" s="19" t="str">
        <f aca="false">IF($B161="","",IF(B161&lt;30000,35%,IF(B161&lt;50000,30%,IF(B161&lt;100000,25%,20%))))</f>
        <v/>
      </c>
      <c r="P160" s="21" t="str">
        <f aca="false">IF($A161="","",COUNTIFS(持仓表!$A:$A,$A161,持仓表!$G:$G,"&gt;0"))</f>
        <v/>
      </c>
      <c r="Q160" s="21" t="str">
        <f aca="false">IF($A161="","",COUNTIFS(持仓表!$A:$A,$A161,持仓表!$D:$D,"是",持仓表!$G:$G,"&gt;0"))</f>
        <v/>
      </c>
      <c r="R160" s="21" t="str">
        <f aca="false">IF($A161="","",MAX(0,P161-Q161))</f>
        <v/>
      </c>
      <c r="S160" s="21" t="str">
        <f aca="false">IF($B161="","",IF(B161&lt;50000,3,IF(B161&lt;100000,4,5)))</f>
        <v/>
      </c>
      <c r="T160" s="5" t="str">
        <f aca="false">IF($A161="","",IF(OR(M161&gt;=4,I161&lt;=-8%),"防守",IF(OR(M161&gt;=2,I161&lt;=-5%),"警戒","正常")))</f>
        <v/>
      </c>
      <c r="U160" s="5" t="str">
        <f aca="false">IF($A161="","",IF(AND(L161&gt;=3,M161&lt;=2,T161&lt;&gt;"防守"),"是","否"))</f>
        <v/>
      </c>
      <c r="V160" s="5" t="str">
        <f aca="false">IF($A161="","",IF(AND(E161&lt;N161,R161&lt;S161,M161&lt;=2,I161&gt;-15%),"是","否"))</f>
        <v/>
      </c>
      <c r="W160" s="5" t="str">
        <f aca="false">IF($A161="","",IF(OR(M161&gt;=3,I161&lt;=-15%),"是","否"))</f>
        <v/>
      </c>
      <c r="X160" s="18" t="str">
        <f aca="false">IF($A161="","",IFERROR(maxifs(候选池!$AB:$AB,候选池!$A:$A,$A161),0))</f>
        <v/>
      </c>
      <c r="Y160" s="18" t="str">
        <f aca="false">IF($A161="","",IF(OR(M161&gt;=4,I161&lt;=-8%),MAX(0,B161*60%-C161),IF(AND(ISNUMBER(AD161),B161&gt;AD161),IF(B161&lt;30000,0,IF(B161&lt;100000,MAX(0,(B161-AD161)*0.2),MAX(0,(B161-AD161)*0.3))),0)))</f>
        <v/>
      </c>
      <c r="Z160" s="9"/>
      <c r="AA160" s="5" t="str">
        <f aca="false">IF($A161="","",IF($AA$2&lt;&gt;"",$AA$2,""))</f>
        <v/>
      </c>
      <c r="AB160" s="9" t="str">
        <f aca="false">IF($A161="","",IF(B161&lt;30000,0.03,IF(B161&lt;100000,0.02,0.015)))</f>
        <v/>
      </c>
      <c r="AC160" s="21" t="str">
        <f aca="false">IF($A161="","",IFERROR(DATEDIF($A$2,$A161,"m"),0))</f>
        <v/>
      </c>
      <c r="AD160" s="18" t="str">
        <f aca="false">IF($A161="","",IF(OR(AA161="",AB161="",AC161=""),"",AA161*POWER(1+AB161,AC161)))</f>
        <v/>
      </c>
      <c r="AE160" s="29" t="str">
        <f aca="false">IF($A161="","",IF(OR(AD161="",AD161=0),"",B161/AD161-1))</f>
        <v/>
      </c>
      <c r="AG160" s="1" t="str">
        <f aca="false">IF($A161="","",IF(B161&lt;30000,"婴儿",IF(B161&lt;100000,"成长","成熟")))</f>
        <v/>
      </c>
      <c r="AH160" s="24"/>
      <c r="AJ160" s="24"/>
      <c r="AK160" s="24"/>
      <c r="AM160" s="24"/>
      <c r="AP160" s="15"/>
      <c r="AQ160" s="25" t="str">
        <f aca="false">IF($A161="","",B161-$AA$2-SUM($F$2:F161))</f>
        <v/>
      </c>
      <c r="AR160" s="1" t="str">
        <f aca="false">IF($A160="","",30000)</f>
        <v/>
      </c>
      <c r="AS160" s="1" t="str">
        <f aca="false">IF($A160="","",AR160-B160)</f>
        <v/>
      </c>
      <c r="AT160" s="1" t="str">
        <f aca="false">IF($A160="","",IFERROR(B160/AR160,0))</f>
        <v/>
      </c>
      <c r="AU160" s="1" t="str">
        <f aca="false">IF($A160="","",IFERROR(B160*O160,0))</f>
        <v/>
      </c>
      <c r="AV160" s="1" t="str">
        <f aca="false">IF($A160="","",IFERROR(C160/B160,0))</f>
        <v/>
      </c>
      <c r="AW160" s="1" t="str">
        <f aca="false">IF($A160="","",MAX(0,R160-S160))</f>
        <v/>
      </c>
      <c r="AX160" s="1" t="str">
        <f aca="false">IF($A160="","",IF(AW160&gt;0,"优先降持仓数",IF(C160&lt;=0,"现金不足","允许评估")))</f>
        <v/>
      </c>
      <c r="AY160" s="1" t="str">
        <f aca="false">IF($A160="","",IF(B160&lt;30000,"婴儿阶段: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6"/>
      <c r="B161" s="17"/>
      <c r="C161" s="17"/>
      <c r="D161" s="18" t="str">
        <f aca="false">IF($A162="","",SUMIFS(持仓表!$J:$J,持仓表!$A:$A,$A162))</f>
        <v/>
      </c>
      <c r="E161" s="19" t="n">
        <f aca="false">IFERROR(D162/B162,0)</f>
        <v>0</v>
      </c>
      <c r="F161" s="17"/>
      <c r="G161" s="18" t="str">
        <f aca="false">IF($B162="","",MAX($B$2:B162))</f>
        <v/>
      </c>
      <c r="H161" s="19" t="n">
        <f aca="false">IFERROR((B162-F162)/F162,0)</f>
        <v>0</v>
      </c>
      <c r="I161" s="19" t="n">
        <f aca="false">IFERROR((B162-G162)/G162,0)</f>
        <v>0</v>
      </c>
      <c r="J161" s="6"/>
      <c r="K161" s="13"/>
      <c r="L161" s="20"/>
      <c r="M161" s="20"/>
      <c r="N161" s="19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61" s="19" t="str">
        <f aca="false">IF($B162="","",IF(B162&lt;30000,35%,IF(B162&lt;50000,30%,IF(B162&lt;100000,25%,20%))))</f>
        <v/>
      </c>
      <c r="P161" s="21" t="str">
        <f aca="false">IF($A162="","",COUNTIFS(持仓表!$A:$A,$A162,持仓表!$G:$G,"&gt;0"))</f>
        <v/>
      </c>
      <c r="Q161" s="21" t="str">
        <f aca="false">IF($A162="","",COUNTIFS(持仓表!$A:$A,$A162,持仓表!$D:$D,"是",持仓表!$G:$G,"&gt;0"))</f>
        <v/>
      </c>
      <c r="R161" s="21" t="str">
        <f aca="false">IF($A162="","",MAX(0,P162-Q162))</f>
        <v/>
      </c>
      <c r="S161" s="21" t="str">
        <f aca="false">IF($B162="","",IF(B162&lt;50000,3,IF(B162&lt;100000,4,5)))</f>
        <v/>
      </c>
      <c r="T161" s="5" t="str">
        <f aca="false">IF($A162="","",IF(OR(M162&gt;=4,I162&lt;=-8%),"防守",IF(OR(M162&gt;=2,I162&lt;=-5%),"警戒","正常")))</f>
        <v/>
      </c>
      <c r="U161" s="5" t="str">
        <f aca="false">IF($A162="","",IF(AND(L162&gt;=3,M162&lt;=2,T162&lt;&gt;"防守"),"是","否"))</f>
        <v/>
      </c>
      <c r="V161" s="5" t="str">
        <f aca="false">IF($A162="","",IF(AND(E162&lt;N162,R162&lt;S162,M162&lt;=2,I162&gt;-15%),"是","否"))</f>
        <v/>
      </c>
      <c r="W161" s="5" t="str">
        <f aca="false">IF($A162="","",IF(OR(M162&gt;=3,I162&lt;=-15%),"是","否"))</f>
        <v/>
      </c>
      <c r="X161" s="18" t="str">
        <f aca="false">IF($A162="","",IFERROR(maxifs(候选池!$AB:$AB,候选池!$A:$A,$A162),0))</f>
        <v/>
      </c>
      <c r="Y161" s="18" t="str">
        <f aca="false">IF($A162="","",IF(OR(M162&gt;=4,I162&lt;=-8%),MAX(0,B162*60%-C162),IF(AND(ISNUMBER(AD162),B162&gt;AD162),IF(B162&lt;30000,0,IF(B162&lt;100000,MAX(0,(B162-AD162)*0.2),MAX(0,(B162-AD162)*0.3))),0)))</f>
        <v/>
      </c>
      <c r="Z161" s="6"/>
      <c r="AA161" s="5" t="str">
        <f aca="false">IF($A162="","",IF($AA$2&lt;&gt;"",$AA$2,""))</f>
        <v/>
      </c>
      <c r="AB161" s="6" t="str">
        <f aca="false">IF($A162="","",IF(B162&lt;30000,0.03,IF(B162&lt;100000,0.02,0.015)))</f>
        <v/>
      </c>
      <c r="AC161" s="21" t="str">
        <f aca="false">IF($A162="","",IFERROR(DATEDIF($A$2,$A162,"m"),0))</f>
        <v/>
      </c>
      <c r="AD161" s="18" t="str">
        <f aca="false">IF($A162="","",IF(OR(AA162="",AB162="",AC162=""),"",AA162*POWER(1+AB162,AC162)))</f>
        <v/>
      </c>
      <c r="AE161" s="23" t="str">
        <f aca="false">IF($A162="","",IF(OR(AD162="",AD162=0),"",B162/AD162-1))</f>
        <v/>
      </c>
      <c r="AG161" s="1" t="str">
        <f aca="false">IF($A162="","",IF(B162&lt;30000,"婴儿",IF(B162&lt;100000,"成长","成熟")))</f>
        <v/>
      </c>
      <c r="AH161" s="24"/>
      <c r="AJ161" s="24"/>
      <c r="AK161" s="24"/>
      <c r="AM161" s="24"/>
      <c r="AP161" s="15"/>
      <c r="AQ161" s="25" t="str">
        <f aca="false">IF($A162="","",B162-$AA$2-SUM($F$2:F162))</f>
        <v/>
      </c>
      <c r="AR161" s="1" t="str">
        <f aca="false">IF($A161="","",30000)</f>
        <v/>
      </c>
      <c r="AS161" s="1" t="str">
        <f aca="false">IF($A161="","",AR161-B161)</f>
        <v/>
      </c>
      <c r="AT161" s="1" t="str">
        <f aca="false">IF($A161="","",IFERROR(B161/AR161,0))</f>
        <v/>
      </c>
      <c r="AU161" s="1" t="str">
        <f aca="false">IF($A161="","",IFERROR(B161*O161,0))</f>
        <v/>
      </c>
      <c r="AV161" s="1" t="str">
        <f aca="false">IF($A161="","",IFERROR(C161/B161,0))</f>
        <v/>
      </c>
      <c r="AW161" s="1" t="str">
        <f aca="false">IF($A161="","",MAX(0,R161-S161))</f>
        <v/>
      </c>
      <c r="AX161" s="1" t="str">
        <f aca="false">IF($A161="","",IF(AW161&gt;0,"优先降持仓数",IF(C161&lt;=0,"现金不足","允许评估")))</f>
        <v/>
      </c>
      <c r="AY161" s="1" t="str">
        <f aca="false">IF($A161="","",IF(B161&lt;30000,"婴儿阶段: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9"/>
      <c r="B162" s="26"/>
      <c r="C162" s="26"/>
      <c r="D162" s="18" t="str">
        <f aca="false">IF($A163="","",SUMIFS(持仓表!$J:$J,持仓表!$A:$A,$A163))</f>
        <v/>
      </c>
      <c r="E162" s="19" t="n">
        <f aca="false">IFERROR(D163/B163,0)</f>
        <v>0</v>
      </c>
      <c r="F162" s="26"/>
      <c r="G162" s="18" t="str">
        <f aca="false">IF($B163="","",MAX($B$2:B163))</f>
        <v/>
      </c>
      <c r="H162" s="19" t="n">
        <f aca="false">IFERROR((B163-F163)/F163,0)</f>
        <v>0</v>
      </c>
      <c r="I162" s="19" t="n">
        <f aca="false">IFERROR((B163-G163)/G163,0)</f>
        <v>0</v>
      </c>
      <c r="J162" s="9"/>
      <c r="K162" s="14"/>
      <c r="L162" s="27"/>
      <c r="M162" s="27"/>
      <c r="N162" s="19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62" s="19" t="str">
        <f aca="false">IF($B163="","",IF(B163&lt;30000,35%,IF(B163&lt;50000,30%,IF(B163&lt;100000,25%,20%))))</f>
        <v/>
      </c>
      <c r="P162" s="21" t="str">
        <f aca="false">IF($A163="","",COUNTIFS(持仓表!$A:$A,$A163,持仓表!$G:$G,"&gt;0"))</f>
        <v/>
      </c>
      <c r="Q162" s="21" t="str">
        <f aca="false">IF($A163="","",COUNTIFS(持仓表!$A:$A,$A163,持仓表!$D:$D,"是",持仓表!$G:$G,"&gt;0"))</f>
        <v/>
      </c>
      <c r="R162" s="21" t="str">
        <f aca="false">IF($A163="","",MAX(0,P163-Q163))</f>
        <v/>
      </c>
      <c r="S162" s="21" t="str">
        <f aca="false">IF($B163="","",IF(B163&lt;50000,3,IF(B163&lt;100000,4,5)))</f>
        <v/>
      </c>
      <c r="T162" s="5" t="str">
        <f aca="false">IF($A163="","",IF(OR(M163&gt;=4,I163&lt;=-8%),"防守",IF(OR(M163&gt;=2,I163&lt;=-5%),"警戒","正常")))</f>
        <v/>
      </c>
      <c r="U162" s="5" t="str">
        <f aca="false">IF($A163="","",IF(AND(L163&gt;=3,M163&lt;=2,T163&lt;&gt;"防守"),"是","否"))</f>
        <v/>
      </c>
      <c r="V162" s="5" t="str">
        <f aca="false">IF($A163="","",IF(AND(E163&lt;N163,R163&lt;S163,M163&lt;=2,I163&gt;-15%),"是","否"))</f>
        <v/>
      </c>
      <c r="W162" s="5" t="str">
        <f aca="false">IF($A163="","",IF(OR(M163&gt;=3,I163&lt;=-15%),"是","否"))</f>
        <v/>
      </c>
      <c r="X162" s="18" t="str">
        <f aca="false">IF($A163="","",IFERROR(maxifs(候选池!$AB:$AB,候选池!$A:$A,$A163),0))</f>
        <v/>
      </c>
      <c r="Y162" s="18" t="str">
        <f aca="false">IF($A163="","",IF(OR(M163&gt;=4,I163&lt;=-8%),MAX(0,B163*60%-C163),IF(AND(ISNUMBER(AD163),B163&gt;AD163),IF(B163&lt;30000,0,IF(B163&lt;100000,MAX(0,(B163-AD163)*0.2),MAX(0,(B163-AD163)*0.3))),0)))</f>
        <v/>
      </c>
      <c r="Z162" s="9"/>
      <c r="AA162" s="5" t="str">
        <f aca="false">IF($A163="","",IF($AA$2&lt;&gt;"",$AA$2,""))</f>
        <v/>
      </c>
      <c r="AB162" s="9" t="str">
        <f aca="false">IF($A163="","",IF(B163&lt;30000,0.03,IF(B163&lt;100000,0.02,0.015)))</f>
        <v/>
      </c>
      <c r="AC162" s="21" t="str">
        <f aca="false">IF($A163="","",IFERROR(DATEDIF($A$2,$A163,"m"),0))</f>
        <v/>
      </c>
      <c r="AD162" s="18" t="str">
        <f aca="false">IF($A163="","",IF(OR(AA163="",AB163="",AC163=""),"",AA163*POWER(1+AB163,AC163)))</f>
        <v/>
      </c>
      <c r="AE162" s="29" t="str">
        <f aca="false">IF($A163="","",IF(OR(AD163="",AD163=0),"",B163/AD163-1))</f>
        <v/>
      </c>
      <c r="AG162" s="1" t="str">
        <f aca="false">IF($A163="","",IF(B163&lt;30000,"婴儿",IF(B163&lt;100000,"成长","成熟")))</f>
        <v/>
      </c>
      <c r="AH162" s="24"/>
      <c r="AJ162" s="24"/>
      <c r="AK162" s="24"/>
      <c r="AM162" s="24"/>
      <c r="AP162" s="15"/>
      <c r="AQ162" s="25" t="str">
        <f aca="false">IF($A163="","",B163-$AA$2-SUM($F$2:F163))</f>
        <v/>
      </c>
      <c r="AR162" s="1" t="str">
        <f aca="false">IF($A162="","",30000)</f>
        <v/>
      </c>
      <c r="AS162" s="1" t="str">
        <f aca="false">IF($A162="","",AR162-B162)</f>
        <v/>
      </c>
      <c r="AT162" s="1" t="str">
        <f aca="false">IF($A162="","",IFERROR(B162/AR162,0))</f>
        <v/>
      </c>
      <c r="AU162" s="1" t="str">
        <f aca="false">IF($A162="","",IFERROR(B162*O162,0))</f>
        <v/>
      </c>
      <c r="AV162" s="1" t="str">
        <f aca="false">IF($A162="","",IFERROR(C162/B162,0))</f>
        <v/>
      </c>
      <c r="AW162" s="1" t="str">
        <f aca="false">IF($A162="","",MAX(0,R162-S162))</f>
        <v/>
      </c>
      <c r="AX162" s="1" t="str">
        <f aca="false">IF($A162="","",IF(AW162&gt;0,"优先降持仓数",IF(C162&lt;=0,"现金不足","允许评估")))</f>
        <v/>
      </c>
      <c r="AY162" s="1" t="str">
        <f aca="false">IF($A162="","",IF(B162&lt;30000,"婴儿阶段: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6"/>
      <c r="B163" s="17"/>
      <c r="C163" s="17"/>
      <c r="D163" s="18" t="str">
        <f aca="false">IF($A164="","",SUMIFS(持仓表!$J:$J,持仓表!$A:$A,$A164))</f>
        <v/>
      </c>
      <c r="E163" s="19" t="n">
        <f aca="false">IFERROR(D164/B164,0)</f>
        <v>0</v>
      </c>
      <c r="F163" s="17"/>
      <c r="G163" s="18" t="str">
        <f aca="false">IF($B164="","",MAX($B$2:B164))</f>
        <v/>
      </c>
      <c r="H163" s="19" t="n">
        <f aca="false">IFERROR((B164-F164)/F164,0)</f>
        <v>0</v>
      </c>
      <c r="I163" s="19" t="n">
        <f aca="false">IFERROR((B164-G164)/G164,0)</f>
        <v>0</v>
      </c>
      <c r="J163" s="6"/>
      <c r="K163" s="13"/>
      <c r="L163" s="20"/>
      <c r="M163" s="20"/>
      <c r="N163" s="19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63" s="19" t="str">
        <f aca="false">IF($B164="","",IF(B164&lt;30000,35%,IF(B164&lt;50000,30%,IF(B164&lt;100000,25%,20%))))</f>
        <v/>
      </c>
      <c r="P163" s="21" t="str">
        <f aca="false">IF($A164="","",COUNTIFS(持仓表!$A:$A,$A164,持仓表!$G:$G,"&gt;0"))</f>
        <v/>
      </c>
      <c r="Q163" s="21" t="str">
        <f aca="false">IF($A164="","",COUNTIFS(持仓表!$A:$A,$A164,持仓表!$D:$D,"是",持仓表!$G:$G,"&gt;0"))</f>
        <v/>
      </c>
      <c r="R163" s="21" t="str">
        <f aca="false">IF($A164="","",MAX(0,P164-Q164))</f>
        <v/>
      </c>
      <c r="S163" s="21" t="str">
        <f aca="false">IF($B164="","",IF(B164&lt;50000,3,IF(B164&lt;100000,4,5)))</f>
        <v/>
      </c>
      <c r="T163" s="5" t="str">
        <f aca="false">IF($A164="","",IF(OR(M164&gt;=4,I164&lt;=-8%),"防守",IF(OR(M164&gt;=2,I164&lt;=-5%),"警戒","正常")))</f>
        <v/>
      </c>
      <c r="U163" s="5" t="str">
        <f aca="false">IF($A164="","",IF(AND(L164&gt;=3,M164&lt;=2,T164&lt;&gt;"防守"),"是","否"))</f>
        <v/>
      </c>
      <c r="V163" s="5" t="str">
        <f aca="false">IF($A164="","",IF(AND(E164&lt;N164,R164&lt;S164,M164&lt;=2,I164&gt;-15%),"是","否"))</f>
        <v/>
      </c>
      <c r="W163" s="5" t="str">
        <f aca="false">IF($A164="","",IF(OR(M164&gt;=3,I164&lt;=-15%),"是","否"))</f>
        <v/>
      </c>
      <c r="X163" s="18" t="str">
        <f aca="false">IF($A164="","",IFERROR(maxifs(候选池!$AB:$AB,候选池!$A:$A,$A164),0))</f>
        <v/>
      </c>
      <c r="Y163" s="18" t="str">
        <f aca="false">IF($A164="","",IF(OR(M164&gt;=4,I164&lt;=-8%),MAX(0,B164*60%-C164),IF(AND(ISNUMBER(AD164),B164&gt;AD164),IF(B164&lt;30000,0,IF(B164&lt;100000,MAX(0,(B164-AD164)*0.2),MAX(0,(B164-AD164)*0.3))),0)))</f>
        <v/>
      </c>
      <c r="Z163" s="6"/>
      <c r="AA163" s="5" t="str">
        <f aca="false">IF($A164="","",IF($AA$2&lt;&gt;"",$AA$2,""))</f>
        <v/>
      </c>
      <c r="AB163" s="6" t="str">
        <f aca="false">IF($A164="","",IF(B164&lt;30000,0.03,IF(B164&lt;100000,0.02,0.015)))</f>
        <v/>
      </c>
      <c r="AC163" s="21" t="str">
        <f aca="false">IF($A164="","",IFERROR(DATEDIF($A$2,$A164,"m"),0))</f>
        <v/>
      </c>
      <c r="AD163" s="18" t="str">
        <f aca="false">IF($A164="","",IF(OR(AA164="",AB164="",AC164=""),"",AA164*POWER(1+AB164,AC164)))</f>
        <v/>
      </c>
      <c r="AE163" s="23" t="str">
        <f aca="false">IF($A164="","",IF(OR(AD164="",AD164=0),"",B164/AD164-1))</f>
        <v/>
      </c>
      <c r="AG163" s="1" t="str">
        <f aca="false">IF($A164="","",IF(B164&lt;30000,"婴儿",IF(B164&lt;100000,"成长","成熟")))</f>
        <v/>
      </c>
      <c r="AH163" s="24"/>
      <c r="AJ163" s="24"/>
      <c r="AK163" s="24"/>
      <c r="AM163" s="24"/>
      <c r="AP163" s="15"/>
      <c r="AQ163" s="25" t="str">
        <f aca="false">IF($A164="","",B164-$AA$2-SUM($F$2:F164))</f>
        <v/>
      </c>
      <c r="AR163" s="1" t="str">
        <f aca="false">IF($A163="","",30000)</f>
        <v/>
      </c>
      <c r="AS163" s="1" t="str">
        <f aca="false">IF($A163="","",AR163-B163)</f>
        <v/>
      </c>
      <c r="AT163" s="1" t="str">
        <f aca="false">IF($A163="","",IFERROR(B163/AR163,0))</f>
        <v/>
      </c>
      <c r="AU163" s="1" t="str">
        <f aca="false">IF($A163="","",IFERROR(B163*O163,0))</f>
        <v/>
      </c>
      <c r="AV163" s="1" t="str">
        <f aca="false">IF($A163="","",IFERROR(C163/B163,0))</f>
        <v/>
      </c>
      <c r="AW163" s="1" t="str">
        <f aca="false">IF($A163="","",MAX(0,R163-S163))</f>
        <v/>
      </c>
      <c r="AX163" s="1" t="str">
        <f aca="false">IF($A163="","",IF(AW163&gt;0,"优先降持仓数",IF(C163&lt;=0,"现金不足","允许评估")))</f>
        <v/>
      </c>
      <c r="AY163" s="1" t="str">
        <f aca="false">IF($A163="","",IF(B163&lt;30000,"婴儿阶段: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9"/>
      <c r="B164" s="26"/>
      <c r="C164" s="26"/>
      <c r="D164" s="18" t="str">
        <f aca="false">IF($A165="","",SUMIFS(持仓表!$J:$J,持仓表!$A:$A,$A165))</f>
        <v/>
      </c>
      <c r="E164" s="19" t="n">
        <f aca="false">IFERROR(D165/B165,0)</f>
        <v>0</v>
      </c>
      <c r="F164" s="26"/>
      <c r="G164" s="18" t="str">
        <f aca="false">IF($B165="","",MAX($B$2:B165))</f>
        <v/>
      </c>
      <c r="H164" s="19" t="n">
        <f aca="false">IFERROR((B165-F165)/F165,0)</f>
        <v>0</v>
      </c>
      <c r="I164" s="19" t="n">
        <f aca="false">IFERROR((B165-G165)/G165,0)</f>
        <v>0</v>
      </c>
      <c r="J164" s="9"/>
      <c r="K164" s="14"/>
      <c r="L164" s="27"/>
      <c r="M164" s="27"/>
      <c r="N164" s="19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4" s="19" t="str">
        <f aca="false">IF($B165="","",IF(B165&lt;30000,35%,IF(B165&lt;50000,30%,IF(B165&lt;100000,25%,20%))))</f>
        <v/>
      </c>
      <c r="P164" s="21" t="str">
        <f aca="false">IF($A165="","",COUNTIFS(持仓表!$A:$A,$A165,持仓表!$G:$G,"&gt;0"))</f>
        <v/>
      </c>
      <c r="Q164" s="21" t="str">
        <f aca="false">IF($A165="","",COUNTIFS(持仓表!$A:$A,$A165,持仓表!$D:$D,"是",持仓表!$G:$G,"&gt;0"))</f>
        <v/>
      </c>
      <c r="R164" s="21" t="str">
        <f aca="false">IF($A165="","",MAX(0,P165-Q165))</f>
        <v/>
      </c>
      <c r="S164" s="21" t="str">
        <f aca="false">IF($B165="","",IF(B165&lt;50000,3,IF(B165&lt;100000,4,5)))</f>
        <v/>
      </c>
      <c r="T164" s="5" t="str">
        <f aca="false">IF($A165="","",IF(OR(M165&gt;=4,I165&lt;=-8%),"防守",IF(OR(M165&gt;=2,I165&lt;=-5%),"警戒","正常")))</f>
        <v/>
      </c>
      <c r="U164" s="5" t="str">
        <f aca="false">IF($A165="","",IF(AND(L165&gt;=3,M165&lt;=2,T165&lt;&gt;"防守"),"是","否"))</f>
        <v/>
      </c>
      <c r="V164" s="5" t="str">
        <f aca="false">IF($A165="","",IF(AND(E165&lt;N165,R165&lt;S165,M165&lt;=2,I165&gt;-15%),"是","否"))</f>
        <v/>
      </c>
      <c r="W164" s="5" t="str">
        <f aca="false">IF($A165="","",IF(OR(M165&gt;=3,I165&lt;=-15%),"是","否"))</f>
        <v/>
      </c>
      <c r="X164" s="18" t="str">
        <f aca="false">IF($A165="","",IFERROR(maxifs(候选池!$AB:$AB,候选池!$A:$A,$A165),0))</f>
        <v/>
      </c>
      <c r="Y164" s="18" t="str">
        <f aca="false">IF($A165="","",IF(OR(M165&gt;=4,I165&lt;=-8%),MAX(0,B165*60%-C165),IF(AND(ISNUMBER(AD165),B165&gt;AD165),IF(B165&lt;30000,0,IF(B165&lt;100000,MAX(0,(B165-AD165)*0.2),MAX(0,(B165-AD165)*0.3))),0)))</f>
        <v/>
      </c>
      <c r="Z164" s="9"/>
      <c r="AA164" s="5" t="str">
        <f aca="false">IF($A165="","",IF($AA$2&lt;&gt;"",$AA$2,""))</f>
        <v/>
      </c>
      <c r="AB164" s="9" t="str">
        <f aca="false">IF($A165="","",IF(B165&lt;30000,0.03,IF(B165&lt;100000,0.02,0.015)))</f>
        <v/>
      </c>
      <c r="AC164" s="21" t="str">
        <f aca="false">IF($A165="","",IFERROR(DATEDIF($A$2,$A165,"m"),0))</f>
        <v/>
      </c>
      <c r="AD164" s="18" t="str">
        <f aca="false">IF($A165="","",IF(OR(AA165="",AB165="",AC165=""),"",AA165*POWER(1+AB165,AC165)))</f>
        <v/>
      </c>
      <c r="AE164" s="29" t="str">
        <f aca="false">IF($A165="","",IF(OR(AD165="",AD165=0),"",B165/AD165-1))</f>
        <v/>
      </c>
      <c r="AG164" s="1" t="str">
        <f aca="false">IF($A165="","",IF(B165&lt;30000,"婴儿",IF(B165&lt;100000,"成长","成熟")))</f>
        <v/>
      </c>
      <c r="AH164" s="24"/>
      <c r="AJ164" s="24"/>
      <c r="AK164" s="24"/>
      <c r="AM164" s="24"/>
      <c r="AP164" s="15"/>
      <c r="AQ164" s="25" t="str">
        <f aca="false">IF($A165="","",B165-$AA$2-SUM($F$2:F165))</f>
        <v/>
      </c>
      <c r="AR164" s="1" t="str">
        <f aca="false">IF($A164="","",30000)</f>
        <v/>
      </c>
      <c r="AS164" s="1" t="str">
        <f aca="false">IF($A164="","",AR164-B164)</f>
        <v/>
      </c>
      <c r="AT164" s="1" t="str">
        <f aca="false">IF($A164="","",IFERROR(B164/AR164,0))</f>
        <v/>
      </c>
      <c r="AU164" s="1" t="str">
        <f aca="false">IF($A164="","",IFERROR(B164*O164,0))</f>
        <v/>
      </c>
      <c r="AV164" s="1" t="str">
        <f aca="false">IF($A164="","",IFERROR(C164/B164,0))</f>
        <v/>
      </c>
      <c r="AW164" s="1" t="str">
        <f aca="false">IF($A164="","",MAX(0,R164-S164))</f>
        <v/>
      </c>
      <c r="AX164" s="1" t="str">
        <f aca="false">IF($A164="","",IF(AW164&gt;0,"优先降持仓数",IF(C164&lt;=0,"现金不足","允许评估")))</f>
        <v/>
      </c>
      <c r="AY164" s="1" t="str">
        <f aca="false">IF($A164="","",IF(B164&lt;30000,"婴儿阶段: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6"/>
      <c r="B165" s="17"/>
      <c r="C165" s="17"/>
      <c r="D165" s="18" t="str">
        <f aca="false">IF($A166="","",SUMIFS(持仓表!$J:$J,持仓表!$A:$A,$A166))</f>
        <v/>
      </c>
      <c r="E165" s="19" t="n">
        <f aca="false">IFERROR(D166/B166,0)</f>
        <v>0</v>
      </c>
      <c r="F165" s="17"/>
      <c r="G165" s="18" t="str">
        <f aca="false">IF($B166="","",MAX($B$2:B166))</f>
        <v/>
      </c>
      <c r="H165" s="19" t="n">
        <f aca="false">IFERROR((B166-F166)/F166,0)</f>
        <v>0</v>
      </c>
      <c r="I165" s="19" t="n">
        <f aca="false">IFERROR((B166-G166)/G166,0)</f>
        <v>0</v>
      </c>
      <c r="J165" s="6"/>
      <c r="K165" s="13"/>
      <c r="L165" s="20"/>
      <c r="M165" s="20"/>
      <c r="N165" s="19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5" s="19" t="str">
        <f aca="false">IF($B166="","",IF(B166&lt;30000,35%,IF(B166&lt;50000,30%,IF(B166&lt;100000,25%,20%))))</f>
        <v/>
      </c>
      <c r="P165" s="21" t="str">
        <f aca="false">IF($A166="","",COUNTIFS(持仓表!$A:$A,$A166,持仓表!$G:$G,"&gt;0"))</f>
        <v/>
      </c>
      <c r="Q165" s="21" t="str">
        <f aca="false">IF($A166="","",COUNTIFS(持仓表!$A:$A,$A166,持仓表!$D:$D,"是",持仓表!$G:$G,"&gt;0"))</f>
        <v/>
      </c>
      <c r="R165" s="21" t="str">
        <f aca="false">IF($A166="","",MAX(0,P166-Q166))</f>
        <v/>
      </c>
      <c r="S165" s="21" t="str">
        <f aca="false">IF($B166="","",IF(B166&lt;50000,3,IF(B166&lt;100000,4,5)))</f>
        <v/>
      </c>
      <c r="T165" s="5" t="str">
        <f aca="false">IF($A166="","",IF(OR(M166&gt;=4,I166&lt;=-8%),"防守",IF(OR(M166&gt;=2,I166&lt;=-5%),"警戒","正常")))</f>
        <v/>
      </c>
      <c r="U165" s="5" t="str">
        <f aca="false">IF($A166="","",IF(AND(L166&gt;=3,M166&lt;=2,T166&lt;&gt;"防守"),"是","否"))</f>
        <v/>
      </c>
      <c r="V165" s="5" t="str">
        <f aca="false">IF($A166="","",IF(AND(E166&lt;N166,R166&lt;S166,M166&lt;=2,I166&gt;-15%),"是","否"))</f>
        <v/>
      </c>
      <c r="W165" s="5" t="str">
        <f aca="false">IF($A166="","",IF(OR(M166&gt;=3,I166&lt;=-15%),"是","否"))</f>
        <v/>
      </c>
      <c r="X165" s="18" t="str">
        <f aca="false">IF($A166="","",IFERROR(maxifs(候选池!$AB:$AB,候选池!$A:$A,$A166),0))</f>
        <v/>
      </c>
      <c r="Y165" s="18" t="str">
        <f aca="false">IF($A166="","",IF(OR(M166&gt;=4,I166&lt;=-8%),MAX(0,B166*60%-C166),IF(AND(ISNUMBER(AD166),B166&gt;AD166),IF(B166&lt;30000,0,IF(B166&lt;100000,MAX(0,(B166-AD166)*0.2),MAX(0,(B166-AD166)*0.3))),0)))</f>
        <v/>
      </c>
      <c r="Z165" s="6"/>
      <c r="AA165" s="5" t="str">
        <f aca="false">IF($A166="","",IF($AA$2&lt;&gt;"",$AA$2,""))</f>
        <v/>
      </c>
      <c r="AB165" s="6" t="str">
        <f aca="false">IF($A166="","",IF(B166&lt;30000,0.03,IF(B166&lt;100000,0.02,0.015)))</f>
        <v/>
      </c>
      <c r="AC165" s="21" t="str">
        <f aca="false">IF($A166="","",IFERROR(DATEDIF($A$2,$A166,"m"),0))</f>
        <v/>
      </c>
      <c r="AD165" s="18" t="str">
        <f aca="false">IF($A166="","",IF(OR(AA166="",AB166="",AC166=""),"",AA166*POWER(1+AB166,AC166)))</f>
        <v/>
      </c>
      <c r="AE165" s="23" t="str">
        <f aca="false">IF($A166="","",IF(OR(AD166="",AD166=0),"",B166/AD166-1))</f>
        <v/>
      </c>
      <c r="AG165" s="1" t="str">
        <f aca="false">IF($A166="","",IF(B166&lt;30000,"婴儿",IF(B166&lt;100000,"成长","成熟")))</f>
        <v/>
      </c>
      <c r="AH165" s="24"/>
      <c r="AJ165" s="24"/>
      <c r="AK165" s="24"/>
      <c r="AM165" s="24"/>
      <c r="AP165" s="15"/>
      <c r="AQ165" s="25" t="str">
        <f aca="false">IF($A166="","",B166-$AA$2-SUM($F$2:F166))</f>
        <v/>
      </c>
      <c r="AR165" s="1" t="str">
        <f aca="false">IF($A165="","",30000)</f>
        <v/>
      </c>
      <c r="AS165" s="1" t="str">
        <f aca="false">IF($A165="","",AR165-B165)</f>
        <v/>
      </c>
      <c r="AT165" s="1" t="str">
        <f aca="false">IF($A165="","",IFERROR(B165/AR165,0))</f>
        <v/>
      </c>
      <c r="AU165" s="1" t="str">
        <f aca="false">IF($A165="","",IFERROR(B165*O165,0))</f>
        <v/>
      </c>
      <c r="AV165" s="1" t="str">
        <f aca="false">IF($A165="","",IFERROR(C165/B165,0))</f>
        <v/>
      </c>
      <c r="AW165" s="1" t="str">
        <f aca="false">IF($A165="","",MAX(0,R165-S165))</f>
        <v/>
      </c>
      <c r="AX165" s="1" t="str">
        <f aca="false">IF($A165="","",IF(AW165&gt;0,"优先降持仓数",IF(C165&lt;=0,"现金不足","允许评估")))</f>
        <v/>
      </c>
      <c r="AY165" s="1" t="str">
        <f aca="false">IF($A165="","",IF(B165&lt;30000,"婴儿阶段: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9"/>
      <c r="B166" s="26"/>
      <c r="C166" s="26"/>
      <c r="D166" s="18" t="str">
        <f aca="false">IF($A167="","",SUMIFS(持仓表!$J:$J,持仓表!$A:$A,$A167))</f>
        <v/>
      </c>
      <c r="E166" s="19" t="n">
        <f aca="false">IFERROR(D167/B167,0)</f>
        <v>0</v>
      </c>
      <c r="F166" s="26"/>
      <c r="G166" s="18" t="str">
        <f aca="false">IF($B167="","",MAX($B$2:B167))</f>
        <v/>
      </c>
      <c r="H166" s="19" t="n">
        <f aca="false">IFERROR((B167-F167)/F167,0)</f>
        <v>0</v>
      </c>
      <c r="I166" s="19" t="n">
        <f aca="false">IFERROR((B167-G167)/G167,0)</f>
        <v>0</v>
      </c>
      <c r="J166" s="9"/>
      <c r="K166" s="14"/>
      <c r="L166" s="27"/>
      <c r="M166" s="27"/>
      <c r="N166" s="19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6" s="19" t="str">
        <f aca="false">IF($B167="","",IF(B167&lt;30000,35%,IF(B167&lt;50000,30%,IF(B167&lt;100000,25%,20%))))</f>
        <v/>
      </c>
      <c r="P166" s="21" t="str">
        <f aca="false">IF($A167="","",COUNTIFS(持仓表!$A:$A,$A167,持仓表!$G:$G,"&gt;0"))</f>
        <v/>
      </c>
      <c r="Q166" s="21" t="str">
        <f aca="false">IF($A167="","",COUNTIFS(持仓表!$A:$A,$A167,持仓表!$D:$D,"是",持仓表!$G:$G,"&gt;0"))</f>
        <v/>
      </c>
      <c r="R166" s="21" t="str">
        <f aca="false">IF($A167="","",MAX(0,P167-Q167))</f>
        <v/>
      </c>
      <c r="S166" s="21" t="str">
        <f aca="false">IF($B167="","",IF(B167&lt;50000,3,IF(B167&lt;100000,4,5)))</f>
        <v/>
      </c>
      <c r="T166" s="5" t="str">
        <f aca="false">IF($A167="","",IF(OR(M167&gt;=4,I167&lt;=-8%),"防守",IF(OR(M167&gt;=2,I167&lt;=-5%),"警戒","正常")))</f>
        <v/>
      </c>
      <c r="U166" s="5" t="str">
        <f aca="false">IF($A167="","",IF(AND(L167&gt;=3,M167&lt;=2,T167&lt;&gt;"防守"),"是","否"))</f>
        <v/>
      </c>
      <c r="V166" s="5" t="str">
        <f aca="false">IF($A167="","",IF(AND(E167&lt;N167,R167&lt;S167,M167&lt;=2,I167&gt;-15%),"是","否"))</f>
        <v/>
      </c>
      <c r="W166" s="5" t="str">
        <f aca="false">IF($A167="","",IF(OR(M167&gt;=3,I167&lt;=-15%),"是","否"))</f>
        <v/>
      </c>
      <c r="X166" s="18" t="str">
        <f aca="false">IF($A167="","",IFERROR(maxifs(候选池!$AB:$AB,候选池!$A:$A,$A167),0))</f>
        <v/>
      </c>
      <c r="Y166" s="18" t="str">
        <f aca="false">IF($A167="","",IF(OR(M167&gt;=4,I167&lt;=-8%),MAX(0,B167*60%-C167),IF(AND(ISNUMBER(AD167),B167&gt;AD167),IF(B167&lt;30000,0,IF(B167&lt;100000,MAX(0,(B167-AD167)*0.2),MAX(0,(B167-AD167)*0.3))),0)))</f>
        <v/>
      </c>
      <c r="Z166" s="9"/>
      <c r="AA166" s="5" t="str">
        <f aca="false">IF($A167="","",IF($AA$2&lt;&gt;"",$AA$2,""))</f>
        <v/>
      </c>
      <c r="AB166" s="9" t="str">
        <f aca="false">IF($A167="","",IF(B167&lt;30000,0.03,IF(B167&lt;100000,0.02,0.015)))</f>
        <v/>
      </c>
      <c r="AC166" s="21" t="str">
        <f aca="false">IF($A167="","",IFERROR(DATEDIF($A$2,$A167,"m"),0))</f>
        <v/>
      </c>
      <c r="AD166" s="18" t="str">
        <f aca="false">IF($A167="","",IF(OR(AA167="",AB167="",AC167=""),"",AA167*POWER(1+AB167,AC167)))</f>
        <v/>
      </c>
      <c r="AE166" s="29" t="str">
        <f aca="false">IF($A167="","",IF(OR(AD167="",AD167=0),"",B167/AD167-1))</f>
        <v/>
      </c>
      <c r="AG166" s="1" t="str">
        <f aca="false">IF($A167="","",IF(B167&lt;30000,"婴儿",IF(B167&lt;100000,"成长","成熟")))</f>
        <v/>
      </c>
      <c r="AH166" s="24"/>
      <c r="AJ166" s="24"/>
      <c r="AK166" s="24"/>
      <c r="AM166" s="24"/>
      <c r="AP166" s="15"/>
      <c r="AQ166" s="25" t="str">
        <f aca="false">IF($A167="","",B167-$AA$2-SUM($F$2:F167))</f>
        <v/>
      </c>
      <c r="AR166" s="1" t="str">
        <f aca="false">IF($A166="","",30000)</f>
        <v/>
      </c>
      <c r="AS166" s="1" t="str">
        <f aca="false">IF($A166="","",AR166-B166)</f>
        <v/>
      </c>
      <c r="AT166" s="1" t="str">
        <f aca="false">IF($A166="","",IFERROR(B166/AR166,0))</f>
        <v/>
      </c>
      <c r="AU166" s="1" t="str">
        <f aca="false">IF($A166="","",IFERROR(B166*O166,0))</f>
        <v/>
      </c>
      <c r="AV166" s="1" t="str">
        <f aca="false">IF($A166="","",IFERROR(C166/B166,0))</f>
        <v/>
      </c>
      <c r="AW166" s="1" t="str">
        <f aca="false">IF($A166="","",MAX(0,R166-S166))</f>
        <v/>
      </c>
      <c r="AX166" s="1" t="str">
        <f aca="false">IF($A166="","",IF(AW166&gt;0,"优先降持仓数",IF(C166&lt;=0,"现金不足","允许评估")))</f>
        <v/>
      </c>
      <c r="AY166" s="1" t="str">
        <f aca="false">IF($A166="","",IF(B166&lt;30000,"婴儿阶段: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6"/>
      <c r="B167" s="17"/>
      <c r="C167" s="17"/>
      <c r="D167" s="18" t="str">
        <f aca="false">IF($A168="","",SUMIFS(持仓表!$J:$J,持仓表!$A:$A,$A168))</f>
        <v/>
      </c>
      <c r="E167" s="19" t="n">
        <f aca="false">IFERROR(D168/B168,0)</f>
        <v>0</v>
      </c>
      <c r="F167" s="17"/>
      <c r="G167" s="18" t="str">
        <f aca="false">IF($B168="","",MAX($B$2:B168))</f>
        <v/>
      </c>
      <c r="H167" s="19" t="n">
        <f aca="false">IFERROR((B168-F168)/F168,0)</f>
        <v>0</v>
      </c>
      <c r="I167" s="19" t="n">
        <f aca="false">IFERROR((B168-G168)/G168,0)</f>
        <v>0</v>
      </c>
      <c r="J167" s="6"/>
      <c r="K167" s="13"/>
      <c r="L167" s="20"/>
      <c r="M167" s="20"/>
      <c r="N167" s="19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7" s="19" t="str">
        <f aca="false">IF($B168="","",IF(B168&lt;30000,35%,IF(B168&lt;50000,30%,IF(B168&lt;100000,25%,20%))))</f>
        <v/>
      </c>
      <c r="P167" s="21" t="str">
        <f aca="false">IF($A168="","",COUNTIFS(持仓表!$A:$A,$A168,持仓表!$G:$G,"&gt;0"))</f>
        <v/>
      </c>
      <c r="Q167" s="21" t="str">
        <f aca="false">IF($A168="","",COUNTIFS(持仓表!$A:$A,$A168,持仓表!$D:$D,"是",持仓表!$G:$G,"&gt;0"))</f>
        <v/>
      </c>
      <c r="R167" s="21" t="str">
        <f aca="false">IF($A168="","",MAX(0,P168-Q168))</f>
        <v/>
      </c>
      <c r="S167" s="21" t="str">
        <f aca="false">IF($B168="","",IF(B168&lt;50000,3,IF(B168&lt;100000,4,5)))</f>
        <v/>
      </c>
      <c r="T167" s="5" t="str">
        <f aca="false">IF($A168="","",IF(OR(M168&gt;=4,I168&lt;=-8%),"防守",IF(OR(M168&gt;=2,I168&lt;=-5%),"警戒","正常")))</f>
        <v/>
      </c>
      <c r="U167" s="5" t="str">
        <f aca="false">IF($A168="","",IF(AND(L168&gt;=3,M168&lt;=2,T168&lt;&gt;"防守"),"是","否"))</f>
        <v/>
      </c>
      <c r="V167" s="5" t="str">
        <f aca="false">IF($A168="","",IF(AND(E168&lt;N168,R168&lt;S168,M168&lt;=2,I168&gt;-15%),"是","否"))</f>
        <v/>
      </c>
      <c r="W167" s="5" t="str">
        <f aca="false">IF($A168="","",IF(OR(M168&gt;=3,I168&lt;=-15%),"是","否"))</f>
        <v/>
      </c>
      <c r="X167" s="18" t="str">
        <f aca="false">IF($A168="","",IFERROR(maxifs(候选池!$AB:$AB,候选池!$A:$A,$A168),0))</f>
        <v/>
      </c>
      <c r="Y167" s="18" t="str">
        <f aca="false">IF($A168="","",IF(OR(M168&gt;=4,I168&lt;=-8%),MAX(0,B168*60%-C168),IF(AND(ISNUMBER(AD168),B168&gt;AD168),IF(B168&lt;30000,0,IF(B168&lt;100000,MAX(0,(B168-AD168)*0.2),MAX(0,(B168-AD168)*0.3))),0)))</f>
        <v/>
      </c>
      <c r="Z167" s="6"/>
      <c r="AA167" s="5" t="str">
        <f aca="false">IF($A168="","",IF($AA$2&lt;&gt;"",$AA$2,""))</f>
        <v/>
      </c>
      <c r="AB167" s="6" t="str">
        <f aca="false">IF($A168="","",IF(B168&lt;30000,0.03,IF(B168&lt;100000,0.02,0.015)))</f>
        <v/>
      </c>
      <c r="AC167" s="21" t="str">
        <f aca="false">IF($A168="","",IFERROR(DATEDIF($A$2,$A168,"m"),0))</f>
        <v/>
      </c>
      <c r="AD167" s="18" t="str">
        <f aca="false">IF($A168="","",IF(OR(AA168="",AB168="",AC168=""),"",AA168*POWER(1+AB168,AC168)))</f>
        <v/>
      </c>
      <c r="AE167" s="23" t="str">
        <f aca="false">IF($A168="","",IF(OR(AD168="",AD168=0),"",B168/AD168-1))</f>
        <v/>
      </c>
      <c r="AG167" s="1" t="str">
        <f aca="false">IF($A168="","",IF(B168&lt;30000,"婴儿",IF(B168&lt;100000,"成长","成熟")))</f>
        <v/>
      </c>
      <c r="AH167" s="24"/>
      <c r="AJ167" s="24"/>
      <c r="AK167" s="24"/>
      <c r="AM167" s="24"/>
      <c r="AP167" s="15"/>
      <c r="AQ167" s="25" t="str">
        <f aca="false">IF($A168="","",B168-$AA$2-SUM($F$2:F168))</f>
        <v/>
      </c>
      <c r="AR167" s="1" t="str">
        <f aca="false">IF($A167="","",30000)</f>
        <v/>
      </c>
      <c r="AS167" s="1" t="str">
        <f aca="false">IF($A167="","",AR167-B167)</f>
        <v/>
      </c>
      <c r="AT167" s="1" t="str">
        <f aca="false">IF($A167="","",IFERROR(B167/AR167,0))</f>
        <v/>
      </c>
      <c r="AU167" s="1" t="str">
        <f aca="false">IF($A167="","",IFERROR(B167*O167,0))</f>
        <v/>
      </c>
      <c r="AV167" s="1" t="str">
        <f aca="false">IF($A167="","",IFERROR(C167/B167,0))</f>
        <v/>
      </c>
      <c r="AW167" s="1" t="str">
        <f aca="false">IF($A167="","",MAX(0,R167-S167))</f>
        <v/>
      </c>
      <c r="AX167" s="1" t="str">
        <f aca="false">IF($A167="","",IF(AW167&gt;0,"优先降持仓数",IF(C167&lt;=0,"现金不足","允许评估")))</f>
        <v/>
      </c>
      <c r="AY167" s="1" t="str">
        <f aca="false">IF($A167="","",IF(B167&lt;30000,"婴儿阶段: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9"/>
      <c r="B168" s="26"/>
      <c r="C168" s="26"/>
      <c r="D168" s="18" t="str">
        <f aca="false">IF($A169="","",SUMIFS(持仓表!$J:$J,持仓表!$A:$A,$A169))</f>
        <v/>
      </c>
      <c r="E168" s="19" t="n">
        <f aca="false">IFERROR(D169/B169,0)</f>
        <v>0</v>
      </c>
      <c r="F168" s="26"/>
      <c r="G168" s="18" t="str">
        <f aca="false">IF($B169="","",MAX($B$2:B169))</f>
        <v/>
      </c>
      <c r="H168" s="19" t="n">
        <f aca="false">IFERROR((B169-F169)/F169,0)</f>
        <v>0</v>
      </c>
      <c r="I168" s="19" t="n">
        <f aca="false">IFERROR((B169-G169)/G169,0)</f>
        <v>0</v>
      </c>
      <c r="J168" s="9"/>
      <c r="K168" s="14"/>
      <c r="L168" s="27"/>
      <c r="M168" s="27"/>
      <c r="N168" s="19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8" s="19" t="str">
        <f aca="false">IF($B169="","",IF(B169&lt;30000,35%,IF(B169&lt;50000,30%,IF(B169&lt;100000,25%,20%))))</f>
        <v/>
      </c>
      <c r="P168" s="21" t="str">
        <f aca="false">IF($A169="","",COUNTIFS(持仓表!$A:$A,$A169,持仓表!$G:$G,"&gt;0"))</f>
        <v/>
      </c>
      <c r="Q168" s="21" t="str">
        <f aca="false">IF($A169="","",COUNTIFS(持仓表!$A:$A,$A169,持仓表!$D:$D,"是",持仓表!$G:$G,"&gt;0"))</f>
        <v/>
      </c>
      <c r="R168" s="21" t="str">
        <f aca="false">IF($A169="","",MAX(0,P169-Q169))</f>
        <v/>
      </c>
      <c r="S168" s="21" t="str">
        <f aca="false">IF($B169="","",IF(B169&lt;50000,3,IF(B169&lt;100000,4,5)))</f>
        <v/>
      </c>
      <c r="T168" s="5" t="str">
        <f aca="false">IF($A169="","",IF(OR(M169&gt;=4,I169&lt;=-8%),"防守",IF(OR(M169&gt;=2,I169&lt;=-5%),"警戒","正常")))</f>
        <v/>
      </c>
      <c r="U168" s="5" t="str">
        <f aca="false">IF($A169="","",IF(AND(L169&gt;=3,M169&lt;=2,T169&lt;&gt;"防守"),"是","否"))</f>
        <v/>
      </c>
      <c r="V168" s="5" t="str">
        <f aca="false">IF($A169="","",IF(AND(E169&lt;N169,R169&lt;S169,M169&lt;=2,I169&gt;-15%),"是","否"))</f>
        <v/>
      </c>
      <c r="W168" s="5" t="str">
        <f aca="false">IF($A169="","",IF(OR(M169&gt;=3,I169&lt;=-15%),"是","否"))</f>
        <v/>
      </c>
      <c r="X168" s="18" t="str">
        <f aca="false">IF($A169="","",IFERROR(maxifs(候选池!$AB:$AB,候选池!$A:$A,$A169),0))</f>
        <v/>
      </c>
      <c r="Y168" s="18" t="str">
        <f aca="false">IF($A169="","",IF(OR(M169&gt;=4,I169&lt;=-8%),MAX(0,B169*60%-C169),IF(AND(ISNUMBER(AD169),B169&gt;AD169),IF(B169&lt;30000,0,IF(B169&lt;100000,MAX(0,(B169-AD169)*0.2),MAX(0,(B169-AD169)*0.3))),0)))</f>
        <v/>
      </c>
      <c r="Z168" s="9"/>
      <c r="AA168" s="5" t="str">
        <f aca="false">IF($A169="","",IF($AA$2&lt;&gt;"",$AA$2,""))</f>
        <v/>
      </c>
      <c r="AB168" s="9" t="str">
        <f aca="false">IF($A169="","",IF(B169&lt;30000,0.03,IF(B169&lt;100000,0.02,0.015)))</f>
        <v/>
      </c>
      <c r="AC168" s="21" t="str">
        <f aca="false">IF($A169="","",IFERROR(DATEDIF($A$2,$A169,"m"),0))</f>
        <v/>
      </c>
      <c r="AD168" s="18" t="str">
        <f aca="false">IF($A169="","",IF(OR(AA169="",AB169="",AC169=""),"",AA169*POWER(1+AB169,AC169)))</f>
        <v/>
      </c>
      <c r="AE168" s="29" t="str">
        <f aca="false">IF($A169="","",IF(OR(AD169="",AD169=0),"",B169/AD169-1))</f>
        <v/>
      </c>
      <c r="AG168" s="1" t="str">
        <f aca="false">IF($A169="","",IF(B169&lt;30000,"婴儿",IF(B169&lt;100000,"成长","成熟")))</f>
        <v/>
      </c>
      <c r="AH168" s="24"/>
      <c r="AJ168" s="24"/>
      <c r="AK168" s="24"/>
      <c r="AM168" s="24"/>
      <c r="AP168" s="15"/>
      <c r="AQ168" s="25" t="str">
        <f aca="false">IF($A169="","",B169-$AA$2-SUM($F$2:F169))</f>
        <v/>
      </c>
      <c r="AR168" s="1" t="str">
        <f aca="false">IF($A168="","",30000)</f>
        <v/>
      </c>
      <c r="AS168" s="1" t="str">
        <f aca="false">IF($A168="","",AR168-B168)</f>
        <v/>
      </c>
      <c r="AT168" s="1" t="str">
        <f aca="false">IF($A168="","",IFERROR(B168/AR168,0))</f>
        <v/>
      </c>
      <c r="AU168" s="1" t="str">
        <f aca="false">IF($A168="","",IFERROR(B168*O168,0))</f>
        <v/>
      </c>
      <c r="AV168" s="1" t="str">
        <f aca="false">IF($A168="","",IFERROR(C168/B168,0))</f>
        <v/>
      </c>
      <c r="AW168" s="1" t="str">
        <f aca="false">IF($A168="","",MAX(0,R168-S168))</f>
        <v/>
      </c>
      <c r="AX168" s="1" t="str">
        <f aca="false">IF($A168="","",IF(AW168&gt;0,"优先降持仓数",IF(C168&lt;=0,"现金不足","允许评估")))</f>
        <v/>
      </c>
      <c r="AY168" s="1" t="str">
        <f aca="false">IF($A168="","",IF(B168&lt;30000,"婴儿阶段: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6"/>
      <c r="B169" s="17"/>
      <c r="C169" s="17"/>
      <c r="D169" s="18" t="str">
        <f aca="false">IF($A170="","",SUMIFS(持仓表!$J:$J,持仓表!$A:$A,$A170))</f>
        <v/>
      </c>
      <c r="E169" s="19" t="n">
        <f aca="false">IFERROR(D170/B170,0)</f>
        <v>0</v>
      </c>
      <c r="F169" s="17"/>
      <c r="G169" s="18" t="str">
        <f aca="false">IF($B170="","",MAX($B$2:B170))</f>
        <v/>
      </c>
      <c r="H169" s="19" t="n">
        <f aca="false">IFERROR((B170-F170)/F170,0)</f>
        <v>0</v>
      </c>
      <c r="I169" s="19" t="n">
        <f aca="false">IFERROR((B170-G170)/G170,0)</f>
        <v>0</v>
      </c>
      <c r="J169" s="6"/>
      <c r="K169" s="13"/>
      <c r="L169" s="20"/>
      <c r="M169" s="20"/>
      <c r="N169" s="19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9" s="19" t="str">
        <f aca="false">IF($B170="","",IF(B170&lt;30000,35%,IF(B170&lt;50000,30%,IF(B170&lt;100000,25%,20%))))</f>
        <v/>
      </c>
      <c r="P169" s="21" t="str">
        <f aca="false">IF($A170="","",COUNTIFS(持仓表!$A:$A,$A170,持仓表!$G:$G,"&gt;0"))</f>
        <v/>
      </c>
      <c r="Q169" s="21" t="str">
        <f aca="false">IF($A170="","",COUNTIFS(持仓表!$A:$A,$A170,持仓表!$D:$D,"是",持仓表!$G:$G,"&gt;0"))</f>
        <v/>
      </c>
      <c r="R169" s="21" t="str">
        <f aca="false">IF($A170="","",MAX(0,P170-Q170))</f>
        <v/>
      </c>
      <c r="S169" s="21" t="str">
        <f aca="false">IF($B170="","",IF(B170&lt;50000,3,IF(B170&lt;100000,4,5)))</f>
        <v/>
      </c>
      <c r="T169" s="5" t="str">
        <f aca="false">IF($A170="","",IF(OR(M170&gt;=4,I170&lt;=-8%),"防守",IF(OR(M170&gt;=2,I170&lt;=-5%),"警戒","正常")))</f>
        <v/>
      </c>
      <c r="U169" s="5" t="str">
        <f aca="false">IF($A170="","",IF(AND(L170&gt;=3,M170&lt;=2,T170&lt;&gt;"防守"),"是","否"))</f>
        <v/>
      </c>
      <c r="V169" s="5" t="str">
        <f aca="false">IF($A170="","",IF(AND(E170&lt;N170,R170&lt;S170,M170&lt;=2,I170&gt;-15%),"是","否"))</f>
        <v/>
      </c>
      <c r="W169" s="5" t="str">
        <f aca="false">IF($A170="","",IF(OR(M170&gt;=3,I170&lt;=-15%),"是","否"))</f>
        <v/>
      </c>
      <c r="X169" s="18" t="str">
        <f aca="false">IF($A170="","",IFERROR(maxifs(候选池!$AB:$AB,候选池!$A:$A,$A170),0))</f>
        <v/>
      </c>
      <c r="Y169" s="18" t="str">
        <f aca="false">IF($A170="","",IF(OR(M170&gt;=4,I170&lt;=-8%),MAX(0,B170*60%-C170),IF(AND(ISNUMBER(AD170),B170&gt;AD170),IF(B170&lt;30000,0,IF(B170&lt;100000,MAX(0,(B170-AD170)*0.2),MAX(0,(B170-AD170)*0.3))),0)))</f>
        <v/>
      </c>
      <c r="Z169" s="6"/>
      <c r="AA169" s="5" t="str">
        <f aca="false">IF($A170="","",IF($AA$2&lt;&gt;"",$AA$2,""))</f>
        <v/>
      </c>
      <c r="AB169" s="6" t="str">
        <f aca="false">IF($A170="","",IF(B170&lt;30000,0.03,IF(B170&lt;100000,0.02,0.015)))</f>
        <v/>
      </c>
      <c r="AC169" s="21" t="str">
        <f aca="false">IF($A170="","",IFERROR(DATEDIF($A$2,$A170,"m"),0))</f>
        <v/>
      </c>
      <c r="AD169" s="18" t="str">
        <f aca="false">IF($A170="","",IF(OR(AA170="",AB170="",AC170=""),"",AA170*POWER(1+AB170,AC170)))</f>
        <v/>
      </c>
      <c r="AE169" s="23" t="str">
        <f aca="false">IF($A170="","",IF(OR(AD170="",AD170=0),"",B170/AD170-1))</f>
        <v/>
      </c>
      <c r="AG169" s="1" t="str">
        <f aca="false">IF($A170="","",IF(B170&lt;30000,"婴儿",IF(B170&lt;100000,"成长","成熟")))</f>
        <v/>
      </c>
      <c r="AH169" s="24"/>
      <c r="AJ169" s="24"/>
      <c r="AK169" s="24"/>
      <c r="AM169" s="24"/>
      <c r="AP169" s="15"/>
      <c r="AQ169" s="25" t="str">
        <f aca="false">IF($A170="","",B170-$AA$2-SUM($F$2:F170))</f>
        <v/>
      </c>
      <c r="AR169" s="1" t="str">
        <f aca="false">IF($A169="","",30000)</f>
        <v/>
      </c>
      <c r="AS169" s="1" t="str">
        <f aca="false">IF($A169="","",AR169-B169)</f>
        <v/>
      </c>
      <c r="AT169" s="1" t="str">
        <f aca="false">IF($A169="","",IFERROR(B169/AR169,0))</f>
        <v/>
      </c>
      <c r="AU169" s="1" t="str">
        <f aca="false">IF($A169="","",IFERROR(B169*O169,0))</f>
        <v/>
      </c>
      <c r="AV169" s="1" t="str">
        <f aca="false">IF($A169="","",IFERROR(C169/B169,0))</f>
        <v/>
      </c>
      <c r="AW169" s="1" t="str">
        <f aca="false">IF($A169="","",MAX(0,R169-S169))</f>
        <v/>
      </c>
      <c r="AX169" s="1" t="str">
        <f aca="false">IF($A169="","",IF(AW169&gt;0,"优先降持仓数",IF(C169&lt;=0,"现金不足","允许评估")))</f>
        <v/>
      </c>
      <c r="AY169" s="1" t="str">
        <f aca="false">IF($A169="","",IF(B169&lt;30000,"婴儿阶段: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9"/>
      <c r="B170" s="26"/>
      <c r="C170" s="26"/>
      <c r="D170" s="18" t="str">
        <f aca="false">IF($A171="","",SUMIFS(持仓表!$J:$J,持仓表!$A:$A,$A171))</f>
        <v/>
      </c>
      <c r="E170" s="19" t="n">
        <f aca="false">IFERROR(D171/B171,0)</f>
        <v>0</v>
      </c>
      <c r="F170" s="26"/>
      <c r="G170" s="18" t="str">
        <f aca="false">IF($B171="","",MAX($B$2:B171))</f>
        <v/>
      </c>
      <c r="H170" s="19" t="n">
        <f aca="false">IFERROR((B171-F171)/F171,0)</f>
        <v>0</v>
      </c>
      <c r="I170" s="19" t="n">
        <f aca="false">IFERROR((B171-G171)/G171,0)</f>
        <v>0</v>
      </c>
      <c r="J170" s="9"/>
      <c r="K170" s="14"/>
      <c r="L170" s="27"/>
      <c r="M170" s="27"/>
      <c r="N170" s="19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70" s="19" t="str">
        <f aca="false">IF($B171="","",IF(B171&lt;30000,35%,IF(B171&lt;50000,30%,IF(B171&lt;100000,25%,20%))))</f>
        <v/>
      </c>
      <c r="P170" s="21" t="str">
        <f aca="false">IF($A171="","",COUNTIFS(持仓表!$A:$A,$A171,持仓表!$G:$G,"&gt;0"))</f>
        <v/>
      </c>
      <c r="Q170" s="21" t="str">
        <f aca="false">IF($A171="","",COUNTIFS(持仓表!$A:$A,$A171,持仓表!$D:$D,"是",持仓表!$G:$G,"&gt;0"))</f>
        <v/>
      </c>
      <c r="R170" s="21" t="str">
        <f aca="false">IF($A171="","",MAX(0,P171-Q171))</f>
        <v/>
      </c>
      <c r="S170" s="21" t="str">
        <f aca="false">IF($B171="","",IF(B171&lt;50000,3,IF(B171&lt;100000,4,5)))</f>
        <v/>
      </c>
      <c r="T170" s="5" t="str">
        <f aca="false">IF($A171="","",IF(OR(M171&gt;=4,I171&lt;=-8%),"防守",IF(OR(M171&gt;=2,I171&lt;=-5%),"警戒","正常")))</f>
        <v/>
      </c>
      <c r="U170" s="5" t="str">
        <f aca="false">IF($A171="","",IF(AND(L171&gt;=3,M171&lt;=2,T171&lt;&gt;"防守"),"是","否"))</f>
        <v/>
      </c>
      <c r="V170" s="5" t="str">
        <f aca="false">IF($A171="","",IF(AND(E171&lt;N171,R171&lt;S171,M171&lt;=2,I171&gt;-15%),"是","否"))</f>
        <v/>
      </c>
      <c r="W170" s="5" t="str">
        <f aca="false">IF($A171="","",IF(OR(M171&gt;=3,I171&lt;=-15%),"是","否"))</f>
        <v/>
      </c>
      <c r="X170" s="18" t="str">
        <f aca="false">IF($A171="","",IFERROR(maxifs(候选池!$AB:$AB,候选池!$A:$A,$A171),0))</f>
        <v/>
      </c>
      <c r="Y170" s="18" t="str">
        <f aca="false">IF($A171="","",IF(OR(M171&gt;=4,I171&lt;=-8%),MAX(0,B171*60%-C171),IF(AND(ISNUMBER(AD171),B171&gt;AD171),IF(B171&lt;30000,0,IF(B171&lt;100000,MAX(0,(B171-AD171)*0.2),MAX(0,(B171-AD171)*0.3))),0)))</f>
        <v/>
      </c>
      <c r="Z170" s="9"/>
      <c r="AA170" s="5" t="str">
        <f aca="false">IF($A171="","",IF($AA$2&lt;&gt;"",$AA$2,""))</f>
        <v/>
      </c>
      <c r="AB170" s="9" t="str">
        <f aca="false">IF($A171="","",IF(B171&lt;30000,0.03,IF(B171&lt;100000,0.02,0.015)))</f>
        <v/>
      </c>
      <c r="AC170" s="21" t="str">
        <f aca="false">IF($A171="","",IFERROR(DATEDIF($A$2,$A171,"m"),0))</f>
        <v/>
      </c>
      <c r="AD170" s="18" t="str">
        <f aca="false">IF($A171="","",IF(OR(AA171="",AB171="",AC171=""),"",AA171*POWER(1+AB171,AC171)))</f>
        <v/>
      </c>
      <c r="AE170" s="29" t="str">
        <f aca="false">IF($A171="","",IF(OR(AD171="",AD171=0),"",B171/AD171-1))</f>
        <v/>
      </c>
      <c r="AG170" s="1" t="str">
        <f aca="false">IF($A171="","",IF(B171&lt;30000,"婴儿",IF(B171&lt;100000,"成长","成熟")))</f>
        <v/>
      </c>
      <c r="AH170" s="24"/>
      <c r="AJ170" s="24"/>
      <c r="AK170" s="24"/>
      <c r="AM170" s="24"/>
      <c r="AP170" s="15"/>
      <c r="AQ170" s="25" t="str">
        <f aca="false">IF($A171="","",B171-$AA$2-SUM($F$2:F171))</f>
        <v/>
      </c>
      <c r="AR170" s="1" t="str">
        <f aca="false">IF($A170="","",30000)</f>
        <v/>
      </c>
      <c r="AS170" s="1" t="str">
        <f aca="false">IF($A170="","",AR170-B170)</f>
        <v/>
      </c>
      <c r="AT170" s="1" t="str">
        <f aca="false">IF($A170="","",IFERROR(B170/AR170,0))</f>
        <v/>
      </c>
      <c r="AU170" s="1" t="str">
        <f aca="false">IF($A170="","",IFERROR(B170*O170,0))</f>
        <v/>
      </c>
      <c r="AV170" s="1" t="str">
        <f aca="false">IF($A170="","",IFERROR(C170/B170,0))</f>
        <v/>
      </c>
      <c r="AW170" s="1" t="str">
        <f aca="false">IF($A170="","",MAX(0,R170-S170))</f>
        <v/>
      </c>
      <c r="AX170" s="1" t="str">
        <f aca="false">IF($A170="","",IF(AW170&gt;0,"优先降持仓数",IF(C170&lt;=0,"现金不足","允许评估")))</f>
        <v/>
      </c>
      <c r="AY170" s="1" t="str">
        <f aca="false">IF($A170="","",IF(B170&lt;30000,"婴儿阶段: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6"/>
      <c r="B171" s="17"/>
      <c r="C171" s="17"/>
      <c r="D171" s="18" t="str">
        <f aca="false">IF($A172="","",SUMIFS(持仓表!$J:$J,持仓表!$A:$A,$A172))</f>
        <v/>
      </c>
      <c r="E171" s="19" t="n">
        <f aca="false">IFERROR(D172/B172,0)</f>
        <v>0</v>
      </c>
      <c r="F171" s="17"/>
      <c r="G171" s="18" t="str">
        <f aca="false">IF($B172="","",MAX($B$2:B172))</f>
        <v/>
      </c>
      <c r="H171" s="19" t="n">
        <f aca="false">IFERROR((B172-F172)/F172,0)</f>
        <v>0</v>
      </c>
      <c r="I171" s="19" t="n">
        <f aca="false">IFERROR((B172-G172)/G172,0)</f>
        <v>0</v>
      </c>
      <c r="J171" s="6"/>
      <c r="K171" s="13"/>
      <c r="L171" s="20"/>
      <c r="M171" s="20"/>
      <c r="N171" s="19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71" s="19" t="str">
        <f aca="false">IF($B172="","",IF(B172&lt;30000,35%,IF(B172&lt;50000,30%,IF(B172&lt;100000,25%,20%))))</f>
        <v/>
      </c>
      <c r="P171" s="21" t="str">
        <f aca="false">IF($A172="","",COUNTIFS(持仓表!$A:$A,$A172,持仓表!$G:$G,"&gt;0"))</f>
        <v/>
      </c>
      <c r="Q171" s="21" t="str">
        <f aca="false">IF($A172="","",COUNTIFS(持仓表!$A:$A,$A172,持仓表!$D:$D,"是",持仓表!$G:$G,"&gt;0"))</f>
        <v/>
      </c>
      <c r="R171" s="21" t="str">
        <f aca="false">IF($A172="","",MAX(0,P172-Q172))</f>
        <v/>
      </c>
      <c r="S171" s="21" t="str">
        <f aca="false">IF($B172="","",IF(B172&lt;50000,3,IF(B172&lt;100000,4,5)))</f>
        <v/>
      </c>
      <c r="T171" s="5" t="str">
        <f aca="false">IF($A172="","",IF(OR(M172&gt;=4,I172&lt;=-8%),"防守",IF(OR(M172&gt;=2,I172&lt;=-5%),"警戒","正常")))</f>
        <v/>
      </c>
      <c r="U171" s="5" t="str">
        <f aca="false">IF($A172="","",IF(AND(L172&gt;=3,M172&lt;=2,T172&lt;&gt;"防守"),"是","否"))</f>
        <v/>
      </c>
      <c r="V171" s="5" t="str">
        <f aca="false">IF($A172="","",IF(AND(E172&lt;N172,R172&lt;S172,M172&lt;=2,I172&gt;-15%),"是","否"))</f>
        <v/>
      </c>
      <c r="W171" s="5" t="str">
        <f aca="false">IF($A172="","",IF(OR(M172&gt;=3,I172&lt;=-15%),"是","否"))</f>
        <v/>
      </c>
      <c r="X171" s="18" t="str">
        <f aca="false">IF($A172="","",IFERROR(maxifs(候选池!$AB:$AB,候选池!$A:$A,$A172),0))</f>
        <v/>
      </c>
      <c r="Y171" s="18" t="str">
        <f aca="false">IF($A172="","",IF(OR(M172&gt;=4,I172&lt;=-8%),MAX(0,B172*60%-C172),IF(AND(ISNUMBER(AD172),B172&gt;AD172),IF(B172&lt;30000,0,IF(B172&lt;100000,MAX(0,(B172-AD172)*0.2),MAX(0,(B172-AD172)*0.3))),0)))</f>
        <v/>
      </c>
      <c r="Z171" s="6"/>
      <c r="AA171" s="5" t="str">
        <f aca="false">IF($A172="","",IF($AA$2&lt;&gt;"",$AA$2,""))</f>
        <v/>
      </c>
      <c r="AB171" s="6" t="str">
        <f aca="false">IF($A172="","",IF(B172&lt;30000,0.03,IF(B172&lt;100000,0.02,0.015)))</f>
        <v/>
      </c>
      <c r="AC171" s="21" t="str">
        <f aca="false">IF($A172="","",IFERROR(DATEDIF($A$2,$A172,"m"),0))</f>
        <v/>
      </c>
      <c r="AD171" s="18" t="str">
        <f aca="false">IF($A172="","",IF(OR(AA172="",AB172="",AC172=""),"",AA172*POWER(1+AB172,AC172)))</f>
        <v/>
      </c>
      <c r="AE171" s="23" t="str">
        <f aca="false">IF($A172="","",IF(OR(AD172="",AD172=0),"",B172/AD172-1))</f>
        <v/>
      </c>
      <c r="AG171" s="1" t="str">
        <f aca="false">IF($A172="","",IF(B172&lt;30000,"婴儿",IF(B172&lt;100000,"成长","成熟")))</f>
        <v/>
      </c>
      <c r="AH171" s="24"/>
      <c r="AJ171" s="24"/>
      <c r="AK171" s="24"/>
      <c r="AM171" s="24"/>
      <c r="AP171" s="15"/>
      <c r="AQ171" s="25" t="str">
        <f aca="false">IF($A172="","",B172-$AA$2-SUM($F$2:F172))</f>
        <v/>
      </c>
      <c r="AR171" s="1" t="str">
        <f aca="false">IF($A171="","",30000)</f>
        <v/>
      </c>
      <c r="AS171" s="1" t="str">
        <f aca="false">IF($A171="","",AR171-B171)</f>
        <v/>
      </c>
      <c r="AT171" s="1" t="str">
        <f aca="false">IF($A171="","",IFERROR(B171/AR171,0))</f>
        <v/>
      </c>
      <c r="AU171" s="1" t="str">
        <f aca="false">IF($A171="","",IFERROR(B171*O171,0))</f>
        <v/>
      </c>
      <c r="AV171" s="1" t="str">
        <f aca="false">IF($A171="","",IFERROR(C171/B171,0))</f>
        <v/>
      </c>
      <c r="AW171" s="1" t="str">
        <f aca="false">IF($A171="","",MAX(0,R171-S171))</f>
        <v/>
      </c>
      <c r="AX171" s="1" t="str">
        <f aca="false">IF($A171="","",IF(AW171&gt;0,"优先降持仓数",IF(C171&lt;=0,"现金不足","允许评估")))</f>
        <v/>
      </c>
      <c r="AY171" s="1" t="str">
        <f aca="false">IF($A171="","",IF(B171&lt;30000,"婴儿阶段: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9"/>
      <c r="B172" s="26"/>
      <c r="C172" s="26"/>
      <c r="D172" s="18" t="str">
        <f aca="false">IF($A173="","",SUMIFS(持仓表!$J:$J,持仓表!$A:$A,$A173))</f>
        <v/>
      </c>
      <c r="E172" s="19" t="n">
        <f aca="false">IFERROR(D173/B173,0)</f>
        <v>0</v>
      </c>
      <c r="F172" s="26"/>
      <c r="G172" s="18" t="str">
        <f aca="false">IF($B173="","",MAX($B$2:B173))</f>
        <v/>
      </c>
      <c r="H172" s="19" t="n">
        <f aca="false">IFERROR((B173-F173)/F173,0)</f>
        <v>0</v>
      </c>
      <c r="I172" s="19" t="n">
        <f aca="false">IFERROR((B173-G173)/G173,0)</f>
        <v>0</v>
      </c>
      <c r="J172" s="9"/>
      <c r="K172" s="14"/>
      <c r="L172" s="27"/>
      <c r="M172" s="27"/>
      <c r="N172" s="19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72" s="19" t="str">
        <f aca="false">IF($B173="","",IF(B173&lt;30000,35%,IF(B173&lt;50000,30%,IF(B173&lt;100000,25%,20%))))</f>
        <v/>
      </c>
      <c r="P172" s="21" t="str">
        <f aca="false">IF($A173="","",COUNTIFS(持仓表!$A:$A,$A173,持仓表!$G:$G,"&gt;0"))</f>
        <v/>
      </c>
      <c r="Q172" s="21" t="str">
        <f aca="false">IF($A173="","",COUNTIFS(持仓表!$A:$A,$A173,持仓表!$D:$D,"是",持仓表!$G:$G,"&gt;0"))</f>
        <v/>
      </c>
      <c r="R172" s="21" t="str">
        <f aca="false">IF($A173="","",MAX(0,P173-Q173))</f>
        <v/>
      </c>
      <c r="S172" s="21" t="str">
        <f aca="false">IF($B173="","",IF(B173&lt;50000,3,IF(B173&lt;100000,4,5)))</f>
        <v/>
      </c>
      <c r="T172" s="5" t="str">
        <f aca="false">IF($A173="","",IF(OR(M173&gt;=4,I173&lt;=-8%),"防守",IF(OR(M173&gt;=2,I173&lt;=-5%),"警戒","正常")))</f>
        <v/>
      </c>
      <c r="U172" s="5" t="str">
        <f aca="false">IF($A173="","",IF(AND(L173&gt;=3,M173&lt;=2,T173&lt;&gt;"防守"),"是","否"))</f>
        <v/>
      </c>
      <c r="V172" s="5" t="str">
        <f aca="false">IF($A173="","",IF(AND(E173&lt;N173,R173&lt;S173,M173&lt;=2,I173&gt;-15%),"是","否"))</f>
        <v/>
      </c>
      <c r="W172" s="5" t="str">
        <f aca="false">IF($A173="","",IF(OR(M173&gt;=3,I173&lt;=-15%),"是","否"))</f>
        <v/>
      </c>
      <c r="X172" s="18" t="str">
        <f aca="false">IF($A173="","",IFERROR(maxifs(候选池!$AB:$AB,候选池!$A:$A,$A173),0))</f>
        <v/>
      </c>
      <c r="Y172" s="18" t="str">
        <f aca="false">IF($A173="","",IF(OR(M173&gt;=4,I173&lt;=-8%),MAX(0,B173*60%-C173),IF(AND(ISNUMBER(AD173),B173&gt;AD173),IF(B173&lt;30000,0,IF(B173&lt;100000,MAX(0,(B173-AD173)*0.2),MAX(0,(B173-AD173)*0.3))),0)))</f>
        <v/>
      </c>
      <c r="Z172" s="9"/>
      <c r="AA172" s="5" t="str">
        <f aca="false">IF($A173="","",IF($AA$2&lt;&gt;"",$AA$2,""))</f>
        <v/>
      </c>
      <c r="AB172" s="9" t="str">
        <f aca="false">IF($A173="","",IF(B173&lt;30000,0.03,IF(B173&lt;100000,0.02,0.015)))</f>
        <v/>
      </c>
      <c r="AC172" s="21" t="str">
        <f aca="false">IF($A173="","",IFERROR(DATEDIF($A$2,$A173,"m"),0))</f>
        <v/>
      </c>
      <c r="AD172" s="18" t="str">
        <f aca="false">IF($A173="","",IF(OR(AA173="",AB173="",AC173=""),"",AA173*POWER(1+AB173,AC173)))</f>
        <v/>
      </c>
      <c r="AE172" s="29" t="str">
        <f aca="false">IF($A173="","",IF(OR(AD173="",AD173=0),"",B173/AD173-1))</f>
        <v/>
      </c>
      <c r="AG172" s="1" t="str">
        <f aca="false">IF($A173="","",IF(B173&lt;30000,"婴儿",IF(B173&lt;100000,"成长","成熟")))</f>
        <v/>
      </c>
      <c r="AH172" s="24"/>
      <c r="AJ172" s="24"/>
      <c r="AK172" s="24"/>
      <c r="AM172" s="24"/>
      <c r="AP172" s="15"/>
      <c r="AQ172" s="25" t="str">
        <f aca="false">IF($A173="","",B173-$AA$2-SUM($F$2:F173))</f>
        <v/>
      </c>
      <c r="AR172" s="1" t="str">
        <f aca="false">IF($A172="","",30000)</f>
        <v/>
      </c>
      <c r="AS172" s="1" t="str">
        <f aca="false">IF($A172="","",AR172-B172)</f>
        <v/>
      </c>
      <c r="AT172" s="1" t="str">
        <f aca="false">IF($A172="","",IFERROR(B172/AR172,0))</f>
        <v/>
      </c>
      <c r="AU172" s="1" t="str">
        <f aca="false">IF($A172="","",IFERROR(B172*O172,0))</f>
        <v/>
      </c>
      <c r="AV172" s="1" t="str">
        <f aca="false">IF($A172="","",IFERROR(C172/B172,0))</f>
        <v/>
      </c>
      <c r="AW172" s="1" t="str">
        <f aca="false">IF($A172="","",MAX(0,R172-S172))</f>
        <v/>
      </c>
      <c r="AX172" s="1" t="str">
        <f aca="false">IF($A172="","",IF(AW172&gt;0,"优先降持仓数",IF(C172&lt;=0,"现金不足","允许评估")))</f>
        <v/>
      </c>
      <c r="AY172" s="1" t="str">
        <f aca="false">IF($A172="","",IF(B172&lt;30000,"婴儿阶段: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6"/>
      <c r="B173" s="17"/>
      <c r="C173" s="17"/>
      <c r="D173" s="18" t="str">
        <f aca="false">IF($A174="","",SUMIFS(持仓表!$J:$J,持仓表!$A:$A,$A174))</f>
        <v/>
      </c>
      <c r="E173" s="19" t="n">
        <f aca="false">IFERROR(D174/B174,0)</f>
        <v>0</v>
      </c>
      <c r="F173" s="17"/>
      <c r="G173" s="18" t="str">
        <f aca="false">IF($B174="","",MAX($B$2:B174))</f>
        <v/>
      </c>
      <c r="H173" s="19" t="n">
        <f aca="false">IFERROR((B174-F174)/F174,0)</f>
        <v>0</v>
      </c>
      <c r="I173" s="19" t="n">
        <f aca="false">IFERROR((B174-G174)/G174,0)</f>
        <v>0</v>
      </c>
      <c r="J173" s="6"/>
      <c r="K173" s="13"/>
      <c r="L173" s="20"/>
      <c r="M173" s="20"/>
      <c r="N173" s="19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73" s="19" t="str">
        <f aca="false">IF($B174="","",IF(B174&lt;30000,35%,IF(B174&lt;50000,30%,IF(B174&lt;100000,25%,20%))))</f>
        <v/>
      </c>
      <c r="P173" s="21" t="str">
        <f aca="false">IF($A174="","",COUNTIFS(持仓表!$A:$A,$A174,持仓表!$G:$G,"&gt;0"))</f>
        <v/>
      </c>
      <c r="Q173" s="21" t="str">
        <f aca="false">IF($A174="","",COUNTIFS(持仓表!$A:$A,$A174,持仓表!$D:$D,"是",持仓表!$G:$G,"&gt;0"))</f>
        <v/>
      </c>
      <c r="R173" s="21" t="str">
        <f aca="false">IF($A174="","",MAX(0,P174-Q174))</f>
        <v/>
      </c>
      <c r="S173" s="21" t="str">
        <f aca="false">IF($B174="","",IF(B174&lt;50000,3,IF(B174&lt;100000,4,5)))</f>
        <v/>
      </c>
      <c r="T173" s="5" t="str">
        <f aca="false">IF($A174="","",IF(OR(M174&gt;=4,I174&lt;=-8%),"防守",IF(OR(M174&gt;=2,I174&lt;=-5%),"警戒","正常")))</f>
        <v/>
      </c>
      <c r="U173" s="5" t="str">
        <f aca="false">IF($A174="","",IF(AND(L174&gt;=3,M174&lt;=2,T174&lt;&gt;"防守"),"是","否"))</f>
        <v/>
      </c>
      <c r="V173" s="5" t="str">
        <f aca="false">IF($A174="","",IF(AND(E174&lt;N174,R174&lt;S174,M174&lt;=2,I174&gt;-15%),"是","否"))</f>
        <v/>
      </c>
      <c r="W173" s="5" t="str">
        <f aca="false">IF($A174="","",IF(OR(M174&gt;=3,I174&lt;=-15%),"是","否"))</f>
        <v/>
      </c>
      <c r="X173" s="18" t="str">
        <f aca="false">IF($A174="","",IFERROR(maxifs(候选池!$AB:$AB,候选池!$A:$A,$A174),0))</f>
        <v/>
      </c>
      <c r="Y173" s="18" t="str">
        <f aca="false">IF($A174="","",IF(OR(M174&gt;=4,I174&lt;=-8%),MAX(0,B174*60%-C174),IF(AND(ISNUMBER(AD174),B174&gt;AD174),IF(B174&lt;30000,0,IF(B174&lt;100000,MAX(0,(B174-AD174)*0.2),MAX(0,(B174-AD174)*0.3))),0)))</f>
        <v/>
      </c>
      <c r="Z173" s="6"/>
      <c r="AA173" s="5" t="str">
        <f aca="false">IF($A174="","",IF($AA$2&lt;&gt;"",$AA$2,""))</f>
        <v/>
      </c>
      <c r="AB173" s="6" t="str">
        <f aca="false">IF($A174="","",IF(B174&lt;30000,0.03,IF(B174&lt;100000,0.02,0.015)))</f>
        <v/>
      </c>
      <c r="AC173" s="21" t="str">
        <f aca="false">IF($A174="","",IFERROR(DATEDIF($A$2,$A174,"m"),0))</f>
        <v/>
      </c>
      <c r="AD173" s="18" t="str">
        <f aca="false">IF($A174="","",IF(OR(AA174="",AB174="",AC174=""),"",AA174*POWER(1+AB174,AC174)))</f>
        <v/>
      </c>
      <c r="AE173" s="23" t="str">
        <f aca="false">IF($A174="","",IF(OR(AD174="",AD174=0),"",B174/AD174-1))</f>
        <v/>
      </c>
      <c r="AG173" s="1" t="str">
        <f aca="false">IF($A174="","",IF(B174&lt;30000,"婴儿",IF(B174&lt;100000,"成长","成熟")))</f>
        <v/>
      </c>
      <c r="AH173" s="24"/>
      <c r="AJ173" s="24"/>
      <c r="AK173" s="24"/>
      <c r="AM173" s="24"/>
      <c r="AP173" s="15"/>
      <c r="AQ173" s="25" t="str">
        <f aca="false">IF($A174="","",B174-$AA$2-SUM($F$2:F174))</f>
        <v/>
      </c>
      <c r="AR173" s="1" t="str">
        <f aca="false">IF($A173="","",30000)</f>
        <v/>
      </c>
      <c r="AS173" s="1" t="str">
        <f aca="false">IF($A173="","",AR173-B173)</f>
        <v/>
      </c>
      <c r="AT173" s="1" t="str">
        <f aca="false">IF($A173="","",IFERROR(B173/AR173,0))</f>
        <v/>
      </c>
      <c r="AU173" s="1" t="str">
        <f aca="false">IF($A173="","",IFERROR(B173*O173,0))</f>
        <v/>
      </c>
      <c r="AV173" s="1" t="str">
        <f aca="false">IF($A173="","",IFERROR(C173/B173,0))</f>
        <v/>
      </c>
      <c r="AW173" s="1" t="str">
        <f aca="false">IF($A173="","",MAX(0,R173-S173))</f>
        <v/>
      </c>
      <c r="AX173" s="1" t="str">
        <f aca="false">IF($A173="","",IF(AW173&gt;0,"优先降持仓数",IF(C173&lt;=0,"现金不足","允许评估")))</f>
        <v/>
      </c>
      <c r="AY173" s="1" t="str">
        <f aca="false">IF($A173="","",IF(B173&lt;30000,"婴儿阶段: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9"/>
      <c r="B174" s="26"/>
      <c r="C174" s="26"/>
      <c r="D174" s="18" t="str">
        <f aca="false">IF($A175="","",SUMIFS(持仓表!$J:$J,持仓表!$A:$A,$A175))</f>
        <v/>
      </c>
      <c r="E174" s="19" t="n">
        <f aca="false">IFERROR(D175/B175,0)</f>
        <v>0</v>
      </c>
      <c r="F174" s="26"/>
      <c r="G174" s="18" t="str">
        <f aca="false">IF($B175="","",MAX($B$2:B175))</f>
        <v/>
      </c>
      <c r="H174" s="19" t="n">
        <f aca="false">IFERROR((B175-F175)/F175,0)</f>
        <v>0</v>
      </c>
      <c r="I174" s="19" t="n">
        <f aca="false">IFERROR((B175-G175)/G175,0)</f>
        <v>0</v>
      </c>
      <c r="J174" s="9"/>
      <c r="K174" s="14"/>
      <c r="L174" s="27"/>
      <c r="M174" s="27"/>
      <c r="N174" s="19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4" s="19" t="str">
        <f aca="false">IF($B175="","",IF(B175&lt;30000,35%,IF(B175&lt;50000,30%,IF(B175&lt;100000,25%,20%))))</f>
        <v/>
      </c>
      <c r="P174" s="21" t="str">
        <f aca="false">IF($A175="","",COUNTIFS(持仓表!$A:$A,$A175,持仓表!$G:$G,"&gt;0"))</f>
        <v/>
      </c>
      <c r="Q174" s="21" t="str">
        <f aca="false">IF($A175="","",COUNTIFS(持仓表!$A:$A,$A175,持仓表!$D:$D,"是",持仓表!$G:$G,"&gt;0"))</f>
        <v/>
      </c>
      <c r="R174" s="21" t="str">
        <f aca="false">IF($A175="","",MAX(0,P175-Q175))</f>
        <v/>
      </c>
      <c r="S174" s="21" t="str">
        <f aca="false">IF($B175="","",IF(B175&lt;50000,3,IF(B175&lt;100000,4,5)))</f>
        <v/>
      </c>
      <c r="T174" s="5" t="str">
        <f aca="false">IF($A175="","",IF(OR(M175&gt;=4,I175&lt;=-8%),"防守",IF(OR(M175&gt;=2,I175&lt;=-5%),"警戒","正常")))</f>
        <v/>
      </c>
      <c r="U174" s="5" t="str">
        <f aca="false">IF($A175="","",IF(AND(L175&gt;=3,M175&lt;=2,T175&lt;&gt;"防守"),"是","否"))</f>
        <v/>
      </c>
      <c r="V174" s="5" t="str">
        <f aca="false">IF($A175="","",IF(AND(E175&lt;N175,R175&lt;S175,M175&lt;=2,I175&gt;-15%),"是","否"))</f>
        <v/>
      </c>
      <c r="W174" s="5" t="str">
        <f aca="false">IF($A175="","",IF(OR(M175&gt;=3,I175&lt;=-15%),"是","否"))</f>
        <v/>
      </c>
      <c r="X174" s="18" t="str">
        <f aca="false">IF($A175="","",IFERROR(maxifs(候选池!$AB:$AB,候选池!$A:$A,$A175),0))</f>
        <v/>
      </c>
      <c r="Y174" s="18" t="str">
        <f aca="false">IF($A175="","",IF(OR(M175&gt;=4,I175&lt;=-8%),MAX(0,B175*60%-C175),IF(AND(ISNUMBER(AD175),B175&gt;AD175),IF(B175&lt;30000,0,IF(B175&lt;100000,MAX(0,(B175-AD175)*0.2),MAX(0,(B175-AD175)*0.3))),0)))</f>
        <v/>
      </c>
      <c r="Z174" s="9"/>
      <c r="AA174" s="5" t="str">
        <f aca="false">IF($A175="","",IF($AA$2&lt;&gt;"",$AA$2,""))</f>
        <v/>
      </c>
      <c r="AB174" s="9" t="str">
        <f aca="false">IF($A175="","",IF(B175&lt;30000,0.03,IF(B175&lt;100000,0.02,0.015)))</f>
        <v/>
      </c>
      <c r="AC174" s="21" t="str">
        <f aca="false">IF($A175="","",IFERROR(DATEDIF($A$2,$A175,"m"),0))</f>
        <v/>
      </c>
      <c r="AD174" s="18" t="str">
        <f aca="false">IF($A175="","",IF(OR(AA175="",AB175="",AC175=""),"",AA175*POWER(1+AB175,AC175)))</f>
        <v/>
      </c>
      <c r="AE174" s="29" t="str">
        <f aca="false">IF($A175="","",IF(OR(AD175="",AD175=0),"",B175/AD175-1))</f>
        <v/>
      </c>
      <c r="AG174" s="1" t="str">
        <f aca="false">IF($A175="","",IF(B175&lt;30000,"婴儿",IF(B175&lt;100000,"成长","成熟")))</f>
        <v/>
      </c>
      <c r="AH174" s="24"/>
      <c r="AJ174" s="24"/>
      <c r="AK174" s="24"/>
      <c r="AM174" s="24"/>
      <c r="AP174" s="15"/>
      <c r="AQ174" s="25" t="str">
        <f aca="false">IF($A175="","",B175-$AA$2-SUM($F$2:F175))</f>
        <v/>
      </c>
      <c r="AR174" s="1" t="str">
        <f aca="false">IF($A174="","",30000)</f>
        <v/>
      </c>
      <c r="AS174" s="1" t="str">
        <f aca="false">IF($A174="","",AR174-B174)</f>
        <v/>
      </c>
      <c r="AT174" s="1" t="str">
        <f aca="false">IF($A174="","",IFERROR(B174/AR174,0))</f>
        <v/>
      </c>
      <c r="AU174" s="1" t="str">
        <f aca="false">IF($A174="","",IFERROR(B174*O174,0))</f>
        <v/>
      </c>
      <c r="AV174" s="1" t="str">
        <f aca="false">IF($A174="","",IFERROR(C174/B174,0))</f>
        <v/>
      </c>
      <c r="AW174" s="1" t="str">
        <f aca="false">IF($A174="","",MAX(0,R174-S174))</f>
        <v/>
      </c>
      <c r="AX174" s="1" t="str">
        <f aca="false">IF($A174="","",IF(AW174&gt;0,"优先降持仓数",IF(C174&lt;=0,"现金不足","允许评估")))</f>
        <v/>
      </c>
      <c r="AY174" s="1" t="str">
        <f aca="false">IF($A174="","",IF(B174&lt;30000,"婴儿阶段: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6"/>
      <c r="B175" s="17"/>
      <c r="C175" s="17"/>
      <c r="D175" s="18" t="str">
        <f aca="false">IF($A176="","",SUMIFS(持仓表!$J:$J,持仓表!$A:$A,$A176))</f>
        <v/>
      </c>
      <c r="E175" s="19" t="n">
        <f aca="false">IFERROR(D176/B176,0)</f>
        <v>0</v>
      </c>
      <c r="F175" s="17"/>
      <c r="G175" s="18" t="str">
        <f aca="false">IF($B176="","",MAX($B$2:B176))</f>
        <v/>
      </c>
      <c r="H175" s="19" t="n">
        <f aca="false">IFERROR((B176-F176)/F176,0)</f>
        <v>0</v>
      </c>
      <c r="I175" s="19" t="n">
        <f aca="false">IFERROR((B176-G176)/G176,0)</f>
        <v>0</v>
      </c>
      <c r="J175" s="6"/>
      <c r="K175" s="13"/>
      <c r="L175" s="20"/>
      <c r="M175" s="20"/>
      <c r="N175" s="19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5" s="19" t="str">
        <f aca="false">IF($B176="","",IF(B176&lt;30000,35%,IF(B176&lt;50000,30%,IF(B176&lt;100000,25%,20%))))</f>
        <v/>
      </c>
      <c r="P175" s="21" t="str">
        <f aca="false">IF($A176="","",COUNTIFS(持仓表!$A:$A,$A176,持仓表!$G:$G,"&gt;0"))</f>
        <v/>
      </c>
      <c r="Q175" s="21" t="str">
        <f aca="false">IF($A176="","",COUNTIFS(持仓表!$A:$A,$A176,持仓表!$D:$D,"是",持仓表!$G:$G,"&gt;0"))</f>
        <v/>
      </c>
      <c r="R175" s="21" t="str">
        <f aca="false">IF($A176="","",MAX(0,P176-Q176))</f>
        <v/>
      </c>
      <c r="S175" s="21" t="str">
        <f aca="false">IF($B176="","",IF(B176&lt;50000,3,IF(B176&lt;100000,4,5)))</f>
        <v/>
      </c>
      <c r="T175" s="5" t="str">
        <f aca="false">IF($A176="","",IF(OR(M176&gt;=4,I176&lt;=-8%),"防守",IF(OR(M176&gt;=2,I176&lt;=-5%),"警戒","正常")))</f>
        <v/>
      </c>
      <c r="U175" s="5" t="str">
        <f aca="false">IF($A176="","",IF(AND(L176&gt;=3,M176&lt;=2,T176&lt;&gt;"防守"),"是","否"))</f>
        <v/>
      </c>
      <c r="V175" s="5" t="str">
        <f aca="false">IF($A176="","",IF(AND(E176&lt;N176,R176&lt;S176,M176&lt;=2,I176&gt;-15%),"是","否"))</f>
        <v/>
      </c>
      <c r="W175" s="5" t="str">
        <f aca="false">IF($A176="","",IF(OR(M176&gt;=3,I176&lt;=-15%),"是","否"))</f>
        <v/>
      </c>
      <c r="X175" s="18" t="str">
        <f aca="false">IF($A176="","",IFERROR(maxifs(候选池!$AB:$AB,候选池!$A:$A,$A176),0))</f>
        <v/>
      </c>
      <c r="Y175" s="18" t="str">
        <f aca="false">IF($A176="","",IF(OR(M176&gt;=4,I176&lt;=-8%),MAX(0,B176*60%-C176),IF(AND(ISNUMBER(AD176),B176&gt;AD176),IF(B176&lt;30000,0,IF(B176&lt;100000,MAX(0,(B176-AD176)*0.2),MAX(0,(B176-AD176)*0.3))),0)))</f>
        <v/>
      </c>
      <c r="Z175" s="6"/>
      <c r="AA175" s="5" t="str">
        <f aca="false">IF($A176="","",IF($AA$2&lt;&gt;"",$AA$2,""))</f>
        <v/>
      </c>
      <c r="AB175" s="6" t="str">
        <f aca="false">IF($A176="","",IF(B176&lt;30000,0.03,IF(B176&lt;100000,0.02,0.015)))</f>
        <v/>
      </c>
      <c r="AC175" s="21" t="str">
        <f aca="false">IF($A176="","",IFERROR(DATEDIF($A$2,$A176,"m"),0))</f>
        <v/>
      </c>
      <c r="AD175" s="18" t="str">
        <f aca="false">IF($A176="","",IF(OR(AA176="",AB176="",AC176=""),"",AA176*POWER(1+AB176,AC176)))</f>
        <v/>
      </c>
      <c r="AE175" s="23" t="str">
        <f aca="false">IF($A176="","",IF(OR(AD176="",AD176=0),"",B176/AD176-1))</f>
        <v/>
      </c>
      <c r="AG175" s="1" t="str">
        <f aca="false">IF($A176="","",IF(B176&lt;30000,"婴儿",IF(B176&lt;100000,"成长","成熟")))</f>
        <v/>
      </c>
      <c r="AH175" s="24"/>
      <c r="AJ175" s="24"/>
      <c r="AK175" s="24"/>
      <c r="AM175" s="24"/>
      <c r="AP175" s="15"/>
      <c r="AQ175" s="25" t="str">
        <f aca="false">IF($A176="","",B176-$AA$2-SUM($F$2:F176))</f>
        <v/>
      </c>
      <c r="AR175" s="1" t="str">
        <f aca="false">IF($A175="","",30000)</f>
        <v/>
      </c>
      <c r="AS175" s="1" t="str">
        <f aca="false">IF($A175="","",AR175-B175)</f>
        <v/>
      </c>
      <c r="AT175" s="1" t="str">
        <f aca="false">IF($A175="","",IFERROR(B175/AR175,0))</f>
        <v/>
      </c>
      <c r="AU175" s="1" t="str">
        <f aca="false">IF($A175="","",IFERROR(B175*O175,0))</f>
        <v/>
      </c>
      <c r="AV175" s="1" t="str">
        <f aca="false">IF($A175="","",IFERROR(C175/B175,0))</f>
        <v/>
      </c>
      <c r="AW175" s="1" t="str">
        <f aca="false">IF($A175="","",MAX(0,R175-S175))</f>
        <v/>
      </c>
      <c r="AX175" s="1" t="str">
        <f aca="false">IF($A175="","",IF(AW175&gt;0,"优先降持仓数",IF(C175&lt;=0,"现金不足","允许评估")))</f>
        <v/>
      </c>
      <c r="AY175" s="1" t="str">
        <f aca="false">IF($A175="","",IF(B175&lt;30000,"婴儿阶段: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9"/>
      <c r="B176" s="26"/>
      <c r="C176" s="26"/>
      <c r="D176" s="18" t="str">
        <f aca="false">IF($A177="","",SUMIFS(持仓表!$J:$J,持仓表!$A:$A,$A177))</f>
        <v/>
      </c>
      <c r="E176" s="19" t="n">
        <f aca="false">IFERROR(D177/B177,0)</f>
        <v>0</v>
      </c>
      <c r="F176" s="26"/>
      <c r="G176" s="18" t="str">
        <f aca="false">IF($B177="","",MAX($B$2:B177))</f>
        <v/>
      </c>
      <c r="H176" s="19" t="n">
        <f aca="false">IFERROR((B177-F177)/F177,0)</f>
        <v>0</v>
      </c>
      <c r="I176" s="19" t="n">
        <f aca="false">IFERROR((B177-G177)/G177,0)</f>
        <v>0</v>
      </c>
      <c r="J176" s="9"/>
      <c r="K176" s="14"/>
      <c r="L176" s="27"/>
      <c r="M176" s="27"/>
      <c r="N176" s="19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6" s="19" t="str">
        <f aca="false">IF($B177="","",IF(B177&lt;30000,35%,IF(B177&lt;50000,30%,IF(B177&lt;100000,25%,20%))))</f>
        <v/>
      </c>
      <c r="P176" s="21" t="str">
        <f aca="false">IF($A177="","",COUNTIFS(持仓表!$A:$A,$A177,持仓表!$G:$G,"&gt;0"))</f>
        <v/>
      </c>
      <c r="Q176" s="21" t="str">
        <f aca="false">IF($A177="","",COUNTIFS(持仓表!$A:$A,$A177,持仓表!$D:$D,"是",持仓表!$G:$G,"&gt;0"))</f>
        <v/>
      </c>
      <c r="R176" s="21" t="str">
        <f aca="false">IF($A177="","",MAX(0,P177-Q177))</f>
        <v/>
      </c>
      <c r="S176" s="21" t="str">
        <f aca="false">IF($B177="","",IF(B177&lt;50000,3,IF(B177&lt;100000,4,5)))</f>
        <v/>
      </c>
      <c r="T176" s="5" t="str">
        <f aca="false">IF($A177="","",IF(OR(M177&gt;=4,I177&lt;=-8%),"防守",IF(OR(M177&gt;=2,I177&lt;=-5%),"警戒","正常")))</f>
        <v/>
      </c>
      <c r="U176" s="5" t="str">
        <f aca="false">IF($A177="","",IF(AND(L177&gt;=3,M177&lt;=2,T177&lt;&gt;"防守"),"是","否"))</f>
        <v/>
      </c>
      <c r="V176" s="5" t="str">
        <f aca="false">IF($A177="","",IF(AND(E177&lt;N177,R177&lt;S177,M177&lt;=2,I177&gt;-15%),"是","否"))</f>
        <v/>
      </c>
      <c r="W176" s="5" t="str">
        <f aca="false">IF($A177="","",IF(OR(M177&gt;=3,I177&lt;=-15%),"是","否"))</f>
        <v/>
      </c>
      <c r="X176" s="18" t="str">
        <f aca="false">IF($A177="","",IFERROR(maxifs(候选池!$AB:$AB,候选池!$A:$A,$A177),0))</f>
        <v/>
      </c>
      <c r="Y176" s="18" t="str">
        <f aca="false">IF($A177="","",IF(OR(M177&gt;=4,I177&lt;=-8%),MAX(0,B177*60%-C177),IF(AND(ISNUMBER(AD177),B177&gt;AD177),IF(B177&lt;30000,0,IF(B177&lt;100000,MAX(0,(B177-AD177)*0.2),MAX(0,(B177-AD177)*0.3))),0)))</f>
        <v/>
      </c>
      <c r="Z176" s="9"/>
      <c r="AA176" s="5" t="str">
        <f aca="false">IF($A177="","",IF($AA$2&lt;&gt;"",$AA$2,""))</f>
        <v/>
      </c>
      <c r="AB176" s="9" t="str">
        <f aca="false">IF($A177="","",IF(B177&lt;30000,0.03,IF(B177&lt;100000,0.02,0.015)))</f>
        <v/>
      </c>
      <c r="AC176" s="21" t="str">
        <f aca="false">IF($A177="","",IFERROR(DATEDIF($A$2,$A177,"m"),0))</f>
        <v/>
      </c>
      <c r="AD176" s="18" t="str">
        <f aca="false">IF($A177="","",IF(OR(AA177="",AB177="",AC177=""),"",AA177*POWER(1+AB177,AC177)))</f>
        <v/>
      </c>
      <c r="AE176" s="29" t="str">
        <f aca="false">IF($A177="","",IF(OR(AD177="",AD177=0),"",B177/AD177-1))</f>
        <v/>
      </c>
      <c r="AG176" s="1" t="str">
        <f aca="false">IF($A177="","",IF(B177&lt;30000,"婴儿",IF(B177&lt;100000,"成长","成熟")))</f>
        <v/>
      </c>
      <c r="AH176" s="24"/>
      <c r="AJ176" s="24"/>
      <c r="AK176" s="24"/>
      <c r="AM176" s="24"/>
      <c r="AP176" s="15"/>
      <c r="AQ176" s="25" t="str">
        <f aca="false">IF($A177="","",B177-$AA$2-SUM($F$2:F177))</f>
        <v/>
      </c>
      <c r="AR176" s="1" t="str">
        <f aca="false">IF($A176="","",30000)</f>
        <v/>
      </c>
      <c r="AS176" s="1" t="str">
        <f aca="false">IF($A176="","",AR176-B176)</f>
        <v/>
      </c>
      <c r="AT176" s="1" t="str">
        <f aca="false">IF($A176="","",IFERROR(B176/AR176,0))</f>
        <v/>
      </c>
      <c r="AU176" s="1" t="str">
        <f aca="false">IF($A176="","",IFERROR(B176*O176,0))</f>
        <v/>
      </c>
      <c r="AV176" s="1" t="str">
        <f aca="false">IF($A176="","",IFERROR(C176/B176,0))</f>
        <v/>
      </c>
      <c r="AW176" s="1" t="str">
        <f aca="false">IF($A176="","",MAX(0,R176-S176))</f>
        <v/>
      </c>
      <c r="AX176" s="1" t="str">
        <f aca="false">IF($A176="","",IF(AW176&gt;0,"优先降持仓数",IF(C176&lt;=0,"现金不足","允许评估")))</f>
        <v/>
      </c>
      <c r="AY176" s="1" t="str">
        <f aca="false">IF($A176="","",IF(B176&lt;30000,"婴儿阶段: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6"/>
      <c r="B177" s="17"/>
      <c r="C177" s="17"/>
      <c r="D177" s="18" t="str">
        <f aca="false">IF($A178="","",SUMIFS(持仓表!$J:$J,持仓表!$A:$A,$A178))</f>
        <v/>
      </c>
      <c r="E177" s="19" t="n">
        <f aca="false">IFERROR(D178/B178,0)</f>
        <v>0</v>
      </c>
      <c r="F177" s="17"/>
      <c r="G177" s="18" t="str">
        <f aca="false">IF($B178="","",MAX($B$2:B178))</f>
        <v/>
      </c>
      <c r="H177" s="19" t="n">
        <f aca="false">IFERROR((B178-F178)/F178,0)</f>
        <v>0</v>
      </c>
      <c r="I177" s="19" t="n">
        <f aca="false">IFERROR((B178-G178)/G178,0)</f>
        <v>0</v>
      </c>
      <c r="J177" s="6"/>
      <c r="K177" s="13"/>
      <c r="L177" s="20"/>
      <c r="M177" s="20"/>
      <c r="N177" s="19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7" s="19" t="str">
        <f aca="false">IF($B178="","",IF(B178&lt;30000,35%,IF(B178&lt;50000,30%,IF(B178&lt;100000,25%,20%))))</f>
        <v/>
      </c>
      <c r="P177" s="21" t="str">
        <f aca="false">IF($A178="","",COUNTIFS(持仓表!$A:$A,$A178,持仓表!$G:$G,"&gt;0"))</f>
        <v/>
      </c>
      <c r="Q177" s="21" t="str">
        <f aca="false">IF($A178="","",COUNTIFS(持仓表!$A:$A,$A178,持仓表!$D:$D,"是",持仓表!$G:$G,"&gt;0"))</f>
        <v/>
      </c>
      <c r="R177" s="21" t="str">
        <f aca="false">IF($A178="","",MAX(0,P178-Q178))</f>
        <v/>
      </c>
      <c r="S177" s="21" t="str">
        <f aca="false">IF($B178="","",IF(B178&lt;50000,3,IF(B178&lt;100000,4,5)))</f>
        <v/>
      </c>
      <c r="T177" s="5" t="str">
        <f aca="false">IF($A178="","",IF(OR(M178&gt;=4,I178&lt;=-8%),"防守",IF(OR(M178&gt;=2,I178&lt;=-5%),"警戒","正常")))</f>
        <v/>
      </c>
      <c r="U177" s="5" t="str">
        <f aca="false">IF($A178="","",IF(AND(L178&gt;=3,M178&lt;=2,T178&lt;&gt;"防守"),"是","否"))</f>
        <v/>
      </c>
      <c r="V177" s="5" t="str">
        <f aca="false">IF($A178="","",IF(AND(E178&lt;N178,R178&lt;S178,M178&lt;=2,I178&gt;-15%),"是","否"))</f>
        <v/>
      </c>
      <c r="W177" s="5" t="str">
        <f aca="false">IF($A178="","",IF(OR(M178&gt;=3,I178&lt;=-15%),"是","否"))</f>
        <v/>
      </c>
      <c r="X177" s="18" t="str">
        <f aca="false">IF($A178="","",IFERROR(maxifs(候选池!$AB:$AB,候选池!$A:$A,$A178),0))</f>
        <v/>
      </c>
      <c r="Y177" s="18" t="str">
        <f aca="false">IF($A178="","",IF(OR(M178&gt;=4,I178&lt;=-8%),MAX(0,B178*60%-C178),IF(AND(ISNUMBER(AD178),B178&gt;AD178),IF(B178&lt;30000,0,IF(B178&lt;100000,MAX(0,(B178-AD178)*0.2),MAX(0,(B178-AD178)*0.3))),0)))</f>
        <v/>
      </c>
      <c r="Z177" s="6"/>
      <c r="AA177" s="5" t="str">
        <f aca="false">IF($A178="","",IF($AA$2&lt;&gt;"",$AA$2,""))</f>
        <v/>
      </c>
      <c r="AB177" s="6" t="str">
        <f aca="false">IF($A178="","",IF(B178&lt;30000,0.03,IF(B178&lt;100000,0.02,0.015)))</f>
        <v/>
      </c>
      <c r="AC177" s="21" t="str">
        <f aca="false">IF($A178="","",IFERROR(DATEDIF($A$2,$A178,"m"),0))</f>
        <v/>
      </c>
      <c r="AD177" s="18" t="str">
        <f aca="false">IF($A178="","",IF(OR(AA178="",AB178="",AC178=""),"",AA178*POWER(1+AB178,AC178)))</f>
        <v/>
      </c>
      <c r="AE177" s="23" t="str">
        <f aca="false">IF($A178="","",IF(OR(AD178="",AD178=0),"",B178/AD178-1))</f>
        <v/>
      </c>
      <c r="AG177" s="1" t="str">
        <f aca="false">IF($A178="","",IF(B178&lt;30000,"婴儿",IF(B178&lt;100000,"成长","成熟")))</f>
        <v/>
      </c>
      <c r="AH177" s="24"/>
      <c r="AJ177" s="24"/>
      <c r="AK177" s="24"/>
      <c r="AM177" s="24"/>
      <c r="AP177" s="15"/>
      <c r="AQ177" s="25" t="str">
        <f aca="false">IF($A178="","",B178-$AA$2-SUM($F$2:F178))</f>
        <v/>
      </c>
      <c r="AR177" s="1" t="str">
        <f aca="false">IF($A177="","",30000)</f>
        <v/>
      </c>
      <c r="AS177" s="1" t="str">
        <f aca="false">IF($A177="","",AR177-B177)</f>
        <v/>
      </c>
      <c r="AT177" s="1" t="str">
        <f aca="false">IF($A177="","",IFERROR(B177/AR177,0))</f>
        <v/>
      </c>
      <c r="AU177" s="1" t="str">
        <f aca="false">IF($A177="","",IFERROR(B177*O177,0))</f>
        <v/>
      </c>
      <c r="AV177" s="1" t="str">
        <f aca="false">IF($A177="","",IFERROR(C177/B177,0))</f>
        <v/>
      </c>
      <c r="AW177" s="1" t="str">
        <f aca="false">IF($A177="","",MAX(0,R177-S177))</f>
        <v/>
      </c>
      <c r="AX177" s="1" t="str">
        <f aca="false">IF($A177="","",IF(AW177&gt;0,"优先降持仓数",IF(C177&lt;=0,"现金不足","允许评估")))</f>
        <v/>
      </c>
      <c r="AY177" s="1" t="str">
        <f aca="false">IF($A177="","",IF(B177&lt;30000,"婴儿阶段: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9"/>
      <c r="B178" s="26"/>
      <c r="C178" s="26"/>
      <c r="D178" s="18" t="str">
        <f aca="false">IF($A179="","",SUMIFS(持仓表!$J:$J,持仓表!$A:$A,$A179))</f>
        <v/>
      </c>
      <c r="E178" s="19" t="n">
        <f aca="false">IFERROR(D179/B179,0)</f>
        <v>0</v>
      </c>
      <c r="F178" s="26"/>
      <c r="G178" s="18" t="str">
        <f aca="false">IF($B179="","",MAX($B$2:B179))</f>
        <v/>
      </c>
      <c r="H178" s="19" t="n">
        <f aca="false">IFERROR((B179-F179)/F179,0)</f>
        <v>0</v>
      </c>
      <c r="I178" s="19" t="n">
        <f aca="false">IFERROR((B179-G179)/G179,0)</f>
        <v>0</v>
      </c>
      <c r="J178" s="9"/>
      <c r="K178" s="14"/>
      <c r="L178" s="27"/>
      <c r="M178" s="27"/>
      <c r="N178" s="19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8" s="19" t="str">
        <f aca="false">IF($B179="","",IF(B179&lt;30000,35%,IF(B179&lt;50000,30%,IF(B179&lt;100000,25%,20%))))</f>
        <v/>
      </c>
      <c r="P178" s="21" t="str">
        <f aca="false">IF($A179="","",COUNTIFS(持仓表!$A:$A,$A179,持仓表!$G:$G,"&gt;0"))</f>
        <v/>
      </c>
      <c r="Q178" s="21" t="str">
        <f aca="false">IF($A179="","",COUNTIFS(持仓表!$A:$A,$A179,持仓表!$D:$D,"是",持仓表!$G:$G,"&gt;0"))</f>
        <v/>
      </c>
      <c r="R178" s="21" t="str">
        <f aca="false">IF($A179="","",MAX(0,P179-Q179))</f>
        <v/>
      </c>
      <c r="S178" s="21" t="str">
        <f aca="false">IF($B179="","",IF(B179&lt;50000,3,IF(B179&lt;100000,4,5)))</f>
        <v/>
      </c>
      <c r="T178" s="5" t="str">
        <f aca="false">IF($A179="","",IF(OR(M179&gt;=4,I179&lt;=-8%),"防守",IF(OR(M179&gt;=2,I179&lt;=-5%),"警戒","正常")))</f>
        <v/>
      </c>
      <c r="U178" s="5" t="str">
        <f aca="false">IF($A179="","",IF(AND(L179&gt;=3,M179&lt;=2,T179&lt;&gt;"防守"),"是","否"))</f>
        <v/>
      </c>
      <c r="V178" s="5" t="str">
        <f aca="false">IF($A179="","",IF(AND(E179&lt;N179,R179&lt;S179,M179&lt;=2,I179&gt;-15%),"是","否"))</f>
        <v/>
      </c>
      <c r="W178" s="5" t="str">
        <f aca="false">IF($A179="","",IF(OR(M179&gt;=3,I179&lt;=-15%),"是","否"))</f>
        <v/>
      </c>
      <c r="X178" s="18" t="str">
        <f aca="false">IF($A179="","",IFERROR(maxifs(候选池!$AB:$AB,候选池!$A:$A,$A179),0))</f>
        <v/>
      </c>
      <c r="Y178" s="18" t="str">
        <f aca="false">IF($A179="","",IF(OR(M179&gt;=4,I179&lt;=-8%),MAX(0,B179*60%-C179),IF(AND(ISNUMBER(AD179),B179&gt;AD179),IF(B179&lt;30000,0,IF(B179&lt;100000,MAX(0,(B179-AD179)*0.2),MAX(0,(B179-AD179)*0.3))),0)))</f>
        <v/>
      </c>
      <c r="Z178" s="9"/>
      <c r="AA178" s="5" t="str">
        <f aca="false">IF($A179="","",IF($AA$2&lt;&gt;"",$AA$2,""))</f>
        <v/>
      </c>
      <c r="AB178" s="9" t="str">
        <f aca="false">IF($A179="","",IF(B179&lt;30000,0.03,IF(B179&lt;100000,0.02,0.015)))</f>
        <v/>
      </c>
      <c r="AC178" s="21" t="str">
        <f aca="false">IF($A179="","",IFERROR(DATEDIF($A$2,$A179,"m"),0))</f>
        <v/>
      </c>
      <c r="AD178" s="18" t="str">
        <f aca="false">IF($A179="","",IF(OR(AA179="",AB179="",AC179=""),"",AA179*POWER(1+AB179,AC179)))</f>
        <v/>
      </c>
      <c r="AE178" s="29" t="str">
        <f aca="false">IF($A179="","",IF(OR(AD179="",AD179=0),"",B179/AD179-1))</f>
        <v/>
      </c>
      <c r="AG178" s="1" t="str">
        <f aca="false">IF($A179="","",IF(B179&lt;30000,"婴儿",IF(B179&lt;100000,"成长","成熟")))</f>
        <v/>
      </c>
      <c r="AH178" s="24"/>
      <c r="AJ178" s="24"/>
      <c r="AK178" s="24"/>
      <c r="AM178" s="24"/>
      <c r="AP178" s="15"/>
      <c r="AQ178" s="25" t="str">
        <f aca="false">IF($A179="","",B179-$AA$2-SUM($F$2:F179))</f>
        <v/>
      </c>
      <c r="AR178" s="1" t="str">
        <f aca="false">IF($A178="","",30000)</f>
        <v/>
      </c>
      <c r="AS178" s="1" t="str">
        <f aca="false">IF($A178="","",AR178-B178)</f>
        <v/>
      </c>
      <c r="AT178" s="1" t="str">
        <f aca="false">IF($A178="","",IFERROR(B178/AR178,0))</f>
        <v/>
      </c>
      <c r="AU178" s="1" t="str">
        <f aca="false">IF($A178="","",IFERROR(B178*O178,0))</f>
        <v/>
      </c>
      <c r="AV178" s="1" t="str">
        <f aca="false">IF($A178="","",IFERROR(C178/B178,0))</f>
        <v/>
      </c>
      <c r="AW178" s="1" t="str">
        <f aca="false">IF($A178="","",MAX(0,R178-S178))</f>
        <v/>
      </c>
      <c r="AX178" s="1" t="str">
        <f aca="false">IF($A178="","",IF(AW178&gt;0,"优先降持仓数",IF(C178&lt;=0,"现金不足","允许评估")))</f>
        <v/>
      </c>
      <c r="AY178" s="1" t="str">
        <f aca="false">IF($A178="","",IF(B178&lt;30000,"婴儿阶段: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6"/>
      <c r="B179" s="17"/>
      <c r="C179" s="17"/>
      <c r="D179" s="18" t="str">
        <f aca="false">IF($A180="","",SUMIFS(持仓表!$J:$J,持仓表!$A:$A,$A180))</f>
        <v/>
      </c>
      <c r="E179" s="19" t="n">
        <f aca="false">IFERROR(D180/B180,0)</f>
        <v>0</v>
      </c>
      <c r="F179" s="17"/>
      <c r="G179" s="18" t="str">
        <f aca="false">IF($B180="","",MAX($B$2:B180))</f>
        <v/>
      </c>
      <c r="H179" s="19" t="n">
        <f aca="false">IFERROR((B180-F180)/F180,0)</f>
        <v>0</v>
      </c>
      <c r="I179" s="19" t="n">
        <f aca="false">IFERROR((B180-G180)/G180,0)</f>
        <v>0</v>
      </c>
      <c r="J179" s="6"/>
      <c r="K179" s="13"/>
      <c r="L179" s="20"/>
      <c r="M179" s="20"/>
      <c r="N179" s="19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9" s="19" t="str">
        <f aca="false">IF($B180="","",IF(B180&lt;30000,35%,IF(B180&lt;50000,30%,IF(B180&lt;100000,25%,20%))))</f>
        <v/>
      </c>
      <c r="P179" s="21" t="str">
        <f aca="false">IF($A180="","",COUNTIFS(持仓表!$A:$A,$A180,持仓表!$G:$G,"&gt;0"))</f>
        <v/>
      </c>
      <c r="Q179" s="21" t="str">
        <f aca="false">IF($A180="","",COUNTIFS(持仓表!$A:$A,$A180,持仓表!$D:$D,"是",持仓表!$G:$G,"&gt;0"))</f>
        <v/>
      </c>
      <c r="R179" s="21" t="str">
        <f aca="false">IF($A180="","",MAX(0,P180-Q180))</f>
        <v/>
      </c>
      <c r="S179" s="21" t="str">
        <f aca="false">IF($B180="","",IF(B180&lt;50000,3,IF(B180&lt;100000,4,5)))</f>
        <v/>
      </c>
      <c r="T179" s="5" t="str">
        <f aca="false">IF($A180="","",IF(OR(M180&gt;=4,I180&lt;=-8%),"防守",IF(OR(M180&gt;=2,I180&lt;=-5%),"警戒","正常")))</f>
        <v/>
      </c>
      <c r="U179" s="5" t="str">
        <f aca="false">IF($A180="","",IF(AND(L180&gt;=3,M180&lt;=2,T180&lt;&gt;"防守"),"是","否"))</f>
        <v/>
      </c>
      <c r="V179" s="5" t="str">
        <f aca="false">IF($A180="","",IF(AND(E180&lt;N180,R180&lt;S180,M180&lt;=2,I180&gt;-15%),"是","否"))</f>
        <v/>
      </c>
      <c r="W179" s="5" t="str">
        <f aca="false">IF($A180="","",IF(OR(M180&gt;=3,I180&lt;=-15%),"是","否"))</f>
        <v/>
      </c>
      <c r="X179" s="18" t="str">
        <f aca="false">IF($A180="","",IFERROR(maxifs(候选池!$AB:$AB,候选池!$A:$A,$A180),0))</f>
        <v/>
      </c>
      <c r="Y179" s="18" t="str">
        <f aca="false">IF($A180="","",IF(OR(M180&gt;=4,I180&lt;=-8%),MAX(0,B180*60%-C180),IF(AND(ISNUMBER(AD180),B180&gt;AD180),IF(B180&lt;30000,0,IF(B180&lt;100000,MAX(0,(B180-AD180)*0.2),MAX(0,(B180-AD180)*0.3))),0)))</f>
        <v/>
      </c>
      <c r="Z179" s="6"/>
      <c r="AA179" s="5" t="str">
        <f aca="false">IF($A180="","",IF($AA$2&lt;&gt;"",$AA$2,""))</f>
        <v/>
      </c>
      <c r="AB179" s="6" t="str">
        <f aca="false">IF($A180="","",IF(B180&lt;30000,0.03,IF(B180&lt;100000,0.02,0.015)))</f>
        <v/>
      </c>
      <c r="AC179" s="21" t="str">
        <f aca="false">IF($A180="","",IFERROR(DATEDIF($A$2,$A180,"m"),0))</f>
        <v/>
      </c>
      <c r="AD179" s="18" t="str">
        <f aca="false">IF($A180="","",IF(OR(AA180="",AB180="",AC180=""),"",AA180*POWER(1+AB180,AC180)))</f>
        <v/>
      </c>
      <c r="AE179" s="23" t="str">
        <f aca="false">IF($A180="","",IF(OR(AD180="",AD180=0),"",B180/AD180-1))</f>
        <v/>
      </c>
      <c r="AG179" s="1" t="str">
        <f aca="false">IF($A180="","",IF(B180&lt;30000,"婴儿",IF(B180&lt;100000,"成长","成熟")))</f>
        <v/>
      </c>
      <c r="AH179" s="24"/>
      <c r="AJ179" s="24"/>
      <c r="AK179" s="24"/>
      <c r="AM179" s="24"/>
      <c r="AP179" s="15"/>
      <c r="AQ179" s="25" t="str">
        <f aca="false">IF($A180="","",B180-$AA$2-SUM($F$2:F180))</f>
        <v/>
      </c>
      <c r="AR179" s="1" t="str">
        <f aca="false">IF($A179="","",30000)</f>
        <v/>
      </c>
      <c r="AS179" s="1" t="str">
        <f aca="false">IF($A179="","",AR179-B179)</f>
        <v/>
      </c>
      <c r="AT179" s="1" t="str">
        <f aca="false">IF($A179="","",IFERROR(B179/AR179,0))</f>
        <v/>
      </c>
      <c r="AU179" s="1" t="str">
        <f aca="false">IF($A179="","",IFERROR(B179*O179,0))</f>
        <v/>
      </c>
      <c r="AV179" s="1" t="str">
        <f aca="false">IF($A179="","",IFERROR(C179/B179,0))</f>
        <v/>
      </c>
      <c r="AW179" s="1" t="str">
        <f aca="false">IF($A179="","",MAX(0,R179-S179))</f>
        <v/>
      </c>
      <c r="AX179" s="1" t="str">
        <f aca="false">IF($A179="","",IF(AW179&gt;0,"优先降持仓数",IF(C179&lt;=0,"现金不足","允许评估")))</f>
        <v/>
      </c>
      <c r="AY179" s="1" t="str">
        <f aca="false">IF($A179="","",IF(B179&lt;30000,"婴儿阶段: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9"/>
      <c r="B180" s="26"/>
      <c r="C180" s="26"/>
      <c r="D180" s="18" t="str">
        <f aca="false">IF($A181="","",SUMIFS(持仓表!$J:$J,持仓表!$A:$A,$A181))</f>
        <v/>
      </c>
      <c r="E180" s="19" t="n">
        <f aca="false">IFERROR(D181/B181,0)</f>
        <v>0</v>
      </c>
      <c r="F180" s="26"/>
      <c r="G180" s="18" t="str">
        <f aca="false">IF($B181="","",MAX($B$2:B181))</f>
        <v/>
      </c>
      <c r="H180" s="19" t="n">
        <f aca="false">IFERROR((B181-F181)/F181,0)</f>
        <v>0</v>
      </c>
      <c r="I180" s="19" t="n">
        <f aca="false">IFERROR((B181-G181)/G181,0)</f>
        <v>0</v>
      </c>
      <c r="J180" s="9"/>
      <c r="K180" s="14"/>
      <c r="L180" s="27"/>
      <c r="M180" s="27"/>
      <c r="N180" s="19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80" s="19" t="str">
        <f aca="false">IF($B181="","",IF(B181&lt;30000,35%,IF(B181&lt;50000,30%,IF(B181&lt;100000,25%,20%))))</f>
        <v/>
      </c>
      <c r="P180" s="21" t="str">
        <f aca="false">IF($A181="","",COUNTIFS(持仓表!$A:$A,$A181,持仓表!$G:$G,"&gt;0"))</f>
        <v/>
      </c>
      <c r="Q180" s="21" t="str">
        <f aca="false">IF($A181="","",COUNTIFS(持仓表!$A:$A,$A181,持仓表!$D:$D,"是",持仓表!$G:$G,"&gt;0"))</f>
        <v/>
      </c>
      <c r="R180" s="21" t="str">
        <f aca="false">IF($A181="","",MAX(0,P181-Q181))</f>
        <v/>
      </c>
      <c r="S180" s="21" t="str">
        <f aca="false">IF($B181="","",IF(B181&lt;50000,3,IF(B181&lt;100000,4,5)))</f>
        <v/>
      </c>
      <c r="T180" s="5" t="str">
        <f aca="false">IF($A181="","",IF(OR(M181&gt;=4,I181&lt;=-8%),"防守",IF(OR(M181&gt;=2,I181&lt;=-5%),"警戒","正常")))</f>
        <v/>
      </c>
      <c r="U180" s="5" t="str">
        <f aca="false">IF($A181="","",IF(AND(L181&gt;=3,M181&lt;=2,T181&lt;&gt;"防守"),"是","否"))</f>
        <v/>
      </c>
      <c r="V180" s="5" t="str">
        <f aca="false">IF($A181="","",IF(AND(E181&lt;N181,R181&lt;S181,M181&lt;=2,I181&gt;-15%),"是","否"))</f>
        <v/>
      </c>
      <c r="W180" s="5" t="str">
        <f aca="false">IF($A181="","",IF(OR(M181&gt;=3,I181&lt;=-15%),"是","否"))</f>
        <v/>
      </c>
      <c r="X180" s="18" t="str">
        <f aca="false">IF($A181="","",IFERROR(maxifs(候选池!$AB:$AB,候选池!$A:$A,$A181),0))</f>
        <v/>
      </c>
      <c r="Y180" s="18" t="str">
        <f aca="false">IF($A181="","",IF(OR(M181&gt;=4,I181&lt;=-8%),MAX(0,B181*60%-C181),IF(AND(ISNUMBER(AD181),B181&gt;AD181),IF(B181&lt;30000,0,IF(B181&lt;100000,MAX(0,(B181-AD181)*0.2),MAX(0,(B181-AD181)*0.3))),0)))</f>
        <v/>
      </c>
      <c r="Z180" s="9"/>
      <c r="AA180" s="5" t="str">
        <f aca="false">IF($A181="","",IF($AA$2&lt;&gt;"",$AA$2,""))</f>
        <v/>
      </c>
      <c r="AB180" s="9" t="str">
        <f aca="false">IF($A181="","",IF(B181&lt;30000,0.03,IF(B181&lt;100000,0.02,0.015)))</f>
        <v/>
      </c>
      <c r="AC180" s="21" t="str">
        <f aca="false">IF($A181="","",IFERROR(DATEDIF($A$2,$A181,"m"),0))</f>
        <v/>
      </c>
      <c r="AD180" s="18" t="str">
        <f aca="false">IF($A181="","",IF(OR(AA181="",AB181="",AC181=""),"",AA181*POWER(1+AB181,AC181)))</f>
        <v/>
      </c>
      <c r="AE180" s="29" t="str">
        <f aca="false">IF($A181="","",IF(OR(AD181="",AD181=0),"",B181/AD181-1))</f>
        <v/>
      </c>
      <c r="AG180" s="1" t="str">
        <f aca="false">IF($A181="","",IF(B181&lt;30000,"婴儿",IF(B181&lt;100000,"成长","成熟")))</f>
        <v/>
      </c>
      <c r="AH180" s="24"/>
      <c r="AJ180" s="24"/>
      <c r="AK180" s="24"/>
      <c r="AM180" s="24"/>
      <c r="AP180" s="15"/>
      <c r="AQ180" s="25" t="str">
        <f aca="false">IF($A181="","",B181-$AA$2-SUM($F$2:F181))</f>
        <v/>
      </c>
      <c r="AR180" s="1" t="str">
        <f aca="false">IF($A180="","",30000)</f>
        <v/>
      </c>
      <c r="AS180" s="1" t="str">
        <f aca="false">IF($A180="","",AR180-B180)</f>
        <v/>
      </c>
      <c r="AT180" s="1" t="str">
        <f aca="false">IF($A180="","",IFERROR(B180/AR180,0))</f>
        <v/>
      </c>
      <c r="AU180" s="1" t="str">
        <f aca="false">IF($A180="","",IFERROR(B180*O180,0))</f>
        <v/>
      </c>
      <c r="AV180" s="1" t="str">
        <f aca="false">IF($A180="","",IFERROR(C180/B180,0))</f>
        <v/>
      </c>
      <c r="AW180" s="1" t="str">
        <f aca="false">IF($A180="","",MAX(0,R180-S180))</f>
        <v/>
      </c>
      <c r="AX180" s="1" t="str">
        <f aca="false">IF($A180="","",IF(AW180&gt;0,"优先降持仓数",IF(C180&lt;=0,"现金不足","允许评估")))</f>
        <v/>
      </c>
      <c r="AY180" s="1" t="str">
        <f aca="false">IF($A180="","",IF(B180&lt;30000,"婴儿阶段: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6"/>
      <c r="B181" s="17"/>
      <c r="C181" s="17"/>
      <c r="D181" s="18" t="str">
        <f aca="false">IF($A182="","",SUMIFS(持仓表!$J:$J,持仓表!$A:$A,$A182))</f>
        <v/>
      </c>
      <c r="E181" s="19" t="n">
        <f aca="false">IFERROR(D182/B182,0)</f>
        <v>0</v>
      </c>
      <c r="F181" s="17"/>
      <c r="G181" s="18" t="str">
        <f aca="false">IF($B182="","",MAX($B$2:B182))</f>
        <v/>
      </c>
      <c r="H181" s="19" t="n">
        <f aca="false">IFERROR((B182-F182)/F182,0)</f>
        <v>0</v>
      </c>
      <c r="I181" s="19" t="n">
        <f aca="false">IFERROR((B182-G182)/G182,0)</f>
        <v>0</v>
      </c>
      <c r="J181" s="6"/>
      <c r="K181" s="13"/>
      <c r="L181" s="20"/>
      <c r="M181" s="20"/>
      <c r="N181" s="19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81" s="19" t="str">
        <f aca="false">IF($B182="","",IF(B182&lt;30000,35%,IF(B182&lt;50000,30%,IF(B182&lt;100000,25%,20%))))</f>
        <v/>
      </c>
      <c r="P181" s="21" t="str">
        <f aca="false">IF($A182="","",COUNTIFS(持仓表!$A:$A,$A182,持仓表!$G:$G,"&gt;0"))</f>
        <v/>
      </c>
      <c r="Q181" s="21" t="str">
        <f aca="false">IF($A182="","",COUNTIFS(持仓表!$A:$A,$A182,持仓表!$D:$D,"是",持仓表!$G:$G,"&gt;0"))</f>
        <v/>
      </c>
      <c r="R181" s="21" t="str">
        <f aca="false">IF($A182="","",MAX(0,P182-Q182))</f>
        <v/>
      </c>
      <c r="S181" s="21" t="str">
        <f aca="false">IF($B182="","",IF(B182&lt;50000,3,IF(B182&lt;100000,4,5)))</f>
        <v/>
      </c>
      <c r="T181" s="5" t="str">
        <f aca="false">IF($A182="","",IF(OR(M182&gt;=4,I182&lt;=-8%),"防守",IF(OR(M182&gt;=2,I182&lt;=-5%),"警戒","正常")))</f>
        <v/>
      </c>
      <c r="U181" s="5" t="str">
        <f aca="false">IF($A182="","",IF(AND(L182&gt;=3,M182&lt;=2,T182&lt;&gt;"防守"),"是","否"))</f>
        <v/>
      </c>
      <c r="V181" s="5" t="str">
        <f aca="false">IF($A182="","",IF(AND(E182&lt;N182,R182&lt;S182,M182&lt;=2,I182&gt;-15%),"是","否"))</f>
        <v/>
      </c>
      <c r="W181" s="5" t="str">
        <f aca="false">IF($A182="","",IF(OR(M182&gt;=3,I182&lt;=-15%),"是","否"))</f>
        <v/>
      </c>
      <c r="X181" s="18" t="str">
        <f aca="false">IF($A182="","",IFERROR(maxifs(候选池!$AB:$AB,候选池!$A:$A,$A182),0))</f>
        <v/>
      </c>
      <c r="Y181" s="18" t="str">
        <f aca="false">IF($A182="","",IF(OR(M182&gt;=4,I182&lt;=-8%),MAX(0,B182*60%-C182),IF(AND(ISNUMBER(AD182),B182&gt;AD182),IF(B182&lt;30000,0,IF(B182&lt;100000,MAX(0,(B182-AD182)*0.2),MAX(0,(B182-AD182)*0.3))),0)))</f>
        <v/>
      </c>
      <c r="Z181" s="6"/>
      <c r="AA181" s="5" t="str">
        <f aca="false">IF($A182="","",IF($AA$2&lt;&gt;"",$AA$2,""))</f>
        <v/>
      </c>
      <c r="AB181" s="6" t="str">
        <f aca="false">IF($A182="","",IF(B182&lt;30000,0.03,IF(B182&lt;100000,0.02,0.015)))</f>
        <v/>
      </c>
      <c r="AC181" s="21" t="str">
        <f aca="false">IF($A182="","",IFERROR(DATEDIF($A$2,$A182,"m"),0))</f>
        <v/>
      </c>
      <c r="AD181" s="18" t="str">
        <f aca="false">IF($A182="","",IF(OR(AA182="",AB182="",AC182=""),"",AA182*POWER(1+AB182,AC182)))</f>
        <v/>
      </c>
      <c r="AE181" s="23" t="str">
        <f aca="false">IF($A182="","",IF(OR(AD182="",AD182=0),"",B182/AD182-1))</f>
        <v/>
      </c>
      <c r="AG181" s="1" t="str">
        <f aca="false">IF($A182="","",IF(B182&lt;30000,"婴儿",IF(B182&lt;100000,"成长","成熟")))</f>
        <v/>
      </c>
      <c r="AH181" s="24"/>
      <c r="AJ181" s="24"/>
      <c r="AK181" s="24"/>
      <c r="AM181" s="24"/>
      <c r="AP181" s="15"/>
      <c r="AQ181" s="25" t="str">
        <f aca="false">IF($A182="","",B182-$AA$2-SUM($F$2:F182))</f>
        <v/>
      </c>
      <c r="AR181" s="1" t="str">
        <f aca="false">IF($A181="","",30000)</f>
        <v/>
      </c>
      <c r="AS181" s="1" t="str">
        <f aca="false">IF($A181="","",AR181-B181)</f>
        <v/>
      </c>
      <c r="AT181" s="1" t="str">
        <f aca="false">IF($A181="","",IFERROR(B181/AR181,0))</f>
        <v/>
      </c>
      <c r="AU181" s="1" t="str">
        <f aca="false">IF($A181="","",IFERROR(B181*O181,0))</f>
        <v/>
      </c>
      <c r="AV181" s="1" t="str">
        <f aca="false">IF($A181="","",IFERROR(C181/B181,0))</f>
        <v/>
      </c>
      <c r="AW181" s="1" t="str">
        <f aca="false">IF($A181="","",MAX(0,R181-S181))</f>
        <v/>
      </c>
      <c r="AX181" s="1" t="str">
        <f aca="false">IF($A181="","",IF(AW181&gt;0,"优先降持仓数",IF(C181&lt;=0,"现金不足","允许评估")))</f>
        <v/>
      </c>
      <c r="AY181" s="1" t="str">
        <f aca="false">IF($A181="","",IF(B181&lt;30000,"婴儿阶段: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9"/>
      <c r="B182" s="26"/>
      <c r="C182" s="26"/>
      <c r="D182" s="18" t="str">
        <f aca="false">IF($A183="","",SUMIFS(持仓表!$J:$J,持仓表!$A:$A,$A183))</f>
        <v/>
      </c>
      <c r="E182" s="19" t="n">
        <f aca="false">IFERROR(D183/B183,0)</f>
        <v>0</v>
      </c>
      <c r="F182" s="26"/>
      <c r="G182" s="18" t="str">
        <f aca="false">IF($B183="","",MAX($B$2:B183))</f>
        <v/>
      </c>
      <c r="H182" s="19" t="n">
        <f aca="false">IFERROR((B183-F183)/F183,0)</f>
        <v>0</v>
      </c>
      <c r="I182" s="19" t="n">
        <f aca="false">IFERROR((B183-G183)/G183,0)</f>
        <v>0</v>
      </c>
      <c r="J182" s="9"/>
      <c r="K182" s="14"/>
      <c r="L182" s="27"/>
      <c r="M182" s="27"/>
      <c r="N182" s="19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82" s="19" t="str">
        <f aca="false">IF($B183="","",IF(B183&lt;30000,35%,IF(B183&lt;50000,30%,IF(B183&lt;100000,25%,20%))))</f>
        <v/>
      </c>
      <c r="P182" s="21" t="str">
        <f aca="false">IF($A183="","",COUNTIFS(持仓表!$A:$A,$A183,持仓表!$G:$G,"&gt;0"))</f>
        <v/>
      </c>
      <c r="Q182" s="21" t="str">
        <f aca="false">IF($A183="","",COUNTIFS(持仓表!$A:$A,$A183,持仓表!$D:$D,"是",持仓表!$G:$G,"&gt;0"))</f>
        <v/>
      </c>
      <c r="R182" s="21" t="str">
        <f aca="false">IF($A183="","",MAX(0,P183-Q183))</f>
        <v/>
      </c>
      <c r="S182" s="21" t="str">
        <f aca="false">IF($B183="","",IF(B183&lt;50000,3,IF(B183&lt;100000,4,5)))</f>
        <v/>
      </c>
      <c r="T182" s="5" t="str">
        <f aca="false">IF($A183="","",IF(OR(M183&gt;=4,I183&lt;=-8%),"防守",IF(OR(M183&gt;=2,I183&lt;=-5%),"警戒","正常")))</f>
        <v/>
      </c>
      <c r="U182" s="5" t="str">
        <f aca="false">IF($A183="","",IF(AND(L183&gt;=3,M183&lt;=2,T183&lt;&gt;"防守"),"是","否"))</f>
        <v/>
      </c>
      <c r="V182" s="5" t="str">
        <f aca="false">IF($A183="","",IF(AND(E183&lt;N183,R183&lt;S183,M183&lt;=2,I183&gt;-15%),"是","否"))</f>
        <v/>
      </c>
      <c r="W182" s="5" t="str">
        <f aca="false">IF($A183="","",IF(OR(M183&gt;=3,I183&lt;=-15%),"是","否"))</f>
        <v/>
      </c>
      <c r="X182" s="18" t="str">
        <f aca="false">IF($A183="","",IFERROR(maxifs(候选池!$AB:$AB,候选池!$A:$A,$A183),0))</f>
        <v/>
      </c>
      <c r="Y182" s="18" t="str">
        <f aca="false">IF($A183="","",IF(OR(M183&gt;=4,I183&lt;=-8%),MAX(0,B183*60%-C183),IF(AND(ISNUMBER(AD183),B183&gt;AD183),IF(B183&lt;30000,0,IF(B183&lt;100000,MAX(0,(B183-AD183)*0.2),MAX(0,(B183-AD183)*0.3))),0)))</f>
        <v/>
      </c>
      <c r="Z182" s="9"/>
      <c r="AA182" s="5" t="str">
        <f aca="false">IF($A183="","",IF($AA$2&lt;&gt;"",$AA$2,""))</f>
        <v/>
      </c>
      <c r="AB182" s="9" t="str">
        <f aca="false">IF($A183="","",IF(B183&lt;30000,0.03,IF(B183&lt;100000,0.02,0.015)))</f>
        <v/>
      </c>
      <c r="AC182" s="21" t="str">
        <f aca="false">IF($A183="","",IFERROR(DATEDIF($A$2,$A183,"m"),0))</f>
        <v/>
      </c>
      <c r="AD182" s="18" t="str">
        <f aca="false">IF($A183="","",IF(OR(AA183="",AB183="",AC183=""),"",AA183*POWER(1+AB183,AC183)))</f>
        <v/>
      </c>
      <c r="AE182" s="29" t="str">
        <f aca="false">IF($A183="","",IF(OR(AD183="",AD183=0),"",B183/AD183-1))</f>
        <v/>
      </c>
      <c r="AG182" s="1" t="str">
        <f aca="false">IF($A183="","",IF(B183&lt;30000,"婴儿",IF(B183&lt;100000,"成长","成熟")))</f>
        <v/>
      </c>
      <c r="AH182" s="24"/>
      <c r="AJ182" s="24"/>
      <c r="AK182" s="24"/>
      <c r="AM182" s="24"/>
      <c r="AP182" s="15"/>
      <c r="AQ182" s="25" t="str">
        <f aca="false">IF($A183="","",B183-$AA$2-SUM($F$2:F183))</f>
        <v/>
      </c>
      <c r="AR182" s="1" t="str">
        <f aca="false">IF($A182="","",30000)</f>
        <v/>
      </c>
      <c r="AS182" s="1" t="str">
        <f aca="false">IF($A182="","",AR182-B182)</f>
        <v/>
      </c>
      <c r="AT182" s="1" t="str">
        <f aca="false">IF($A182="","",IFERROR(B182/AR182,0))</f>
        <v/>
      </c>
      <c r="AU182" s="1" t="str">
        <f aca="false">IF($A182="","",IFERROR(B182*O182,0))</f>
        <v/>
      </c>
      <c r="AV182" s="1" t="str">
        <f aca="false">IF($A182="","",IFERROR(C182/B182,0))</f>
        <v/>
      </c>
      <c r="AW182" s="1" t="str">
        <f aca="false">IF($A182="","",MAX(0,R182-S182))</f>
        <v/>
      </c>
      <c r="AX182" s="1" t="str">
        <f aca="false">IF($A182="","",IF(AW182&gt;0,"优先降持仓数",IF(C182&lt;=0,"现金不足","允许评估")))</f>
        <v/>
      </c>
      <c r="AY182" s="1" t="str">
        <f aca="false">IF($A182="","",IF(B182&lt;30000,"婴儿阶段: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6"/>
      <c r="B183" s="17"/>
      <c r="C183" s="17"/>
      <c r="D183" s="18" t="str">
        <f aca="false">IF($A184="","",SUMIFS(持仓表!$J:$J,持仓表!$A:$A,$A184))</f>
        <v/>
      </c>
      <c r="E183" s="19" t="n">
        <f aca="false">IFERROR(D184/B184,0)</f>
        <v>0</v>
      </c>
      <c r="F183" s="17"/>
      <c r="G183" s="18" t="str">
        <f aca="false">IF($B184="","",MAX($B$2:B184))</f>
        <v/>
      </c>
      <c r="H183" s="19" t="n">
        <f aca="false">IFERROR((B184-F184)/F184,0)</f>
        <v>0</v>
      </c>
      <c r="I183" s="19" t="n">
        <f aca="false">IFERROR((B184-G184)/G184,0)</f>
        <v>0</v>
      </c>
      <c r="J183" s="6"/>
      <c r="K183" s="13"/>
      <c r="L183" s="20"/>
      <c r="M183" s="20"/>
      <c r="N183" s="19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83" s="19" t="str">
        <f aca="false">IF($B184="","",IF(B184&lt;30000,35%,IF(B184&lt;50000,30%,IF(B184&lt;100000,25%,20%))))</f>
        <v/>
      </c>
      <c r="P183" s="21" t="str">
        <f aca="false">IF($A184="","",COUNTIFS(持仓表!$A:$A,$A184,持仓表!$G:$G,"&gt;0"))</f>
        <v/>
      </c>
      <c r="Q183" s="21" t="str">
        <f aca="false">IF($A184="","",COUNTIFS(持仓表!$A:$A,$A184,持仓表!$D:$D,"是",持仓表!$G:$G,"&gt;0"))</f>
        <v/>
      </c>
      <c r="R183" s="21" t="str">
        <f aca="false">IF($A184="","",MAX(0,P184-Q184))</f>
        <v/>
      </c>
      <c r="S183" s="21" t="str">
        <f aca="false">IF($B184="","",IF(B184&lt;50000,3,IF(B184&lt;100000,4,5)))</f>
        <v/>
      </c>
      <c r="T183" s="5" t="str">
        <f aca="false">IF($A184="","",IF(OR(M184&gt;=4,I184&lt;=-8%),"防守",IF(OR(M184&gt;=2,I184&lt;=-5%),"警戒","正常")))</f>
        <v/>
      </c>
      <c r="U183" s="5" t="str">
        <f aca="false">IF($A184="","",IF(AND(L184&gt;=3,M184&lt;=2,T184&lt;&gt;"防守"),"是","否"))</f>
        <v/>
      </c>
      <c r="V183" s="5" t="str">
        <f aca="false">IF($A184="","",IF(AND(E184&lt;N184,R184&lt;S184,M184&lt;=2,I184&gt;-15%),"是","否"))</f>
        <v/>
      </c>
      <c r="W183" s="5" t="str">
        <f aca="false">IF($A184="","",IF(OR(M184&gt;=3,I184&lt;=-15%),"是","否"))</f>
        <v/>
      </c>
      <c r="X183" s="18" t="str">
        <f aca="false">IF($A184="","",IFERROR(maxifs(候选池!$AB:$AB,候选池!$A:$A,$A184),0))</f>
        <v/>
      </c>
      <c r="Y183" s="18" t="str">
        <f aca="false">IF($A184="","",IF(OR(M184&gt;=4,I184&lt;=-8%),MAX(0,B184*60%-C184),IF(AND(ISNUMBER(AD184),B184&gt;AD184),IF(B184&lt;30000,0,IF(B184&lt;100000,MAX(0,(B184-AD184)*0.2),MAX(0,(B184-AD184)*0.3))),0)))</f>
        <v/>
      </c>
      <c r="Z183" s="6"/>
      <c r="AA183" s="5" t="str">
        <f aca="false">IF($A184="","",IF($AA$2&lt;&gt;"",$AA$2,""))</f>
        <v/>
      </c>
      <c r="AB183" s="6" t="str">
        <f aca="false">IF($A184="","",IF(B184&lt;30000,0.03,IF(B184&lt;100000,0.02,0.015)))</f>
        <v/>
      </c>
      <c r="AC183" s="21" t="str">
        <f aca="false">IF($A184="","",IFERROR(DATEDIF($A$2,$A184,"m"),0))</f>
        <v/>
      </c>
      <c r="AD183" s="18" t="str">
        <f aca="false">IF($A184="","",IF(OR(AA184="",AB184="",AC184=""),"",AA184*POWER(1+AB184,AC184)))</f>
        <v/>
      </c>
      <c r="AE183" s="23" t="str">
        <f aca="false">IF($A184="","",IF(OR(AD184="",AD184=0),"",B184/AD184-1))</f>
        <v/>
      </c>
      <c r="AG183" s="1" t="str">
        <f aca="false">IF($A184="","",IF(B184&lt;30000,"婴儿",IF(B184&lt;100000,"成长","成熟")))</f>
        <v/>
      </c>
      <c r="AH183" s="24"/>
      <c r="AJ183" s="24"/>
      <c r="AK183" s="24"/>
      <c r="AM183" s="24"/>
      <c r="AP183" s="15"/>
      <c r="AQ183" s="25" t="str">
        <f aca="false">IF($A184="","",B184-$AA$2-SUM($F$2:F184))</f>
        <v/>
      </c>
      <c r="AR183" s="1" t="str">
        <f aca="false">IF($A183="","",30000)</f>
        <v/>
      </c>
      <c r="AS183" s="1" t="str">
        <f aca="false">IF($A183="","",AR183-B183)</f>
        <v/>
      </c>
      <c r="AT183" s="1" t="str">
        <f aca="false">IF($A183="","",IFERROR(B183/AR183,0))</f>
        <v/>
      </c>
      <c r="AU183" s="1" t="str">
        <f aca="false">IF($A183="","",IFERROR(B183*O183,0))</f>
        <v/>
      </c>
      <c r="AV183" s="1" t="str">
        <f aca="false">IF($A183="","",IFERROR(C183/B183,0))</f>
        <v/>
      </c>
      <c r="AW183" s="1" t="str">
        <f aca="false">IF($A183="","",MAX(0,R183-S183))</f>
        <v/>
      </c>
      <c r="AX183" s="1" t="str">
        <f aca="false">IF($A183="","",IF(AW183&gt;0,"优先降持仓数",IF(C183&lt;=0,"现金不足","允许评估")))</f>
        <v/>
      </c>
      <c r="AY183" s="1" t="str">
        <f aca="false">IF($A183="","",IF(B183&lt;30000,"婴儿阶段: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9"/>
      <c r="B184" s="26"/>
      <c r="C184" s="26"/>
      <c r="D184" s="18" t="str">
        <f aca="false">IF($A185="","",SUMIFS(持仓表!$J:$J,持仓表!$A:$A,$A185))</f>
        <v/>
      </c>
      <c r="E184" s="19" t="n">
        <f aca="false">IFERROR(D185/B185,0)</f>
        <v>0</v>
      </c>
      <c r="F184" s="26"/>
      <c r="G184" s="18" t="str">
        <f aca="false">IF($B185="","",MAX($B$2:B185))</f>
        <v/>
      </c>
      <c r="H184" s="19" t="n">
        <f aca="false">IFERROR((B185-F185)/F185,0)</f>
        <v>0</v>
      </c>
      <c r="I184" s="19" t="n">
        <f aca="false">IFERROR((B185-G185)/G185,0)</f>
        <v>0</v>
      </c>
      <c r="J184" s="9"/>
      <c r="K184" s="14"/>
      <c r="L184" s="27"/>
      <c r="M184" s="27"/>
      <c r="N184" s="19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4" s="19" t="str">
        <f aca="false">IF($B185="","",IF(B185&lt;30000,35%,IF(B185&lt;50000,30%,IF(B185&lt;100000,25%,20%))))</f>
        <v/>
      </c>
      <c r="P184" s="21" t="str">
        <f aca="false">IF($A185="","",COUNTIFS(持仓表!$A:$A,$A185,持仓表!$G:$G,"&gt;0"))</f>
        <v/>
      </c>
      <c r="Q184" s="21" t="str">
        <f aca="false">IF($A185="","",COUNTIFS(持仓表!$A:$A,$A185,持仓表!$D:$D,"是",持仓表!$G:$G,"&gt;0"))</f>
        <v/>
      </c>
      <c r="R184" s="21" t="str">
        <f aca="false">IF($A185="","",MAX(0,P185-Q185))</f>
        <v/>
      </c>
      <c r="S184" s="21" t="str">
        <f aca="false">IF($B185="","",IF(B185&lt;50000,3,IF(B185&lt;100000,4,5)))</f>
        <v/>
      </c>
      <c r="T184" s="5" t="str">
        <f aca="false">IF($A185="","",IF(OR(M185&gt;=4,I185&lt;=-8%),"防守",IF(OR(M185&gt;=2,I185&lt;=-5%),"警戒","正常")))</f>
        <v/>
      </c>
      <c r="U184" s="5" t="str">
        <f aca="false">IF($A185="","",IF(AND(L185&gt;=3,M185&lt;=2,T185&lt;&gt;"防守"),"是","否"))</f>
        <v/>
      </c>
      <c r="V184" s="5" t="str">
        <f aca="false">IF($A185="","",IF(AND(E185&lt;N185,R185&lt;S185,M185&lt;=2,I185&gt;-15%),"是","否"))</f>
        <v/>
      </c>
      <c r="W184" s="5" t="str">
        <f aca="false">IF($A185="","",IF(OR(M185&gt;=3,I185&lt;=-15%),"是","否"))</f>
        <v/>
      </c>
      <c r="X184" s="18" t="str">
        <f aca="false">IF($A185="","",IFERROR(maxifs(候选池!$AB:$AB,候选池!$A:$A,$A185),0))</f>
        <v/>
      </c>
      <c r="Y184" s="18" t="str">
        <f aca="false">IF($A185="","",IF(OR(M185&gt;=4,I185&lt;=-8%),MAX(0,B185*60%-C185),IF(AND(ISNUMBER(AD185),B185&gt;AD185),IF(B185&lt;30000,0,IF(B185&lt;100000,MAX(0,(B185-AD185)*0.2),MAX(0,(B185-AD185)*0.3))),0)))</f>
        <v/>
      </c>
      <c r="Z184" s="9"/>
      <c r="AA184" s="5" t="str">
        <f aca="false">IF($A185="","",IF($AA$2&lt;&gt;"",$AA$2,""))</f>
        <v/>
      </c>
      <c r="AB184" s="9" t="str">
        <f aca="false">IF($A185="","",IF(B185&lt;30000,0.03,IF(B185&lt;100000,0.02,0.015)))</f>
        <v/>
      </c>
      <c r="AC184" s="21" t="str">
        <f aca="false">IF($A185="","",IFERROR(DATEDIF($A$2,$A185,"m"),0))</f>
        <v/>
      </c>
      <c r="AD184" s="18" t="str">
        <f aca="false">IF($A185="","",IF(OR(AA185="",AB185="",AC185=""),"",AA185*POWER(1+AB185,AC185)))</f>
        <v/>
      </c>
      <c r="AE184" s="29" t="str">
        <f aca="false">IF($A185="","",IF(OR(AD185="",AD185=0),"",B185/AD185-1))</f>
        <v/>
      </c>
      <c r="AG184" s="1" t="str">
        <f aca="false">IF($A185="","",IF(B185&lt;30000,"婴儿",IF(B185&lt;100000,"成长","成熟")))</f>
        <v/>
      </c>
      <c r="AH184" s="24"/>
      <c r="AJ184" s="24"/>
      <c r="AK184" s="24"/>
      <c r="AM184" s="24"/>
      <c r="AP184" s="15"/>
      <c r="AQ184" s="25" t="str">
        <f aca="false">IF($A185="","",B185-$AA$2-SUM($F$2:F185))</f>
        <v/>
      </c>
      <c r="AR184" s="1" t="str">
        <f aca="false">IF($A184="","",30000)</f>
        <v/>
      </c>
      <c r="AS184" s="1" t="str">
        <f aca="false">IF($A184="","",AR184-B184)</f>
        <v/>
      </c>
      <c r="AT184" s="1" t="str">
        <f aca="false">IF($A184="","",IFERROR(B184/AR184,0))</f>
        <v/>
      </c>
      <c r="AU184" s="1" t="str">
        <f aca="false">IF($A184="","",IFERROR(B184*O184,0))</f>
        <v/>
      </c>
      <c r="AV184" s="1" t="str">
        <f aca="false">IF($A184="","",IFERROR(C184/B184,0))</f>
        <v/>
      </c>
      <c r="AW184" s="1" t="str">
        <f aca="false">IF($A184="","",MAX(0,R184-S184))</f>
        <v/>
      </c>
      <c r="AX184" s="1" t="str">
        <f aca="false">IF($A184="","",IF(AW184&gt;0,"优先降持仓数",IF(C184&lt;=0,"现金不足","允许评估")))</f>
        <v/>
      </c>
      <c r="AY184" s="1" t="str">
        <f aca="false">IF($A184="","",IF(B184&lt;30000,"婴儿阶段: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6"/>
      <c r="B185" s="17"/>
      <c r="C185" s="17"/>
      <c r="D185" s="18" t="str">
        <f aca="false">IF($A186="","",SUMIFS(持仓表!$J:$J,持仓表!$A:$A,$A186))</f>
        <v/>
      </c>
      <c r="E185" s="19" t="n">
        <f aca="false">IFERROR(D186/B186,0)</f>
        <v>0</v>
      </c>
      <c r="F185" s="17"/>
      <c r="G185" s="18" t="str">
        <f aca="false">IF($B186="","",MAX($B$2:B186))</f>
        <v/>
      </c>
      <c r="H185" s="19" t="n">
        <f aca="false">IFERROR((B186-F186)/F186,0)</f>
        <v>0</v>
      </c>
      <c r="I185" s="19" t="n">
        <f aca="false">IFERROR((B186-G186)/G186,0)</f>
        <v>0</v>
      </c>
      <c r="J185" s="6"/>
      <c r="K185" s="13"/>
      <c r="L185" s="20"/>
      <c r="M185" s="20"/>
      <c r="N185" s="19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5" s="19" t="str">
        <f aca="false">IF($B186="","",IF(B186&lt;30000,35%,IF(B186&lt;50000,30%,IF(B186&lt;100000,25%,20%))))</f>
        <v/>
      </c>
      <c r="P185" s="21" t="str">
        <f aca="false">IF($A186="","",COUNTIFS(持仓表!$A:$A,$A186,持仓表!$G:$G,"&gt;0"))</f>
        <v/>
      </c>
      <c r="Q185" s="21" t="str">
        <f aca="false">IF($A186="","",COUNTIFS(持仓表!$A:$A,$A186,持仓表!$D:$D,"是",持仓表!$G:$G,"&gt;0"))</f>
        <v/>
      </c>
      <c r="R185" s="21" t="str">
        <f aca="false">IF($A186="","",MAX(0,P186-Q186))</f>
        <v/>
      </c>
      <c r="S185" s="21" t="str">
        <f aca="false">IF($B186="","",IF(B186&lt;50000,3,IF(B186&lt;100000,4,5)))</f>
        <v/>
      </c>
      <c r="T185" s="5" t="str">
        <f aca="false">IF($A186="","",IF(OR(M186&gt;=4,I186&lt;=-8%),"防守",IF(OR(M186&gt;=2,I186&lt;=-5%),"警戒","正常")))</f>
        <v/>
      </c>
      <c r="U185" s="5" t="str">
        <f aca="false">IF($A186="","",IF(AND(L186&gt;=3,M186&lt;=2,T186&lt;&gt;"防守"),"是","否"))</f>
        <v/>
      </c>
      <c r="V185" s="5" t="str">
        <f aca="false">IF($A186="","",IF(AND(E186&lt;N186,R186&lt;S186,M186&lt;=2,I186&gt;-15%),"是","否"))</f>
        <v/>
      </c>
      <c r="W185" s="5" t="str">
        <f aca="false">IF($A186="","",IF(OR(M186&gt;=3,I186&lt;=-15%),"是","否"))</f>
        <v/>
      </c>
      <c r="X185" s="18" t="str">
        <f aca="false">IF($A186="","",IFERROR(maxifs(候选池!$AB:$AB,候选池!$A:$A,$A186),0))</f>
        <v/>
      </c>
      <c r="Y185" s="18" t="str">
        <f aca="false">IF($A186="","",IF(OR(M186&gt;=4,I186&lt;=-8%),MAX(0,B186*60%-C186),IF(AND(ISNUMBER(AD186),B186&gt;AD186),IF(B186&lt;30000,0,IF(B186&lt;100000,MAX(0,(B186-AD186)*0.2),MAX(0,(B186-AD186)*0.3))),0)))</f>
        <v/>
      </c>
      <c r="Z185" s="6"/>
      <c r="AA185" s="5" t="str">
        <f aca="false">IF($A186="","",IF($AA$2&lt;&gt;"",$AA$2,""))</f>
        <v/>
      </c>
      <c r="AB185" s="6" t="str">
        <f aca="false">IF($A186="","",IF(B186&lt;30000,0.03,IF(B186&lt;100000,0.02,0.015)))</f>
        <v/>
      </c>
      <c r="AC185" s="21" t="str">
        <f aca="false">IF($A186="","",IFERROR(DATEDIF($A$2,$A186,"m"),0))</f>
        <v/>
      </c>
      <c r="AD185" s="18" t="str">
        <f aca="false">IF($A186="","",IF(OR(AA186="",AB186="",AC186=""),"",AA186*POWER(1+AB186,AC186)))</f>
        <v/>
      </c>
      <c r="AE185" s="23" t="str">
        <f aca="false">IF($A186="","",IF(OR(AD186="",AD186=0),"",B186/AD186-1))</f>
        <v/>
      </c>
      <c r="AG185" s="1" t="str">
        <f aca="false">IF($A186="","",IF(B186&lt;30000,"婴儿",IF(B186&lt;100000,"成长","成熟")))</f>
        <v/>
      </c>
      <c r="AH185" s="24"/>
      <c r="AJ185" s="24"/>
      <c r="AK185" s="24"/>
      <c r="AM185" s="24"/>
      <c r="AP185" s="15"/>
      <c r="AQ185" s="25" t="str">
        <f aca="false">IF($A186="","",B186-$AA$2-SUM($F$2:F186))</f>
        <v/>
      </c>
      <c r="AR185" s="1" t="str">
        <f aca="false">IF($A185="","",30000)</f>
        <v/>
      </c>
      <c r="AS185" s="1" t="str">
        <f aca="false">IF($A185="","",AR185-B185)</f>
        <v/>
      </c>
      <c r="AT185" s="1" t="str">
        <f aca="false">IF($A185="","",IFERROR(B185/AR185,0))</f>
        <v/>
      </c>
      <c r="AU185" s="1" t="str">
        <f aca="false">IF($A185="","",IFERROR(B185*O185,0))</f>
        <v/>
      </c>
      <c r="AV185" s="1" t="str">
        <f aca="false">IF($A185="","",IFERROR(C185/B185,0))</f>
        <v/>
      </c>
      <c r="AW185" s="1" t="str">
        <f aca="false">IF($A185="","",MAX(0,R185-S185))</f>
        <v/>
      </c>
      <c r="AX185" s="1" t="str">
        <f aca="false">IF($A185="","",IF(AW185&gt;0,"优先降持仓数",IF(C185&lt;=0,"现金不足","允许评估")))</f>
        <v/>
      </c>
      <c r="AY185" s="1" t="str">
        <f aca="false">IF($A185="","",IF(B185&lt;30000,"婴儿阶段: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9"/>
      <c r="B186" s="26"/>
      <c r="C186" s="26"/>
      <c r="D186" s="18" t="str">
        <f aca="false">IF($A187="","",SUMIFS(持仓表!$J:$J,持仓表!$A:$A,$A187))</f>
        <v/>
      </c>
      <c r="E186" s="19" t="n">
        <f aca="false">IFERROR(D187/B187,0)</f>
        <v>0</v>
      </c>
      <c r="F186" s="26"/>
      <c r="G186" s="18" t="str">
        <f aca="false">IF($B187="","",MAX($B$2:B187))</f>
        <v/>
      </c>
      <c r="H186" s="19" t="n">
        <f aca="false">IFERROR((B187-F187)/F187,0)</f>
        <v>0</v>
      </c>
      <c r="I186" s="19" t="n">
        <f aca="false">IFERROR((B187-G187)/G187,0)</f>
        <v>0</v>
      </c>
      <c r="J186" s="9"/>
      <c r="K186" s="14"/>
      <c r="L186" s="27"/>
      <c r="M186" s="27"/>
      <c r="N186" s="19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6" s="19" t="str">
        <f aca="false">IF($B187="","",IF(B187&lt;30000,35%,IF(B187&lt;50000,30%,IF(B187&lt;100000,25%,20%))))</f>
        <v/>
      </c>
      <c r="P186" s="21" t="str">
        <f aca="false">IF($A187="","",COUNTIFS(持仓表!$A:$A,$A187,持仓表!$G:$G,"&gt;0"))</f>
        <v/>
      </c>
      <c r="Q186" s="21" t="str">
        <f aca="false">IF($A187="","",COUNTIFS(持仓表!$A:$A,$A187,持仓表!$D:$D,"是",持仓表!$G:$G,"&gt;0"))</f>
        <v/>
      </c>
      <c r="R186" s="21" t="str">
        <f aca="false">IF($A187="","",MAX(0,P187-Q187))</f>
        <v/>
      </c>
      <c r="S186" s="21" t="str">
        <f aca="false">IF($B187="","",IF(B187&lt;50000,3,IF(B187&lt;100000,4,5)))</f>
        <v/>
      </c>
      <c r="T186" s="5" t="str">
        <f aca="false">IF($A187="","",IF(OR(M187&gt;=4,I187&lt;=-8%),"防守",IF(OR(M187&gt;=2,I187&lt;=-5%),"警戒","正常")))</f>
        <v/>
      </c>
      <c r="U186" s="5" t="str">
        <f aca="false">IF($A187="","",IF(AND(L187&gt;=3,M187&lt;=2,T187&lt;&gt;"防守"),"是","否"))</f>
        <v/>
      </c>
      <c r="V186" s="5" t="str">
        <f aca="false">IF($A187="","",IF(AND(E187&lt;N187,R187&lt;S187,M187&lt;=2,I187&gt;-15%),"是","否"))</f>
        <v/>
      </c>
      <c r="W186" s="5" t="str">
        <f aca="false">IF($A187="","",IF(OR(M187&gt;=3,I187&lt;=-15%),"是","否"))</f>
        <v/>
      </c>
      <c r="X186" s="18" t="str">
        <f aca="false">IF($A187="","",IFERROR(maxifs(候选池!$AB:$AB,候选池!$A:$A,$A187),0))</f>
        <v/>
      </c>
      <c r="Y186" s="18" t="str">
        <f aca="false">IF($A187="","",IF(OR(M187&gt;=4,I187&lt;=-8%),MAX(0,B187*60%-C187),IF(AND(ISNUMBER(AD187),B187&gt;AD187),IF(B187&lt;30000,0,IF(B187&lt;100000,MAX(0,(B187-AD187)*0.2),MAX(0,(B187-AD187)*0.3))),0)))</f>
        <v/>
      </c>
      <c r="Z186" s="9"/>
      <c r="AA186" s="5" t="str">
        <f aca="false">IF($A187="","",IF($AA$2&lt;&gt;"",$AA$2,""))</f>
        <v/>
      </c>
      <c r="AB186" s="9" t="str">
        <f aca="false">IF($A187="","",IF(B187&lt;30000,0.03,IF(B187&lt;100000,0.02,0.015)))</f>
        <v/>
      </c>
      <c r="AC186" s="21" t="str">
        <f aca="false">IF($A187="","",IFERROR(DATEDIF($A$2,$A187,"m"),0))</f>
        <v/>
      </c>
      <c r="AD186" s="18" t="str">
        <f aca="false">IF($A187="","",IF(OR(AA187="",AB187="",AC187=""),"",AA187*POWER(1+AB187,AC187)))</f>
        <v/>
      </c>
      <c r="AE186" s="29" t="str">
        <f aca="false">IF($A187="","",IF(OR(AD187="",AD187=0),"",B187/AD187-1))</f>
        <v/>
      </c>
      <c r="AG186" s="1" t="str">
        <f aca="false">IF($A187="","",IF(B187&lt;30000,"婴儿",IF(B187&lt;100000,"成长","成熟")))</f>
        <v/>
      </c>
      <c r="AH186" s="24"/>
      <c r="AJ186" s="24"/>
      <c r="AK186" s="24"/>
      <c r="AM186" s="24"/>
      <c r="AP186" s="15"/>
      <c r="AQ186" s="25" t="str">
        <f aca="false">IF($A187="","",B187-$AA$2-SUM($F$2:F187))</f>
        <v/>
      </c>
      <c r="AR186" s="1" t="str">
        <f aca="false">IF($A186="","",30000)</f>
        <v/>
      </c>
      <c r="AS186" s="1" t="str">
        <f aca="false">IF($A186="","",AR186-B186)</f>
        <v/>
      </c>
      <c r="AT186" s="1" t="str">
        <f aca="false">IF($A186="","",IFERROR(B186/AR186,0))</f>
        <v/>
      </c>
      <c r="AU186" s="1" t="str">
        <f aca="false">IF($A186="","",IFERROR(B186*O186,0))</f>
        <v/>
      </c>
      <c r="AV186" s="1" t="str">
        <f aca="false">IF($A186="","",IFERROR(C186/B186,0))</f>
        <v/>
      </c>
      <c r="AW186" s="1" t="str">
        <f aca="false">IF($A186="","",MAX(0,R186-S186))</f>
        <v/>
      </c>
      <c r="AX186" s="1" t="str">
        <f aca="false">IF($A186="","",IF(AW186&gt;0,"优先降持仓数",IF(C186&lt;=0,"现金不足","允许评估")))</f>
        <v/>
      </c>
      <c r="AY186" s="1" t="str">
        <f aca="false">IF($A186="","",IF(B186&lt;30000,"婴儿阶段: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6"/>
      <c r="B187" s="17"/>
      <c r="C187" s="17"/>
      <c r="D187" s="18" t="str">
        <f aca="false">IF($A188="","",SUMIFS(持仓表!$J:$J,持仓表!$A:$A,$A188))</f>
        <v/>
      </c>
      <c r="E187" s="19" t="n">
        <f aca="false">IFERROR(D188/B188,0)</f>
        <v>0</v>
      </c>
      <c r="F187" s="17"/>
      <c r="G187" s="18" t="str">
        <f aca="false">IF($B188="","",MAX($B$2:B188))</f>
        <v/>
      </c>
      <c r="H187" s="19" t="n">
        <f aca="false">IFERROR((B188-F188)/F188,0)</f>
        <v>0</v>
      </c>
      <c r="I187" s="19" t="n">
        <f aca="false">IFERROR((B188-G188)/G188,0)</f>
        <v>0</v>
      </c>
      <c r="J187" s="6"/>
      <c r="K187" s="13"/>
      <c r="L187" s="20"/>
      <c r="M187" s="20"/>
      <c r="N187" s="19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7" s="19" t="str">
        <f aca="false">IF($B188="","",IF(B188&lt;30000,35%,IF(B188&lt;50000,30%,IF(B188&lt;100000,25%,20%))))</f>
        <v/>
      </c>
      <c r="P187" s="21" t="str">
        <f aca="false">IF($A188="","",COUNTIFS(持仓表!$A:$A,$A188,持仓表!$G:$G,"&gt;0"))</f>
        <v/>
      </c>
      <c r="Q187" s="21" t="str">
        <f aca="false">IF($A188="","",COUNTIFS(持仓表!$A:$A,$A188,持仓表!$D:$D,"是",持仓表!$G:$G,"&gt;0"))</f>
        <v/>
      </c>
      <c r="R187" s="21" t="str">
        <f aca="false">IF($A188="","",MAX(0,P188-Q188))</f>
        <v/>
      </c>
      <c r="S187" s="21" t="str">
        <f aca="false">IF($B188="","",IF(B188&lt;50000,3,IF(B188&lt;100000,4,5)))</f>
        <v/>
      </c>
      <c r="T187" s="5" t="str">
        <f aca="false">IF($A188="","",IF(OR(M188&gt;=4,I188&lt;=-8%),"防守",IF(OR(M188&gt;=2,I188&lt;=-5%),"警戒","正常")))</f>
        <v/>
      </c>
      <c r="U187" s="5" t="str">
        <f aca="false">IF($A188="","",IF(AND(L188&gt;=3,M188&lt;=2,T188&lt;&gt;"防守"),"是","否"))</f>
        <v/>
      </c>
      <c r="V187" s="5" t="str">
        <f aca="false">IF($A188="","",IF(AND(E188&lt;N188,R188&lt;S188,M188&lt;=2,I188&gt;-15%),"是","否"))</f>
        <v/>
      </c>
      <c r="W187" s="5" t="str">
        <f aca="false">IF($A188="","",IF(OR(M188&gt;=3,I188&lt;=-15%),"是","否"))</f>
        <v/>
      </c>
      <c r="X187" s="18" t="str">
        <f aca="false">IF($A188="","",IFERROR(maxifs(候选池!$AB:$AB,候选池!$A:$A,$A188),0))</f>
        <v/>
      </c>
      <c r="Y187" s="18" t="str">
        <f aca="false">IF($A188="","",IF(OR(M188&gt;=4,I188&lt;=-8%),MAX(0,B188*60%-C188),IF(AND(ISNUMBER(AD188),B188&gt;AD188),IF(B188&lt;30000,0,IF(B188&lt;100000,MAX(0,(B188-AD188)*0.2),MAX(0,(B188-AD188)*0.3))),0)))</f>
        <v/>
      </c>
      <c r="Z187" s="6"/>
      <c r="AA187" s="5" t="str">
        <f aca="false">IF($A188="","",IF($AA$2&lt;&gt;"",$AA$2,""))</f>
        <v/>
      </c>
      <c r="AB187" s="6" t="str">
        <f aca="false">IF($A188="","",IF(B188&lt;30000,0.03,IF(B188&lt;100000,0.02,0.015)))</f>
        <v/>
      </c>
      <c r="AC187" s="21" t="str">
        <f aca="false">IF($A188="","",IFERROR(DATEDIF($A$2,$A188,"m"),0))</f>
        <v/>
      </c>
      <c r="AD187" s="18" t="str">
        <f aca="false">IF($A188="","",IF(OR(AA188="",AB188="",AC188=""),"",AA188*POWER(1+AB188,AC188)))</f>
        <v/>
      </c>
      <c r="AE187" s="23" t="str">
        <f aca="false">IF($A188="","",IF(OR(AD188="",AD188=0),"",B188/AD188-1))</f>
        <v/>
      </c>
      <c r="AG187" s="1" t="str">
        <f aca="false">IF($A188="","",IF(B188&lt;30000,"婴儿",IF(B188&lt;100000,"成长","成熟")))</f>
        <v/>
      </c>
      <c r="AH187" s="24"/>
      <c r="AJ187" s="24"/>
      <c r="AK187" s="24"/>
      <c r="AM187" s="24"/>
      <c r="AP187" s="15"/>
      <c r="AQ187" s="25" t="str">
        <f aca="false">IF($A188="","",B188-$AA$2-SUM($F$2:F188))</f>
        <v/>
      </c>
      <c r="AR187" s="1" t="str">
        <f aca="false">IF($A187="","",30000)</f>
        <v/>
      </c>
      <c r="AS187" s="1" t="str">
        <f aca="false">IF($A187="","",AR187-B187)</f>
        <v/>
      </c>
      <c r="AT187" s="1" t="str">
        <f aca="false">IF($A187="","",IFERROR(B187/AR187,0))</f>
        <v/>
      </c>
      <c r="AU187" s="1" t="str">
        <f aca="false">IF($A187="","",IFERROR(B187*O187,0))</f>
        <v/>
      </c>
      <c r="AV187" s="1" t="str">
        <f aca="false">IF($A187="","",IFERROR(C187/B187,0))</f>
        <v/>
      </c>
      <c r="AW187" s="1" t="str">
        <f aca="false">IF($A187="","",MAX(0,R187-S187))</f>
        <v/>
      </c>
      <c r="AX187" s="1" t="str">
        <f aca="false">IF($A187="","",IF(AW187&gt;0,"优先降持仓数",IF(C187&lt;=0,"现金不足","允许评估")))</f>
        <v/>
      </c>
      <c r="AY187" s="1" t="str">
        <f aca="false">IF($A187="","",IF(B187&lt;30000,"婴儿阶段: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9"/>
      <c r="B188" s="26"/>
      <c r="C188" s="26"/>
      <c r="D188" s="18" t="str">
        <f aca="false">IF($A189="","",SUMIFS(持仓表!$J:$J,持仓表!$A:$A,$A189))</f>
        <v/>
      </c>
      <c r="E188" s="19" t="n">
        <f aca="false">IFERROR(D189/B189,0)</f>
        <v>0</v>
      </c>
      <c r="F188" s="26"/>
      <c r="G188" s="18" t="str">
        <f aca="false">IF($B189="","",MAX($B$2:B189))</f>
        <v/>
      </c>
      <c r="H188" s="19" t="n">
        <f aca="false">IFERROR((B189-F189)/F189,0)</f>
        <v>0</v>
      </c>
      <c r="I188" s="19" t="n">
        <f aca="false">IFERROR((B189-G189)/G189,0)</f>
        <v>0</v>
      </c>
      <c r="J188" s="9"/>
      <c r="K188" s="14"/>
      <c r="L188" s="27"/>
      <c r="M188" s="27"/>
      <c r="N188" s="19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8" s="19" t="str">
        <f aca="false">IF($B189="","",IF(B189&lt;30000,35%,IF(B189&lt;50000,30%,IF(B189&lt;100000,25%,20%))))</f>
        <v/>
      </c>
      <c r="P188" s="21" t="str">
        <f aca="false">IF($A189="","",COUNTIFS(持仓表!$A:$A,$A189,持仓表!$G:$G,"&gt;0"))</f>
        <v/>
      </c>
      <c r="Q188" s="21" t="str">
        <f aca="false">IF($A189="","",COUNTIFS(持仓表!$A:$A,$A189,持仓表!$D:$D,"是",持仓表!$G:$G,"&gt;0"))</f>
        <v/>
      </c>
      <c r="R188" s="21" t="str">
        <f aca="false">IF($A189="","",MAX(0,P189-Q189))</f>
        <v/>
      </c>
      <c r="S188" s="21" t="str">
        <f aca="false">IF($B189="","",IF(B189&lt;50000,3,IF(B189&lt;100000,4,5)))</f>
        <v/>
      </c>
      <c r="T188" s="5" t="str">
        <f aca="false">IF($A189="","",IF(OR(M189&gt;=4,I189&lt;=-8%),"防守",IF(OR(M189&gt;=2,I189&lt;=-5%),"警戒","正常")))</f>
        <v/>
      </c>
      <c r="U188" s="5" t="str">
        <f aca="false">IF($A189="","",IF(AND(L189&gt;=3,M189&lt;=2,T189&lt;&gt;"防守"),"是","否"))</f>
        <v/>
      </c>
      <c r="V188" s="5" t="str">
        <f aca="false">IF($A189="","",IF(AND(E189&lt;N189,R189&lt;S189,M189&lt;=2,I189&gt;-15%),"是","否"))</f>
        <v/>
      </c>
      <c r="W188" s="5" t="str">
        <f aca="false">IF($A189="","",IF(OR(M189&gt;=3,I189&lt;=-15%),"是","否"))</f>
        <v/>
      </c>
      <c r="X188" s="18" t="str">
        <f aca="false">IF($A189="","",IFERROR(maxifs(候选池!$AB:$AB,候选池!$A:$A,$A189),0))</f>
        <v/>
      </c>
      <c r="Y188" s="18" t="str">
        <f aca="false">IF($A189="","",IF(OR(M189&gt;=4,I189&lt;=-8%),MAX(0,B189*60%-C189),IF(AND(ISNUMBER(AD189),B189&gt;AD189),IF(B189&lt;30000,0,IF(B189&lt;100000,MAX(0,(B189-AD189)*0.2),MAX(0,(B189-AD189)*0.3))),0)))</f>
        <v/>
      </c>
      <c r="Z188" s="9"/>
      <c r="AA188" s="5" t="str">
        <f aca="false">IF($A189="","",IF($AA$2&lt;&gt;"",$AA$2,""))</f>
        <v/>
      </c>
      <c r="AB188" s="9" t="str">
        <f aca="false">IF($A189="","",IF(B189&lt;30000,0.03,IF(B189&lt;100000,0.02,0.015)))</f>
        <v/>
      </c>
      <c r="AC188" s="21" t="str">
        <f aca="false">IF($A189="","",IFERROR(DATEDIF($A$2,$A189,"m"),0))</f>
        <v/>
      </c>
      <c r="AD188" s="18" t="str">
        <f aca="false">IF($A189="","",IF(OR(AA189="",AB189="",AC189=""),"",AA189*POWER(1+AB189,AC189)))</f>
        <v/>
      </c>
      <c r="AE188" s="29" t="str">
        <f aca="false">IF($A189="","",IF(OR(AD189="",AD189=0),"",B189/AD189-1))</f>
        <v/>
      </c>
      <c r="AG188" s="1" t="str">
        <f aca="false">IF($A189="","",IF(B189&lt;30000,"婴儿",IF(B189&lt;100000,"成长","成熟")))</f>
        <v/>
      </c>
      <c r="AH188" s="24"/>
      <c r="AJ188" s="24"/>
      <c r="AK188" s="24"/>
      <c r="AM188" s="24"/>
      <c r="AP188" s="15"/>
      <c r="AQ188" s="25" t="str">
        <f aca="false">IF($A189="","",B189-$AA$2-SUM($F$2:F189))</f>
        <v/>
      </c>
      <c r="AR188" s="1" t="str">
        <f aca="false">IF($A188="","",30000)</f>
        <v/>
      </c>
      <c r="AS188" s="1" t="str">
        <f aca="false">IF($A188="","",AR188-B188)</f>
        <v/>
      </c>
      <c r="AT188" s="1" t="str">
        <f aca="false">IF($A188="","",IFERROR(B188/AR188,0))</f>
        <v/>
      </c>
      <c r="AU188" s="1" t="str">
        <f aca="false">IF($A188="","",IFERROR(B188*O188,0))</f>
        <v/>
      </c>
      <c r="AV188" s="1" t="str">
        <f aca="false">IF($A188="","",IFERROR(C188/B188,0))</f>
        <v/>
      </c>
      <c r="AW188" s="1" t="str">
        <f aca="false">IF($A188="","",MAX(0,R188-S188))</f>
        <v/>
      </c>
      <c r="AX188" s="1" t="str">
        <f aca="false">IF($A188="","",IF(AW188&gt;0,"优先降持仓数",IF(C188&lt;=0,"现金不足","允许评估")))</f>
        <v/>
      </c>
      <c r="AY188" s="1" t="str">
        <f aca="false">IF($A188="","",IF(B188&lt;30000,"婴儿阶段: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6"/>
      <c r="B189" s="17"/>
      <c r="C189" s="17"/>
      <c r="D189" s="18" t="str">
        <f aca="false">IF($A190="","",SUMIFS(持仓表!$J:$J,持仓表!$A:$A,$A190))</f>
        <v/>
      </c>
      <c r="E189" s="19" t="n">
        <f aca="false">IFERROR(D190/B190,0)</f>
        <v>0</v>
      </c>
      <c r="F189" s="17"/>
      <c r="G189" s="18" t="str">
        <f aca="false">IF($B190="","",MAX($B$2:B190))</f>
        <v/>
      </c>
      <c r="H189" s="19" t="n">
        <f aca="false">IFERROR((B190-F190)/F190,0)</f>
        <v>0</v>
      </c>
      <c r="I189" s="19" t="n">
        <f aca="false">IFERROR((B190-G190)/G190,0)</f>
        <v>0</v>
      </c>
      <c r="J189" s="6"/>
      <c r="K189" s="13"/>
      <c r="L189" s="20"/>
      <c r="M189" s="20"/>
      <c r="N189" s="19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9" s="19" t="str">
        <f aca="false">IF($B190="","",IF(B190&lt;30000,35%,IF(B190&lt;50000,30%,IF(B190&lt;100000,25%,20%))))</f>
        <v/>
      </c>
      <c r="P189" s="21" t="str">
        <f aca="false">IF($A190="","",COUNTIFS(持仓表!$A:$A,$A190,持仓表!$G:$G,"&gt;0"))</f>
        <v/>
      </c>
      <c r="Q189" s="21" t="str">
        <f aca="false">IF($A190="","",COUNTIFS(持仓表!$A:$A,$A190,持仓表!$D:$D,"是",持仓表!$G:$G,"&gt;0"))</f>
        <v/>
      </c>
      <c r="R189" s="21" t="str">
        <f aca="false">IF($A190="","",MAX(0,P190-Q190))</f>
        <v/>
      </c>
      <c r="S189" s="21" t="str">
        <f aca="false">IF($B190="","",IF(B190&lt;50000,3,IF(B190&lt;100000,4,5)))</f>
        <v/>
      </c>
      <c r="T189" s="5" t="str">
        <f aca="false">IF($A190="","",IF(OR(M190&gt;=4,I190&lt;=-8%),"防守",IF(OR(M190&gt;=2,I190&lt;=-5%),"警戒","正常")))</f>
        <v/>
      </c>
      <c r="U189" s="5" t="str">
        <f aca="false">IF($A190="","",IF(AND(L190&gt;=3,M190&lt;=2,T190&lt;&gt;"防守"),"是","否"))</f>
        <v/>
      </c>
      <c r="V189" s="5" t="str">
        <f aca="false">IF($A190="","",IF(AND(E190&lt;N190,R190&lt;S190,M190&lt;=2,I190&gt;-15%),"是","否"))</f>
        <v/>
      </c>
      <c r="W189" s="5" t="str">
        <f aca="false">IF($A190="","",IF(OR(M190&gt;=3,I190&lt;=-15%),"是","否"))</f>
        <v/>
      </c>
      <c r="X189" s="18" t="str">
        <f aca="false">IF($A190="","",IFERROR(maxifs(候选池!$AB:$AB,候选池!$A:$A,$A190),0))</f>
        <v/>
      </c>
      <c r="Y189" s="18" t="str">
        <f aca="false">IF($A190="","",IF(OR(M190&gt;=4,I190&lt;=-8%),MAX(0,B190*60%-C190),IF(AND(ISNUMBER(AD190),B190&gt;AD190),IF(B190&lt;30000,0,IF(B190&lt;100000,MAX(0,(B190-AD190)*0.2),MAX(0,(B190-AD190)*0.3))),0)))</f>
        <v/>
      </c>
      <c r="Z189" s="6"/>
      <c r="AA189" s="5" t="str">
        <f aca="false">IF($A190="","",IF($AA$2&lt;&gt;"",$AA$2,""))</f>
        <v/>
      </c>
      <c r="AB189" s="6" t="str">
        <f aca="false">IF($A190="","",IF(B190&lt;30000,0.03,IF(B190&lt;100000,0.02,0.015)))</f>
        <v/>
      </c>
      <c r="AC189" s="21" t="str">
        <f aca="false">IF($A190="","",IFERROR(DATEDIF($A$2,$A190,"m"),0))</f>
        <v/>
      </c>
      <c r="AD189" s="18" t="str">
        <f aca="false">IF($A190="","",IF(OR(AA190="",AB190="",AC190=""),"",AA190*POWER(1+AB190,AC190)))</f>
        <v/>
      </c>
      <c r="AE189" s="23" t="str">
        <f aca="false">IF($A190="","",IF(OR(AD190="",AD190=0),"",B190/AD190-1))</f>
        <v/>
      </c>
      <c r="AG189" s="1" t="str">
        <f aca="false">IF($A190="","",IF(B190&lt;30000,"婴儿",IF(B190&lt;100000,"成长","成熟")))</f>
        <v/>
      </c>
      <c r="AH189" s="24"/>
      <c r="AJ189" s="24"/>
      <c r="AK189" s="24"/>
      <c r="AM189" s="24"/>
      <c r="AP189" s="15"/>
      <c r="AQ189" s="25" t="str">
        <f aca="false">IF($A190="","",B190-$AA$2-SUM($F$2:F190))</f>
        <v/>
      </c>
      <c r="AR189" s="1" t="str">
        <f aca="false">IF($A189="","",30000)</f>
        <v/>
      </c>
      <c r="AS189" s="1" t="str">
        <f aca="false">IF($A189="","",AR189-B189)</f>
        <v/>
      </c>
      <c r="AT189" s="1" t="str">
        <f aca="false">IF($A189="","",IFERROR(B189/AR189,0))</f>
        <v/>
      </c>
      <c r="AU189" s="1" t="str">
        <f aca="false">IF($A189="","",IFERROR(B189*O189,0))</f>
        <v/>
      </c>
      <c r="AV189" s="1" t="str">
        <f aca="false">IF($A189="","",IFERROR(C189/B189,0))</f>
        <v/>
      </c>
      <c r="AW189" s="1" t="str">
        <f aca="false">IF($A189="","",MAX(0,R189-S189))</f>
        <v/>
      </c>
      <c r="AX189" s="1" t="str">
        <f aca="false">IF($A189="","",IF(AW189&gt;0,"优先降持仓数",IF(C189&lt;=0,"现金不足","允许评估")))</f>
        <v/>
      </c>
      <c r="AY189" s="1" t="str">
        <f aca="false">IF($A189="","",IF(B189&lt;30000,"婴儿阶段: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9"/>
      <c r="B190" s="26"/>
      <c r="C190" s="26"/>
      <c r="D190" s="18" t="str">
        <f aca="false">IF($A191="","",SUMIFS(持仓表!$J:$J,持仓表!$A:$A,$A191))</f>
        <v/>
      </c>
      <c r="E190" s="19" t="n">
        <f aca="false">IFERROR(D191/B191,0)</f>
        <v>0</v>
      </c>
      <c r="F190" s="26"/>
      <c r="G190" s="18" t="str">
        <f aca="false">IF($B191="","",MAX($B$2:B191))</f>
        <v/>
      </c>
      <c r="H190" s="19" t="n">
        <f aca="false">IFERROR((B191-F191)/F191,0)</f>
        <v>0</v>
      </c>
      <c r="I190" s="19" t="n">
        <f aca="false">IFERROR((B191-G191)/G191,0)</f>
        <v>0</v>
      </c>
      <c r="J190" s="9"/>
      <c r="K190" s="14"/>
      <c r="L190" s="27"/>
      <c r="M190" s="27"/>
      <c r="N190" s="19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90" s="19" t="str">
        <f aca="false">IF($B191="","",IF(B191&lt;30000,35%,IF(B191&lt;50000,30%,IF(B191&lt;100000,25%,20%))))</f>
        <v/>
      </c>
      <c r="P190" s="21" t="str">
        <f aca="false">IF($A191="","",COUNTIFS(持仓表!$A:$A,$A191,持仓表!$G:$G,"&gt;0"))</f>
        <v/>
      </c>
      <c r="Q190" s="21" t="str">
        <f aca="false">IF($A191="","",COUNTIFS(持仓表!$A:$A,$A191,持仓表!$D:$D,"是",持仓表!$G:$G,"&gt;0"))</f>
        <v/>
      </c>
      <c r="R190" s="21" t="str">
        <f aca="false">IF($A191="","",MAX(0,P191-Q191))</f>
        <v/>
      </c>
      <c r="S190" s="21" t="str">
        <f aca="false">IF($B191="","",IF(B191&lt;50000,3,IF(B191&lt;100000,4,5)))</f>
        <v/>
      </c>
      <c r="T190" s="5" t="str">
        <f aca="false">IF($A191="","",IF(OR(M191&gt;=4,I191&lt;=-8%),"防守",IF(OR(M191&gt;=2,I191&lt;=-5%),"警戒","正常")))</f>
        <v/>
      </c>
      <c r="U190" s="5" t="str">
        <f aca="false">IF($A191="","",IF(AND(L191&gt;=3,M191&lt;=2,T191&lt;&gt;"防守"),"是","否"))</f>
        <v/>
      </c>
      <c r="V190" s="5" t="str">
        <f aca="false">IF($A191="","",IF(AND(E191&lt;N191,R191&lt;S191,M191&lt;=2,I191&gt;-15%),"是","否"))</f>
        <v/>
      </c>
      <c r="W190" s="5" t="str">
        <f aca="false">IF($A191="","",IF(OR(M191&gt;=3,I191&lt;=-15%),"是","否"))</f>
        <v/>
      </c>
      <c r="X190" s="18" t="str">
        <f aca="false">IF($A191="","",IFERROR(maxifs(候选池!$AB:$AB,候选池!$A:$A,$A191),0))</f>
        <v/>
      </c>
      <c r="Y190" s="18" t="str">
        <f aca="false">IF($A191="","",IF(OR(M191&gt;=4,I191&lt;=-8%),MAX(0,B191*60%-C191),IF(AND(ISNUMBER(AD191),B191&gt;AD191),IF(B191&lt;30000,0,IF(B191&lt;100000,MAX(0,(B191-AD191)*0.2),MAX(0,(B191-AD191)*0.3))),0)))</f>
        <v/>
      </c>
      <c r="Z190" s="9"/>
      <c r="AA190" s="5" t="str">
        <f aca="false">IF($A191="","",IF($AA$2&lt;&gt;"",$AA$2,""))</f>
        <v/>
      </c>
      <c r="AB190" s="9" t="str">
        <f aca="false">IF($A191="","",IF(B191&lt;30000,0.03,IF(B191&lt;100000,0.02,0.015)))</f>
        <v/>
      </c>
      <c r="AC190" s="21" t="str">
        <f aca="false">IF($A191="","",IFERROR(DATEDIF($A$2,$A191,"m"),0))</f>
        <v/>
      </c>
      <c r="AD190" s="18" t="str">
        <f aca="false">IF($A191="","",IF(OR(AA191="",AB191="",AC191=""),"",AA191*POWER(1+AB191,AC191)))</f>
        <v/>
      </c>
      <c r="AE190" s="29" t="str">
        <f aca="false">IF($A191="","",IF(OR(AD191="",AD191=0),"",B191/AD191-1))</f>
        <v/>
      </c>
      <c r="AG190" s="1" t="str">
        <f aca="false">IF($A191="","",IF(B191&lt;30000,"婴儿",IF(B191&lt;100000,"成长","成熟")))</f>
        <v/>
      </c>
      <c r="AH190" s="24"/>
      <c r="AJ190" s="24"/>
      <c r="AK190" s="24"/>
      <c r="AM190" s="24"/>
      <c r="AP190" s="15"/>
      <c r="AQ190" s="25" t="str">
        <f aca="false">IF($A191="","",B191-$AA$2-SUM($F$2:F191))</f>
        <v/>
      </c>
      <c r="AR190" s="1" t="str">
        <f aca="false">IF($A190="","",30000)</f>
        <v/>
      </c>
      <c r="AS190" s="1" t="str">
        <f aca="false">IF($A190="","",AR190-B190)</f>
        <v/>
      </c>
      <c r="AT190" s="1" t="str">
        <f aca="false">IF($A190="","",IFERROR(B190/AR190,0))</f>
        <v/>
      </c>
      <c r="AU190" s="1" t="str">
        <f aca="false">IF($A190="","",IFERROR(B190*O190,0))</f>
        <v/>
      </c>
      <c r="AV190" s="1" t="str">
        <f aca="false">IF($A190="","",IFERROR(C190/B190,0))</f>
        <v/>
      </c>
      <c r="AW190" s="1" t="str">
        <f aca="false">IF($A190="","",MAX(0,R190-S190))</f>
        <v/>
      </c>
      <c r="AX190" s="1" t="str">
        <f aca="false">IF($A190="","",IF(AW190&gt;0,"优先降持仓数",IF(C190&lt;=0,"现金不足","允许评估")))</f>
        <v/>
      </c>
      <c r="AY190" s="1" t="str">
        <f aca="false">IF($A190="","",IF(B190&lt;30000,"婴儿阶段: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6"/>
      <c r="B191" s="17"/>
      <c r="C191" s="17"/>
      <c r="D191" s="18" t="str">
        <f aca="false">IF($A192="","",SUMIFS(持仓表!$J:$J,持仓表!$A:$A,$A192))</f>
        <v/>
      </c>
      <c r="E191" s="19" t="n">
        <f aca="false">IFERROR(D192/B192,0)</f>
        <v>0</v>
      </c>
      <c r="F191" s="17"/>
      <c r="G191" s="18" t="str">
        <f aca="false">IF($B192="","",MAX($B$2:B192))</f>
        <v/>
      </c>
      <c r="H191" s="19" t="n">
        <f aca="false">IFERROR((B192-F192)/F192,0)</f>
        <v>0</v>
      </c>
      <c r="I191" s="19" t="n">
        <f aca="false">IFERROR((B192-G192)/G192,0)</f>
        <v>0</v>
      </c>
      <c r="J191" s="6"/>
      <c r="K191" s="13"/>
      <c r="L191" s="20"/>
      <c r="M191" s="20"/>
      <c r="N191" s="19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91" s="19" t="str">
        <f aca="false">IF($B192="","",IF(B192&lt;30000,35%,IF(B192&lt;50000,30%,IF(B192&lt;100000,25%,20%))))</f>
        <v/>
      </c>
      <c r="P191" s="21" t="str">
        <f aca="false">IF($A192="","",COUNTIFS(持仓表!$A:$A,$A192,持仓表!$G:$G,"&gt;0"))</f>
        <v/>
      </c>
      <c r="Q191" s="21" t="str">
        <f aca="false">IF($A192="","",COUNTIFS(持仓表!$A:$A,$A192,持仓表!$D:$D,"是",持仓表!$G:$G,"&gt;0"))</f>
        <v/>
      </c>
      <c r="R191" s="21" t="str">
        <f aca="false">IF($A192="","",MAX(0,P192-Q192))</f>
        <v/>
      </c>
      <c r="S191" s="21" t="str">
        <f aca="false">IF($B192="","",IF(B192&lt;50000,3,IF(B192&lt;100000,4,5)))</f>
        <v/>
      </c>
      <c r="T191" s="5" t="str">
        <f aca="false">IF($A192="","",IF(OR(M192&gt;=4,I192&lt;=-8%),"防守",IF(OR(M192&gt;=2,I192&lt;=-5%),"警戒","正常")))</f>
        <v/>
      </c>
      <c r="U191" s="5" t="str">
        <f aca="false">IF($A192="","",IF(AND(L192&gt;=3,M192&lt;=2,T192&lt;&gt;"防守"),"是","否"))</f>
        <v/>
      </c>
      <c r="V191" s="5" t="str">
        <f aca="false">IF($A192="","",IF(AND(E192&lt;N192,R192&lt;S192,M192&lt;=2,I192&gt;-15%),"是","否"))</f>
        <v/>
      </c>
      <c r="W191" s="5" t="str">
        <f aca="false">IF($A192="","",IF(OR(M192&gt;=3,I192&lt;=-15%),"是","否"))</f>
        <v/>
      </c>
      <c r="X191" s="18" t="str">
        <f aca="false">IF($A192="","",IFERROR(maxifs(候选池!$AB:$AB,候选池!$A:$A,$A192),0))</f>
        <v/>
      </c>
      <c r="Y191" s="18" t="str">
        <f aca="false">IF($A192="","",IF(OR(M192&gt;=4,I192&lt;=-8%),MAX(0,B192*60%-C192),IF(AND(ISNUMBER(AD192),B192&gt;AD192),IF(B192&lt;30000,0,IF(B192&lt;100000,MAX(0,(B192-AD192)*0.2),MAX(0,(B192-AD192)*0.3))),0)))</f>
        <v/>
      </c>
      <c r="Z191" s="6"/>
      <c r="AA191" s="5" t="str">
        <f aca="false">IF($A192="","",IF($AA$2&lt;&gt;"",$AA$2,""))</f>
        <v/>
      </c>
      <c r="AB191" s="6" t="str">
        <f aca="false">IF($A192="","",IF(B192&lt;30000,0.03,IF(B192&lt;100000,0.02,0.015)))</f>
        <v/>
      </c>
      <c r="AC191" s="21" t="str">
        <f aca="false">IF($A192="","",IFERROR(DATEDIF($A$2,$A192,"m"),0))</f>
        <v/>
      </c>
      <c r="AD191" s="18" t="str">
        <f aca="false">IF($A192="","",IF(OR(AA192="",AB192="",AC192=""),"",AA192*POWER(1+AB192,AC192)))</f>
        <v/>
      </c>
      <c r="AE191" s="23" t="str">
        <f aca="false">IF($A192="","",IF(OR(AD192="",AD192=0),"",B192/AD192-1))</f>
        <v/>
      </c>
      <c r="AG191" s="1" t="str">
        <f aca="false">IF($A192="","",IF(B192&lt;30000,"婴儿",IF(B192&lt;100000,"成长","成熟")))</f>
        <v/>
      </c>
      <c r="AH191" s="24"/>
      <c r="AJ191" s="24"/>
      <c r="AK191" s="24"/>
      <c r="AM191" s="24"/>
      <c r="AP191" s="15"/>
      <c r="AQ191" s="25" t="str">
        <f aca="false">IF($A192="","",B192-$AA$2-SUM($F$2:F192))</f>
        <v/>
      </c>
      <c r="AR191" s="1" t="str">
        <f aca="false">IF($A191="","",30000)</f>
        <v/>
      </c>
      <c r="AS191" s="1" t="str">
        <f aca="false">IF($A191="","",AR191-B191)</f>
        <v/>
      </c>
      <c r="AT191" s="1" t="str">
        <f aca="false">IF($A191="","",IFERROR(B191/AR191,0))</f>
        <v/>
      </c>
      <c r="AU191" s="1" t="str">
        <f aca="false">IF($A191="","",IFERROR(B191*O191,0))</f>
        <v/>
      </c>
      <c r="AV191" s="1" t="str">
        <f aca="false">IF($A191="","",IFERROR(C191/B191,0))</f>
        <v/>
      </c>
      <c r="AW191" s="1" t="str">
        <f aca="false">IF($A191="","",MAX(0,R191-S191))</f>
        <v/>
      </c>
      <c r="AX191" s="1" t="str">
        <f aca="false">IF($A191="","",IF(AW191&gt;0,"优先降持仓数",IF(C191&lt;=0,"现金不足","允许评估")))</f>
        <v/>
      </c>
      <c r="AY191" s="1" t="str">
        <f aca="false">IF($A191="","",IF(B191&lt;30000,"婴儿阶段: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9"/>
      <c r="B192" s="26"/>
      <c r="C192" s="26"/>
      <c r="D192" s="18" t="str">
        <f aca="false">IF($A193="","",SUMIFS(持仓表!$J:$J,持仓表!$A:$A,$A193))</f>
        <v/>
      </c>
      <c r="E192" s="19" t="n">
        <f aca="false">IFERROR(D193/B193,0)</f>
        <v>0</v>
      </c>
      <c r="F192" s="26"/>
      <c r="G192" s="18" t="str">
        <f aca="false">IF($B193="","",MAX($B$2:B193))</f>
        <v/>
      </c>
      <c r="H192" s="19" t="n">
        <f aca="false">IFERROR((B193-F193)/F193,0)</f>
        <v>0</v>
      </c>
      <c r="I192" s="19" t="n">
        <f aca="false">IFERROR((B193-G193)/G193,0)</f>
        <v>0</v>
      </c>
      <c r="J192" s="9"/>
      <c r="K192" s="14"/>
      <c r="L192" s="27"/>
      <c r="M192" s="27"/>
      <c r="N192" s="19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92" s="19" t="str">
        <f aca="false">IF($B193="","",IF(B193&lt;30000,35%,IF(B193&lt;50000,30%,IF(B193&lt;100000,25%,20%))))</f>
        <v/>
      </c>
      <c r="P192" s="21" t="str">
        <f aca="false">IF($A193="","",COUNTIFS(持仓表!$A:$A,$A193,持仓表!$G:$G,"&gt;0"))</f>
        <v/>
      </c>
      <c r="Q192" s="21" t="str">
        <f aca="false">IF($A193="","",COUNTIFS(持仓表!$A:$A,$A193,持仓表!$D:$D,"是",持仓表!$G:$G,"&gt;0"))</f>
        <v/>
      </c>
      <c r="R192" s="21" t="str">
        <f aca="false">IF($A193="","",MAX(0,P193-Q193))</f>
        <v/>
      </c>
      <c r="S192" s="21" t="str">
        <f aca="false">IF($B193="","",IF(B193&lt;50000,3,IF(B193&lt;100000,4,5)))</f>
        <v/>
      </c>
      <c r="T192" s="5" t="str">
        <f aca="false">IF($A193="","",IF(OR(M193&gt;=4,I193&lt;=-8%),"防守",IF(OR(M193&gt;=2,I193&lt;=-5%),"警戒","正常")))</f>
        <v/>
      </c>
      <c r="U192" s="5" t="str">
        <f aca="false">IF($A193="","",IF(AND(L193&gt;=3,M193&lt;=2,T193&lt;&gt;"防守"),"是","否"))</f>
        <v/>
      </c>
      <c r="V192" s="5" t="str">
        <f aca="false">IF($A193="","",IF(AND(E193&lt;N193,R193&lt;S193,M193&lt;=2,I193&gt;-15%),"是","否"))</f>
        <v/>
      </c>
      <c r="W192" s="5" t="str">
        <f aca="false">IF($A193="","",IF(OR(M193&gt;=3,I193&lt;=-15%),"是","否"))</f>
        <v/>
      </c>
      <c r="X192" s="18" t="str">
        <f aca="false">IF($A193="","",IFERROR(maxifs(候选池!$AB:$AB,候选池!$A:$A,$A193),0))</f>
        <v/>
      </c>
      <c r="Y192" s="18" t="str">
        <f aca="false">IF($A193="","",IF(OR(M193&gt;=4,I193&lt;=-8%),MAX(0,B193*60%-C193),IF(AND(ISNUMBER(AD193),B193&gt;AD193),IF(B193&lt;30000,0,IF(B193&lt;100000,MAX(0,(B193-AD193)*0.2),MAX(0,(B193-AD193)*0.3))),0)))</f>
        <v/>
      </c>
      <c r="Z192" s="9"/>
      <c r="AA192" s="5" t="str">
        <f aca="false">IF($A193="","",IF($AA$2&lt;&gt;"",$AA$2,""))</f>
        <v/>
      </c>
      <c r="AB192" s="9" t="str">
        <f aca="false">IF($A193="","",IF(B193&lt;30000,0.03,IF(B193&lt;100000,0.02,0.015)))</f>
        <v/>
      </c>
      <c r="AC192" s="21" t="str">
        <f aca="false">IF($A193="","",IFERROR(DATEDIF($A$2,$A193,"m"),0))</f>
        <v/>
      </c>
      <c r="AD192" s="18" t="str">
        <f aca="false">IF($A193="","",IF(OR(AA193="",AB193="",AC193=""),"",AA193*POWER(1+AB193,AC193)))</f>
        <v/>
      </c>
      <c r="AE192" s="29" t="str">
        <f aca="false">IF($A193="","",IF(OR(AD193="",AD193=0),"",B193/AD193-1))</f>
        <v/>
      </c>
      <c r="AG192" s="1" t="str">
        <f aca="false">IF($A193="","",IF(B193&lt;30000,"婴儿",IF(B193&lt;100000,"成长","成熟")))</f>
        <v/>
      </c>
      <c r="AH192" s="24"/>
      <c r="AJ192" s="24"/>
      <c r="AK192" s="24"/>
      <c r="AM192" s="24"/>
      <c r="AP192" s="15"/>
      <c r="AQ192" s="25" t="str">
        <f aca="false">IF($A193="","",B193-$AA$2-SUM($F$2:F193))</f>
        <v/>
      </c>
      <c r="AR192" s="1" t="str">
        <f aca="false">IF($A192="","",30000)</f>
        <v/>
      </c>
      <c r="AS192" s="1" t="str">
        <f aca="false">IF($A192="","",AR192-B192)</f>
        <v/>
      </c>
      <c r="AT192" s="1" t="str">
        <f aca="false">IF($A192="","",IFERROR(B192/AR192,0))</f>
        <v/>
      </c>
      <c r="AU192" s="1" t="str">
        <f aca="false">IF($A192="","",IFERROR(B192*O192,0))</f>
        <v/>
      </c>
      <c r="AV192" s="1" t="str">
        <f aca="false">IF($A192="","",IFERROR(C192/B192,0))</f>
        <v/>
      </c>
      <c r="AW192" s="1" t="str">
        <f aca="false">IF($A192="","",MAX(0,R192-S192))</f>
        <v/>
      </c>
      <c r="AX192" s="1" t="str">
        <f aca="false">IF($A192="","",IF(AW192&gt;0,"优先降持仓数",IF(C192&lt;=0,"现金不足","允许评估")))</f>
        <v/>
      </c>
      <c r="AY192" s="1" t="str">
        <f aca="false">IF($A192="","",IF(B192&lt;30000,"婴儿阶段: 优先活下来,禁止单票失控,限制持仓数,服务3W目标","幼儿阶段达成"))</f>
        <v/>
      </c>
    </row>
    <row r="193" customFormat="false" ht="15" hidden="false" customHeight="true" outlineLevel="0" collapsed="false">
      <c r="A193" s="6"/>
      <c r="B193" s="17"/>
      <c r="C193" s="17"/>
      <c r="D193" s="18" t="str">
        <f aca="false">IF($A194="","",SUMIFS(持仓表!$J:$J,持仓表!$A:$A,$A194))</f>
        <v/>
      </c>
      <c r="E193" s="19" t="n">
        <f aca="false">IFERROR(D194/B194,0)</f>
        <v>0</v>
      </c>
      <c r="F193" s="17"/>
      <c r="G193" s="18" t="str">
        <f aca="false">IF($B194="","",MAX($B$2:B194))</f>
        <v/>
      </c>
      <c r="H193" s="19" t="n">
        <f aca="false">IFERROR((B194-F194)/F194,0)</f>
        <v>0</v>
      </c>
      <c r="I193" s="19" t="n">
        <f aca="false">IFERROR((B194-G194)/G194,0)</f>
        <v>0</v>
      </c>
      <c r="J193" s="6"/>
      <c r="K193" s="13"/>
      <c r="L193" s="20"/>
      <c r="M193" s="20"/>
      <c r="N193" s="19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93" s="19" t="str">
        <f aca="false">IF($B194="","",IF(B194&lt;30000,35%,IF(B194&lt;50000,30%,IF(B194&lt;100000,25%,20%))))</f>
        <v/>
      </c>
      <c r="P193" s="21" t="str">
        <f aca="false">IF($A194="","",COUNTIFS(持仓表!$A:$A,$A194,持仓表!$G:$G,"&gt;0"))</f>
        <v/>
      </c>
      <c r="Q193" s="21" t="str">
        <f aca="false">IF($A194="","",COUNTIFS(持仓表!$A:$A,$A194,持仓表!$D:$D,"是",持仓表!$G:$G,"&gt;0"))</f>
        <v/>
      </c>
      <c r="R193" s="21" t="str">
        <f aca="false">IF($A194="","",MAX(0,P194-Q194))</f>
        <v/>
      </c>
      <c r="S193" s="21" t="str">
        <f aca="false">IF($B194="","",IF(B194&lt;50000,3,IF(B194&lt;100000,4,5)))</f>
        <v/>
      </c>
      <c r="T193" s="5" t="str">
        <f aca="false">IF($A194="","",IF(OR(M194&gt;=4,I194&lt;=-8%),"防守",IF(OR(M194&gt;=2,I194&lt;=-5%),"警戒","正常")))</f>
        <v/>
      </c>
      <c r="U193" s="5" t="str">
        <f aca="false">IF($A194="","",IF(AND(L194&gt;=3,M194&lt;=2,T194&lt;&gt;"防守"),"是","否"))</f>
        <v/>
      </c>
      <c r="V193" s="5" t="str">
        <f aca="false">IF($A194="","",IF(AND(E194&lt;N194,R194&lt;S194,M194&lt;=2,I194&gt;-15%),"是","否"))</f>
        <v/>
      </c>
      <c r="W193" s="5" t="str">
        <f aca="false">IF($A194="","",IF(OR(M194&gt;=3,I194&lt;=-15%),"是","否"))</f>
        <v/>
      </c>
      <c r="X193" s="18" t="str">
        <f aca="false">IF($A194="","",IFERROR(maxifs(候选池!$AB:$AB,候选池!$A:$A,$A194),0))</f>
        <v/>
      </c>
      <c r="Y193" s="18" t="str">
        <f aca="false">IF($A194="","",IF(OR(M194&gt;=4,I194&lt;=-8%),MAX(0,B194*60%-C194),IF(AND(ISNUMBER(AD194),B194&gt;AD194),IF(B194&lt;30000,0,IF(B194&lt;100000,MAX(0,(B194-AD194)*0.2),MAX(0,(B194-AD194)*0.3))),0)))</f>
        <v/>
      </c>
      <c r="Z193" s="6"/>
      <c r="AA193" s="5" t="str">
        <f aca="false">IF($A194="","",IF($AA$2&lt;&gt;"",$AA$2,""))</f>
        <v/>
      </c>
      <c r="AB193" s="6" t="str">
        <f aca="false">IF($A194="","",IF(B194&lt;30000,0.03,IF(B194&lt;100000,0.02,0.015)))</f>
        <v/>
      </c>
      <c r="AC193" s="21" t="str">
        <f aca="false">IF($A194="","",IFERROR(DATEDIF($A$2,$A194,"m"),0))</f>
        <v/>
      </c>
      <c r="AD193" s="18" t="str">
        <f aca="false">IF($A194="","",IF(OR(AA194="",AB194="",AC194=""),"",AA194*POWER(1+AB194,AC194)))</f>
        <v/>
      </c>
      <c r="AE193" s="23" t="str">
        <f aca="false">IF($A194="","",IF(OR(AD194="",AD194=0),"",B194/AD194-1))</f>
        <v/>
      </c>
      <c r="AG193" s="1" t="str">
        <f aca="false">IF($A194="","",IF(B194&lt;30000,"婴儿",IF(B194&lt;100000,"成长","成熟")))</f>
        <v/>
      </c>
      <c r="AH193" s="24"/>
      <c r="AJ193" s="24"/>
      <c r="AK193" s="24"/>
      <c r="AM193" s="24"/>
      <c r="AP193" s="15"/>
      <c r="AQ193" s="25" t="str">
        <f aca="false">IF($A194="","",B194-$AA$2-SUM($F$2:F194))</f>
        <v/>
      </c>
      <c r="AR193" s="1" t="str">
        <f aca="false">IF($A193="","",30000)</f>
        <v/>
      </c>
      <c r="AS193" s="1" t="str">
        <f aca="false">IF($A193="","",AR193-B193)</f>
        <v/>
      </c>
      <c r="AT193" s="1" t="str">
        <f aca="false">IF($A193="","",IFERROR(B193/AR193,0))</f>
        <v/>
      </c>
      <c r="AU193" s="1" t="str">
        <f aca="false">IF($A193="","",IFERROR(B193*O193,0))</f>
        <v/>
      </c>
      <c r="AV193" s="1" t="str">
        <f aca="false">IF($A193="","",IFERROR(C193/B193,0))</f>
        <v/>
      </c>
      <c r="AW193" s="1" t="str">
        <f aca="false">IF($A193="","",MAX(0,R193-S193))</f>
        <v/>
      </c>
      <c r="AX193" s="1" t="str">
        <f aca="false">IF($A193="","",IF(AW193&gt;0,"优先降持仓数",IF(C193&lt;=0,"现金不足","允许评估")))</f>
        <v/>
      </c>
      <c r="AY193" s="1" t="str">
        <f aca="false">IF($A193="","",IF(B193&lt;30000,"婴儿阶段: 优先活下来,禁止单票失控,限制持仓数,服务3W目标","幼儿阶段达成"))</f>
        <v/>
      </c>
    </row>
    <row r="194" customFormat="false" ht="15" hidden="false" customHeight="true" outlineLevel="0" collapsed="false">
      <c r="A194" s="9"/>
      <c r="B194" s="26"/>
      <c r="C194" s="26"/>
      <c r="D194" s="18" t="str">
        <f aca="false">IF($A195="","",SUMIFS(持仓表!$J:$J,持仓表!$A:$A,$A195))</f>
        <v/>
      </c>
      <c r="E194" s="19" t="n">
        <f aca="false">IFERROR(D195/B195,0)</f>
        <v>0</v>
      </c>
      <c r="F194" s="26"/>
      <c r="G194" s="18" t="str">
        <f aca="false">IF($B195="","",MAX($B$2:B195))</f>
        <v/>
      </c>
      <c r="H194" s="19" t="n">
        <f aca="false">IFERROR((B195-F195)/F195,0)</f>
        <v>0</v>
      </c>
      <c r="I194" s="19" t="n">
        <f aca="false">IFERROR((B195-G195)/G195,0)</f>
        <v>0</v>
      </c>
      <c r="J194" s="9"/>
      <c r="K194" s="14"/>
      <c r="L194" s="27"/>
      <c r="M194" s="27"/>
      <c r="N194" s="19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4" s="19" t="str">
        <f aca="false">IF($B195="","",IF(B195&lt;30000,35%,IF(B195&lt;50000,30%,IF(B195&lt;100000,25%,20%))))</f>
        <v/>
      </c>
      <c r="P194" s="21" t="str">
        <f aca="false">IF($A195="","",COUNTIFS(持仓表!$A:$A,$A195,持仓表!$G:$G,"&gt;0"))</f>
        <v/>
      </c>
      <c r="Q194" s="21" t="str">
        <f aca="false">IF($A195="","",COUNTIFS(持仓表!$A:$A,$A195,持仓表!$D:$D,"是",持仓表!$G:$G,"&gt;0"))</f>
        <v/>
      </c>
      <c r="R194" s="21" t="str">
        <f aca="false">IF($A195="","",MAX(0,P195-Q195))</f>
        <v/>
      </c>
      <c r="S194" s="21" t="str">
        <f aca="false">IF($B195="","",IF(B195&lt;50000,3,IF(B195&lt;100000,4,5)))</f>
        <v/>
      </c>
      <c r="T194" s="5" t="str">
        <f aca="false">IF($A195="","",IF(OR(M195&gt;=4,I195&lt;=-8%),"防守",IF(OR(M195&gt;=2,I195&lt;=-5%),"警戒","正常")))</f>
        <v/>
      </c>
      <c r="U194" s="5" t="str">
        <f aca="false">IF($A195="","",IF(AND(L195&gt;=3,M195&lt;=2,T195&lt;&gt;"防守"),"是","否"))</f>
        <v/>
      </c>
      <c r="V194" s="5" t="str">
        <f aca="false">IF($A195="","",IF(AND(E195&lt;N195,R195&lt;S195,M195&lt;=2,I195&gt;-15%),"是","否"))</f>
        <v/>
      </c>
      <c r="W194" s="5" t="str">
        <f aca="false">IF($A195="","",IF(OR(M195&gt;=3,I195&lt;=-15%),"是","否"))</f>
        <v/>
      </c>
      <c r="X194" s="18" t="str">
        <f aca="false">IF($A195="","",IFERROR(maxifs(候选池!$AB:$AB,候选池!$A:$A,$A195),0))</f>
        <v/>
      </c>
      <c r="Y194" s="18" t="str">
        <f aca="false">IF($A195="","",IF(OR(M195&gt;=4,I195&lt;=-8%),MAX(0,B195*60%-C195),IF(AND(ISNUMBER(AD195),B195&gt;AD195),IF(B195&lt;30000,0,IF(B195&lt;100000,MAX(0,(B195-AD195)*0.2),MAX(0,(B195-AD195)*0.3))),0)))</f>
        <v/>
      </c>
      <c r="Z194" s="9"/>
      <c r="AA194" s="5" t="str">
        <f aca="false">IF($A195="","",IF($AA$2&lt;&gt;"",$AA$2,""))</f>
        <v/>
      </c>
      <c r="AB194" s="9" t="str">
        <f aca="false">IF($A195="","",IF(B195&lt;30000,0.03,IF(B195&lt;100000,0.02,0.015)))</f>
        <v/>
      </c>
      <c r="AC194" s="21" t="str">
        <f aca="false">IF($A195="","",IFERROR(DATEDIF($A$2,$A195,"m"),0))</f>
        <v/>
      </c>
      <c r="AD194" s="18" t="str">
        <f aca="false">IF($A195="","",IF(OR(AA195="",AB195="",AC195=""),"",AA195*POWER(1+AB195,AC195)))</f>
        <v/>
      </c>
      <c r="AE194" s="29" t="str">
        <f aca="false">IF($A195="","",IF(OR(AD195="",AD195=0),"",B195/AD195-1))</f>
        <v/>
      </c>
      <c r="AG194" s="1" t="str">
        <f aca="false">IF($A195="","",IF(B195&lt;30000,"婴儿",IF(B195&lt;100000,"成长","成熟")))</f>
        <v/>
      </c>
      <c r="AH194" s="24"/>
      <c r="AJ194" s="24"/>
      <c r="AK194" s="24"/>
      <c r="AM194" s="24"/>
      <c r="AP194" s="15"/>
      <c r="AQ194" s="25" t="str">
        <f aca="false">IF($A195="","",B195-$AA$2-SUM($F$2:F195))</f>
        <v/>
      </c>
      <c r="AR194" s="1" t="str">
        <f aca="false">IF($A194="","",30000)</f>
        <v/>
      </c>
      <c r="AS194" s="1" t="str">
        <f aca="false">IF($A194="","",AR194-B194)</f>
        <v/>
      </c>
      <c r="AT194" s="1" t="str">
        <f aca="false">IF($A194="","",IFERROR(B194/AR194,0))</f>
        <v/>
      </c>
      <c r="AU194" s="1" t="str">
        <f aca="false">IF($A194="","",IFERROR(B194*O194,0))</f>
        <v/>
      </c>
      <c r="AV194" s="1" t="str">
        <f aca="false">IF($A194="","",IFERROR(C194/B194,0))</f>
        <v/>
      </c>
      <c r="AW194" s="1" t="str">
        <f aca="false">IF($A194="","",MAX(0,R194-S194))</f>
        <v/>
      </c>
      <c r="AX194" s="1" t="str">
        <f aca="false">IF($A194="","",IF(AW194&gt;0,"优先降持仓数",IF(C194&lt;=0,"现金不足","允许评估")))</f>
        <v/>
      </c>
      <c r="AY194" s="1" t="str">
        <f aca="false">IF($A194="","",IF(B194&lt;30000,"婴儿阶段: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6"/>
      <c r="B195" s="17"/>
      <c r="C195" s="17"/>
      <c r="D195" s="18" t="str">
        <f aca="false">IF($A196="","",SUMIFS(持仓表!$J:$J,持仓表!$A:$A,$A196))</f>
        <v/>
      </c>
      <c r="E195" s="19" t="n">
        <f aca="false">IFERROR(D196/B196,0)</f>
        <v>0</v>
      </c>
      <c r="F195" s="17"/>
      <c r="G195" s="18" t="str">
        <f aca="false">IF($B196="","",MAX($B$2:B196))</f>
        <v/>
      </c>
      <c r="H195" s="19" t="n">
        <f aca="false">IFERROR((B196-F196)/F196,0)</f>
        <v>0</v>
      </c>
      <c r="I195" s="19" t="n">
        <f aca="false">IFERROR((B196-G196)/G196,0)</f>
        <v>0</v>
      </c>
      <c r="J195" s="6"/>
      <c r="K195" s="13"/>
      <c r="L195" s="20"/>
      <c r="M195" s="20"/>
      <c r="N195" s="19" t="str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/>
      </c>
      <c r="O195" s="19" t="str">
        <f aca="false">IF($B196="","",IF(B196&lt;30000,35%,IF(B196&lt;50000,30%,IF(B196&lt;100000,25%,20%))))</f>
        <v/>
      </c>
      <c r="P195" s="21" t="str">
        <f aca="false">IF($A196="","",COUNTIFS(持仓表!$A:$A,$A196,持仓表!$G:$G,"&gt;0"))</f>
        <v/>
      </c>
      <c r="Q195" s="21" t="str">
        <f aca="false">IF($A196="","",COUNTIFS(持仓表!$A:$A,$A196,持仓表!$D:$D,"是",持仓表!$G:$G,"&gt;0"))</f>
        <v/>
      </c>
      <c r="R195" s="21" t="str">
        <f aca="false">IF($A196="","",MAX(0,P196-Q196))</f>
        <v/>
      </c>
      <c r="S195" s="21" t="str">
        <f aca="false">IF($B196="","",IF(B196&lt;50000,3,IF(B196&lt;100000,4,5)))</f>
        <v/>
      </c>
      <c r="T195" s="5" t="str">
        <f aca="false">IF($A196="","",IF(OR(M196&gt;=4,I196&lt;=-8%),"防守",IF(OR(M196&gt;=2,I196&lt;=-5%),"警戒","正常")))</f>
        <v/>
      </c>
      <c r="U195" s="5" t="str">
        <f aca="false">IF($A196="","",IF(AND(L196&gt;=3,M196&lt;=2,T196&lt;&gt;"防守"),"是","否"))</f>
        <v/>
      </c>
      <c r="V195" s="5" t="str">
        <f aca="false">IF($A196="","",IF(AND(E196&lt;N196,R196&lt;S196,M196&lt;=2,I196&gt;-15%),"是","否"))</f>
        <v/>
      </c>
      <c r="W195" s="5" t="str">
        <f aca="false">IF($A196="","",IF(OR(M196&gt;=3,I196&lt;=-15%),"是","否"))</f>
        <v/>
      </c>
      <c r="X195" s="18" t="str">
        <f aca="false">IF($A196="","",IFERROR(maxifs(候选池!$AB:$AB,候选池!$A:$A,$A196),0))</f>
        <v/>
      </c>
      <c r="Y195" s="18" t="str">
        <f aca="false">IF($A196="","",IF(OR(M196&gt;=4,I196&lt;=-8%),MAX(0,B196*60%-C196),IF(AND(ISNUMBER(AD196),B196&gt;AD196),IF(B196&lt;30000,0,IF(B196&lt;100000,MAX(0,(B196-AD196)*0.2),MAX(0,(B196-AD196)*0.3))),0)))</f>
        <v/>
      </c>
      <c r="Z195" s="6"/>
      <c r="AA195" s="5" t="str">
        <f aca="false">IF($A196="","",IF($AA$2&lt;&gt;"",$AA$2,""))</f>
        <v/>
      </c>
      <c r="AB195" s="6" t="str">
        <f aca="false">IF($A196="","",IF(B196&lt;30000,0.03,IF(B196&lt;100000,0.02,0.015)))</f>
        <v/>
      </c>
      <c r="AC195" s="21" t="str">
        <f aca="false">IF($A196="","",IFERROR(DATEDIF($A$2,$A196,"m"),0))</f>
        <v/>
      </c>
      <c r="AD195" s="18" t="str">
        <f aca="false">IF($A196="","",IF(OR(AA196="",AB196="",AC196=""),"",AA196*POWER(1+AB196,AC196)))</f>
        <v/>
      </c>
      <c r="AE195" s="23" t="str">
        <f aca="false">IF($A196="","",IF(OR(AD196="",AD196=0),"",B196/AD196-1))</f>
        <v/>
      </c>
      <c r="AG195" s="1" t="str">
        <f aca="false">IF($A196="","",IF(B196&lt;30000,"婴儿",IF(B196&lt;100000,"成长","成熟")))</f>
        <v/>
      </c>
      <c r="AH195" s="24"/>
      <c r="AJ195" s="24"/>
      <c r="AK195" s="24"/>
      <c r="AM195" s="24"/>
      <c r="AP195" s="15"/>
      <c r="AQ195" s="25" t="str">
        <f aca="false">IF($A196="","",B196-$AA$2-SUM($F$2:F196))</f>
        <v/>
      </c>
      <c r="AR195" s="1" t="str">
        <f aca="false">IF($A195="","",30000)</f>
        <v/>
      </c>
      <c r="AS195" s="1" t="str">
        <f aca="false">IF($A195="","",AR195-B195)</f>
        <v/>
      </c>
      <c r="AT195" s="1" t="str">
        <f aca="false">IF($A195="","",IFERROR(B195/AR195,0))</f>
        <v/>
      </c>
      <c r="AU195" s="1" t="str">
        <f aca="false">IF($A195="","",IFERROR(B195*O195,0))</f>
        <v/>
      </c>
      <c r="AV195" s="1" t="str">
        <f aca="false">IF($A195="","",IFERROR(C195/B195,0))</f>
        <v/>
      </c>
      <c r="AW195" s="1" t="str">
        <f aca="false">IF($A195="","",MAX(0,R195-S195))</f>
        <v/>
      </c>
      <c r="AX195" s="1" t="str">
        <f aca="false">IF($A195="","",IF(AW195&gt;0,"优先降持仓数",IF(C195&lt;=0,"现金不足","允许评估")))</f>
        <v/>
      </c>
      <c r="AY195" s="1" t="str">
        <f aca="false">IF($A195="","",IF(B195&lt;30000,"婴儿阶段: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9"/>
      <c r="B196" s="26"/>
      <c r="C196" s="26"/>
      <c r="D196" s="18" t="str">
        <f aca="false">IF($A197="","",SUMIFS(持仓表!$J:$J,持仓表!$A:$A,$A197))</f>
        <v/>
      </c>
      <c r="E196" s="19" t="n">
        <f aca="false">IFERROR(D197/B197,0)</f>
        <v>0</v>
      </c>
      <c r="F196" s="26"/>
      <c r="G196" s="18" t="str">
        <f aca="false">IF($B197="","",MAX($B$2:B197))</f>
        <v/>
      </c>
      <c r="H196" s="19" t="n">
        <f aca="false">IFERROR((B197-F197)/F197,0)</f>
        <v>0</v>
      </c>
      <c r="I196" s="19" t="n">
        <f aca="false">IFERROR((B197-G197)/G197,0)</f>
        <v>0</v>
      </c>
      <c r="J196" s="9"/>
      <c r="K196" s="14"/>
      <c r="L196" s="27"/>
      <c r="M196" s="27"/>
      <c r="N196" s="19" t="str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/>
      </c>
      <c r="O196" s="19" t="str">
        <f aca="false">IF($B197="","",IF(B197&lt;30000,35%,IF(B197&lt;50000,30%,IF(B197&lt;100000,25%,20%))))</f>
        <v/>
      </c>
      <c r="P196" s="21" t="str">
        <f aca="false">IF($A197="","",COUNTIFS(持仓表!$A:$A,$A197,持仓表!$G:$G,"&gt;0"))</f>
        <v/>
      </c>
      <c r="Q196" s="21" t="str">
        <f aca="false">IF($A197="","",COUNTIFS(持仓表!$A:$A,$A197,持仓表!$D:$D,"是",持仓表!$G:$G,"&gt;0"))</f>
        <v/>
      </c>
      <c r="R196" s="21" t="str">
        <f aca="false">IF($A197="","",MAX(0,P197-Q197))</f>
        <v/>
      </c>
      <c r="S196" s="21" t="str">
        <f aca="false">IF($B197="","",IF(B197&lt;50000,3,IF(B197&lt;100000,4,5)))</f>
        <v/>
      </c>
      <c r="T196" s="5" t="str">
        <f aca="false">IF($A197="","",IF(OR(M197&gt;=4,I197&lt;=-8%),"防守",IF(OR(M197&gt;=2,I197&lt;=-5%),"警戒","正常")))</f>
        <v/>
      </c>
      <c r="U196" s="5" t="str">
        <f aca="false">IF($A197="","",IF(AND(L197&gt;=3,M197&lt;=2,T197&lt;&gt;"防守"),"是","否"))</f>
        <v/>
      </c>
      <c r="V196" s="5" t="str">
        <f aca="false">IF($A197="","",IF(AND(E197&lt;N197,R197&lt;S197,M197&lt;=2,I197&gt;-15%),"是","否"))</f>
        <v/>
      </c>
      <c r="W196" s="5" t="str">
        <f aca="false">IF($A197="","",IF(OR(M197&gt;=3,I197&lt;=-15%),"是","否"))</f>
        <v/>
      </c>
      <c r="X196" s="18" t="str">
        <f aca="false">IF($A197="","",IFERROR(maxifs(候选池!$AB:$AB,候选池!$A:$A,$A197),0))</f>
        <v/>
      </c>
      <c r="Y196" s="18" t="str">
        <f aca="false">IF($A197="","",IF(OR(M197&gt;=4,I197&lt;=-8%),MAX(0,B197*60%-C197),IF(AND(ISNUMBER(AD197),B197&gt;AD197),IF(B197&lt;30000,0,IF(B197&lt;100000,MAX(0,(B197-AD197)*0.2),MAX(0,(B197-AD197)*0.3))),0)))</f>
        <v/>
      </c>
      <c r="Z196" s="9"/>
      <c r="AA196" s="5" t="str">
        <f aca="false">IF($A197="","",IF($AA$2&lt;&gt;"",$AA$2,""))</f>
        <v/>
      </c>
      <c r="AB196" s="9" t="str">
        <f aca="false">IF($A197="","",IF(B197&lt;30000,0.03,IF(B197&lt;100000,0.02,0.015)))</f>
        <v/>
      </c>
      <c r="AC196" s="21" t="str">
        <f aca="false">IF($A197="","",IFERROR(DATEDIF($A$2,$A197,"m"),0))</f>
        <v/>
      </c>
      <c r="AD196" s="18" t="str">
        <f aca="false">IF($A197="","",IF(OR(AA197="",AB197="",AC197=""),"",AA197*POWER(1+AB197,AC197)))</f>
        <v/>
      </c>
      <c r="AE196" s="29" t="str">
        <f aca="false">IF($A197="","",IF(OR(AD197="",AD197=0),"",B197/AD197-1))</f>
        <v/>
      </c>
      <c r="AG196" s="1" t="str">
        <f aca="false">IF($A197="","",IF(B197&lt;30000,"婴儿",IF(B197&lt;100000,"成长","成熟")))</f>
        <v/>
      </c>
      <c r="AH196" s="24"/>
      <c r="AJ196" s="24"/>
      <c r="AK196" s="24"/>
      <c r="AM196" s="24"/>
      <c r="AP196" s="15"/>
      <c r="AQ196" s="25" t="str">
        <f aca="false">IF($A197="","",B197-$AA$2-SUM($F$2:F197))</f>
        <v/>
      </c>
      <c r="AR196" s="1" t="str">
        <f aca="false">IF($A196="","",30000)</f>
        <v/>
      </c>
      <c r="AS196" s="1" t="str">
        <f aca="false">IF($A196="","",AR196-B196)</f>
        <v/>
      </c>
      <c r="AT196" s="1" t="str">
        <f aca="false">IF($A196="","",IFERROR(B196/AR196,0))</f>
        <v/>
      </c>
      <c r="AU196" s="1" t="str">
        <f aca="false">IF($A196="","",IFERROR(B196*O196,0))</f>
        <v/>
      </c>
      <c r="AV196" s="1" t="str">
        <f aca="false">IF($A196="","",IFERROR(C196/B196,0))</f>
        <v/>
      </c>
      <c r="AW196" s="1" t="str">
        <f aca="false">IF($A196="","",MAX(0,R196-S196))</f>
        <v/>
      </c>
      <c r="AX196" s="1" t="str">
        <f aca="false">IF($A196="","",IF(AW196&gt;0,"优先降持仓数",IF(C196&lt;=0,"现金不足","允许评估")))</f>
        <v/>
      </c>
      <c r="AY196" s="1" t="str">
        <f aca="false">IF($A196="","",IF(B196&lt;30000,"婴儿阶段: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6"/>
      <c r="B197" s="17"/>
      <c r="C197" s="17"/>
      <c r="D197" s="18" t="str">
        <f aca="false">IF($A198="","",SUMIFS(持仓表!$J:$J,持仓表!$A:$A,$A198))</f>
        <v/>
      </c>
      <c r="E197" s="19" t="n">
        <f aca="false">IFERROR(D198/B198,0)</f>
        <v>0</v>
      </c>
      <c r="F197" s="17"/>
      <c r="G197" s="18" t="str">
        <f aca="false">IF($B198="","",MAX($B$2:B198))</f>
        <v/>
      </c>
      <c r="H197" s="19" t="n">
        <f aca="false">IFERROR((B198-F198)/F198,0)</f>
        <v>0</v>
      </c>
      <c r="I197" s="19" t="n">
        <f aca="false">IFERROR((B198-G198)/G198,0)</f>
        <v>0</v>
      </c>
      <c r="J197" s="6"/>
      <c r="K197" s="13"/>
      <c r="L197" s="20"/>
      <c r="M197" s="20"/>
      <c r="N197" s="19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7" s="19" t="str">
        <f aca="false">IF($B198="","",IF(B198&lt;30000,35%,IF(B198&lt;50000,30%,IF(B198&lt;100000,25%,20%))))</f>
        <v/>
      </c>
      <c r="P197" s="21" t="str">
        <f aca="false">IF($A198="","",COUNTIFS(持仓表!$A:$A,$A198,持仓表!$G:$G,"&gt;0"))</f>
        <v/>
      </c>
      <c r="Q197" s="21" t="str">
        <f aca="false">IF($A198="","",COUNTIFS(持仓表!$A:$A,$A198,持仓表!$D:$D,"是",持仓表!$G:$G,"&gt;0"))</f>
        <v/>
      </c>
      <c r="R197" s="21" t="str">
        <f aca="false">IF($A198="","",MAX(0,P198-Q198))</f>
        <v/>
      </c>
      <c r="S197" s="21" t="str">
        <f aca="false">IF($B198="","",IF(B198&lt;50000,3,IF(B198&lt;100000,4,5)))</f>
        <v/>
      </c>
      <c r="T197" s="5" t="str">
        <f aca="false">IF($A198="","",IF(OR(M198&gt;=4,I198&lt;=-8%),"防守",IF(OR(M198&gt;=2,I198&lt;=-5%),"警戒","正常")))</f>
        <v/>
      </c>
      <c r="U197" s="5" t="str">
        <f aca="false">IF($A198="","",IF(AND(L198&gt;=3,M198&lt;=2,T198&lt;&gt;"防守"),"是","否"))</f>
        <v/>
      </c>
      <c r="V197" s="5" t="str">
        <f aca="false">IF($A198="","",IF(AND(E198&lt;N198,R198&lt;S198,M198&lt;=2,I198&gt;-15%),"是","否"))</f>
        <v/>
      </c>
      <c r="W197" s="5" t="str">
        <f aca="false">IF($A198="","",IF(OR(M198&gt;=3,I198&lt;=-15%),"是","否"))</f>
        <v/>
      </c>
      <c r="X197" s="18" t="str">
        <f aca="false">IF($A198="","",IFERROR(maxifs(候选池!$AB:$AB,候选池!$A:$A,$A198),0))</f>
        <v/>
      </c>
      <c r="Y197" s="18" t="str">
        <f aca="false">IF($A198="","",IF(OR(M198&gt;=4,I198&lt;=-8%),MAX(0,B198*60%-C198),IF(AND(ISNUMBER(AD198),B198&gt;AD198),IF(B198&lt;30000,0,IF(B198&lt;100000,MAX(0,(B198-AD198)*0.2),MAX(0,(B198-AD198)*0.3))),0)))</f>
        <v/>
      </c>
      <c r="Z197" s="6"/>
      <c r="AA197" s="5" t="str">
        <f aca="false">IF($A198="","",IF($AA$2&lt;&gt;"",$AA$2,""))</f>
        <v/>
      </c>
      <c r="AB197" s="6" t="str">
        <f aca="false">IF($A198="","",IF(B198&lt;30000,0.03,IF(B198&lt;100000,0.02,0.015)))</f>
        <v/>
      </c>
      <c r="AC197" s="21" t="str">
        <f aca="false">IF($A198="","",IFERROR(DATEDIF($A$2,$A198,"m"),0))</f>
        <v/>
      </c>
      <c r="AD197" s="18" t="str">
        <f aca="false">IF($A198="","",IF(OR(AA198="",AB198="",AC198=""),"",AA198*POWER(1+AB198,AC198)))</f>
        <v/>
      </c>
      <c r="AE197" s="23" t="str">
        <f aca="false">IF($A198="","",IF(OR(AD198="",AD198=0),"",B198/AD198-1))</f>
        <v/>
      </c>
      <c r="AG197" s="1" t="str">
        <f aca="false">IF($A198="","",IF(B198&lt;30000,"婴儿",IF(B198&lt;100000,"成长","成熟")))</f>
        <v/>
      </c>
      <c r="AH197" s="24"/>
      <c r="AJ197" s="24"/>
      <c r="AK197" s="24"/>
      <c r="AM197" s="24"/>
      <c r="AP197" s="15"/>
      <c r="AQ197" s="25" t="str">
        <f aca="false">IF($A198="","",B198-$AA$2-SUM($F$2:F198))</f>
        <v/>
      </c>
      <c r="AR197" s="1" t="str">
        <f aca="false">IF($A197="","",30000)</f>
        <v/>
      </c>
      <c r="AS197" s="1" t="str">
        <f aca="false">IF($A197="","",AR197-B197)</f>
        <v/>
      </c>
      <c r="AT197" s="1" t="str">
        <f aca="false">IF($A197="","",IFERROR(B197/AR197,0))</f>
        <v/>
      </c>
      <c r="AU197" s="1" t="str">
        <f aca="false">IF($A197="","",IFERROR(B197*O197,0))</f>
        <v/>
      </c>
      <c r="AV197" s="1" t="str">
        <f aca="false">IF($A197="","",IFERROR(C197/B197,0))</f>
        <v/>
      </c>
      <c r="AW197" s="1" t="str">
        <f aca="false">IF($A197="","",MAX(0,R197-S197))</f>
        <v/>
      </c>
      <c r="AX197" s="1" t="str">
        <f aca="false">IF($A197="","",IF(AW197&gt;0,"优先降持仓数",IF(C197&lt;=0,"现金不足","允许评估")))</f>
        <v/>
      </c>
      <c r="AY197" s="1" t="str">
        <f aca="false">IF($A197="","",IF(B197&lt;30000,"婴儿阶段: 优先活下来,禁止单票失控,限制持仓数,服务3W目标","幼儿阶段达成"))</f>
        <v/>
      </c>
    </row>
    <row r="198" customFormat="false" ht="15" hidden="false" customHeight="true" outlineLevel="0" collapsed="false">
      <c r="A198" s="9"/>
      <c r="B198" s="26"/>
      <c r="C198" s="26"/>
      <c r="D198" s="18" t="str">
        <f aca="false">IF($A199="","",SUMIFS(持仓表!$J:$J,持仓表!$A:$A,$A199))</f>
        <v/>
      </c>
      <c r="E198" s="19" t="n">
        <f aca="false">IFERROR(D199/B199,0)</f>
        <v>0</v>
      </c>
      <c r="F198" s="26"/>
      <c r="G198" s="18" t="str">
        <f aca="false">IF($B199="","",MAX($B$2:B199))</f>
        <v/>
      </c>
      <c r="H198" s="19" t="n">
        <f aca="false">IFERROR((B199-F199)/F199,0)</f>
        <v>0</v>
      </c>
      <c r="I198" s="19" t="n">
        <f aca="false">IFERROR((B199-G199)/G199,0)</f>
        <v>0</v>
      </c>
      <c r="J198" s="9"/>
      <c r="K198" s="14"/>
      <c r="L198" s="27"/>
      <c r="M198" s="27"/>
      <c r="N198" s="19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8" s="19" t="str">
        <f aca="false">IF($B199="","",IF(B199&lt;30000,35%,IF(B199&lt;50000,30%,IF(B199&lt;100000,25%,20%))))</f>
        <v/>
      </c>
      <c r="P198" s="21" t="str">
        <f aca="false">IF($A199="","",COUNTIFS(持仓表!$A:$A,$A199,持仓表!$G:$G,"&gt;0"))</f>
        <v/>
      </c>
      <c r="Q198" s="21" t="str">
        <f aca="false">IF($A199="","",COUNTIFS(持仓表!$A:$A,$A199,持仓表!$D:$D,"是",持仓表!$G:$G,"&gt;0"))</f>
        <v/>
      </c>
      <c r="R198" s="21" t="str">
        <f aca="false">IF($A199="","",MAX(0,P199-Q199))</f>
        <v/>
      </c>
      <c r="S198" s="21" t="str">
        <f aca="false">IF($B199="","",IF(B199&lt;50000,3,IF(B199&lt;100000,4,5)))</f>
        <v/>
      </c>
      <c r="T198" s="5" t="str">
        <f aca="false">IF($A199="","",IF(OR(M199&gt;=4,I199&lt;=-8%),"防守",IF(OR(M199&gt;=2,I199&lt;=-5%),"警戒","正常")))</f>
        <v/>
      </c>
      <c r="U198" s="5" t="str">
        <f aca="false">IF($A199="","",IF(AND(L199&gt;=3,M199&lt;=2,T199&lt;&gt;"防守"),"是","否"))</f>
        <v/>
      </c>
      <c r="V198" s="5" t="str">
        <f aca="false">IF($A199="","",IF(AND(E199&lt;N199,R199&lt;S199,M199&lt;=2,I199&gt;-15%),"是","否"))</f>
        <v/>
      </c>
      <c r="W198" s="5" t="str">
        <f aca="false">IF($A199="","",IF(OR(M199&gt;=3,I199&lt;=-15%),"是","否"))</f>
        <v/>
      </c>
      <c r="X198" s="18" t="str">
        <f aca="false">IF($A199="","",IFERROR(maxifs(候选池!$AB:$AB,候选池!$A:$A,$A199),0))</f>
        <v/>
      </c>
      <c r="Y198" s="18" t="str">
        <f aca="false">IF($A199="","",IF(OR(M199&gt;=4,I199&lt;=-8%),MAX(0,B199*60%-C199),IF(AND(ISNUMBER(AD199),B199&gt;AD199),IF(B199&lt;30000,0,IF(B199&lt;100000,MAX(0,(B199-AD199)*0.2),MAX(0,(B199-AD199)*0.3))),0)))</f>
        <v/>
      </c>
      <c r="Z198" s="9"/>
      <c r="AA198" s="5" t="str">
        <f aca="false">IF($A199="","",IF($AA$2&lt;&gt;"",$AA$2,""))</f>
        <v/>
      </c>
      <c r="AB198" s="9" t="str">
        <f aca="false">IF($A199="","",IF(B199&lt;30000,0.03,IF(B199&lt;100000,0.02,0.015)))</f>
        <v/>
      </c>
      <c r="AC198" s="21" t="str">
        <f aca="false">IF($A199="","",IFERROR(DATEDIF($A$2,$A199,"m"),0))</f>
        <v/>
      </c>
      <c r="AD198" s="18" t="str">
        <f aca="false">IF($A199="","",IF(OR(AA199="",AB199="",AC199=""),"",AA199*POWER(1+AB199,AC199)))</f>
        <v/>
      </c>
      <c r="AE198" s="29" t="str">
        <f aca="false">IF($A199="","",IF(OR(AD199="",AD199=0),"",B199/AD199-1))</f>
        <v/>
      </c>
      <c r="AG198" s="1" t="str">
        <f aca="false">IF($A199="","",IF(B199&lt;30000,"婴儿",IF(B199&lt;100000,"成长","成熟")))</f>
        <v/>
      </c>
      <c r="AH198" s="24"/>
      <c r="AJ198" s="24"/>
      <c r="AK198" s="24"/>
      <c r="AM198" s="24"/>
      <c r="AP198" s="15"/>
      <c r="AQ198" s="25" t="str">
        <f aca="false">IF($A199="","",B199-$AA$2-SUM($F$2:F199))</f>
        <v/>
      </c>
      <c r="AR198" s="1" t="str">
        <f aca="false">IF($A198="","",30000)</f>
        <v/>
      </c>
      <c r="AS198" s="1" t="str">
        <f aca="false">IF($A198="","",AR198-B198)</f>
        <v/>
      </c>
      <c r="AT198" s="1" t="str">
        <f aca="false">IF($A198="","",IFERROR(B198/AR198,0))</f>
        <v/>
      </c>
      <c r="AU198" s="1" t="str">
        <f aca="false">IF($A198="","",IFERROR(B198*O198,0))</f>
        <v/>
      </c>
      <c r="AV198" s="1" t="str">
        <f aca="false">IF($A198="","",IFERROR(C198/B198,0))</f>
        <v/>
      </c>
      <c r="AW198" s="1" t="str">
        <f aca="false">IF($A198="","",MAX(0,R198-S198))</f>
        <v/>
      </c>
      <c r="AX198" s="1" t="str">
        <f aca="false">IF($A198="","",IF(AW198&gt;0,"优先降持仓数",IF(C198&lt;=0,"现金不足","允许评估")))</f>
        <v/>
      </c>
      <c r="AY198" s="1" t="str">
        <f aca="false">IF($A198="","",IF(B198&lt;30000,"婴儿阶段: 优先活下来,禁止单票失控,限制持仓数,服务3W目标","幼儿阶段达成"))</f>
        <v/>
      </c>
    </row>
    <row r="199" customFormat="false" ht="15" hidden="false" customHeight="true" outlineLevel="0" collapsed="false">
      <c r="A199" s="6"/>
      <c r="B199" s="17"/>
      <c r="C199" s="17"/>
      <c r="D199" s="18" t="str">
        <f aca="false">IF($A200="","",SUMIFS(持仓表!$J:$J,持仓表!$A:$A,$A200))</f>
        <v/>
      </c>
      <c r="E199" s="19" t="n">
        <f aca="false">IFERROR(D200/B200,0)</f>
        <v>0</v>
      </c>
      <c r="F199" s="17"/>
      <c r="G199" s="18" t="str">
        <f aca="false">IF($B200="","",MAX($B$2:B200))</f>
        <v/>
      </c>
      <c r="H199" s="19" t="n">
        <f aca="false">IFERROR((B200-F200)/F200,0)</f>
        <v>0</v>
      </c>
      <c r="I199" s="19" t="n">
        <f aca="false">IFERROR((B200-G200)/G200,0)</f>
        <v>0</v>
      </c>
      <c r="J199" s="6"/>
      <c r="K199" s="13"/>
      <c r="L199" s="20"/>
      <c r="M199" s="20"/>
      <c r="N199" s="19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9" s="19" t="str">
        <f aca="false">IF($B200="","",IF(B200&lt;30000,35%,IF(B200&lt;50000,30%,IF(B200&lt;100000,25%,20%))))</f>
        <v/>
      </c>
      <c r="P199" s="21" t="str">
        <f aca="false">IF($A200="","",COUNTIFS(持仓表!$A:$A,$A200,持仓表!$G:$G,"&gt;0"))</f>
        <v/>
      </c>
      <c r="Q199" s="21" t="str">
        <f aca="false">IF($A200="","",COUNTIFS(持仓表!$A:$A,$A200,持仓表!$D:$D,"是",持仓表!$G:$G,"&gt;0"))</f>
        <v/>
      </c>
      <c r="R199" s="21" t="str">
        <f aca="false">IF($A200="","",MAX(0,P200-Q200))</f>
        <v/>
      </c>
      <c r="S199" s="21" t="str">
        <f aca="false">IF($B200="","",IF(B200&lt;50000,3,IF(B200&lt;100000,4,5)))</f>
        <v/>
      </c>
      <c r="T199" s="5" t="str">
        <f aca="false">IF($A200="","",IF(OR(M200&gt;=4,I200&lt;=-8%),"防守",IF(OR(M200&gt;=2,I200&lt;=-5%),"警戒","正常")))</f>
        <v/>
      </c>
      <c r="U199" s="5" t="str">
        <f aca="false">IF($A200="","",IF(AND(L200&gt;=3,M200&lt;=2,T200&lt;&gt;"防守"),"是","否"))</f>
        <v/>
      </c>
      <c r="V199" s="5" t="str">
        <f aca="false">IF($A200="","",IF(AND(E200&lt;N200,R200&lt;S200,M200&lt;=2,I200&gt;-15%),"是","否"))</f>
        <v/>
      </c>
      <c r="W199" s="5" t="str">
        <f aca="false">IF($A200="","",IF(OR(M200&gt;=3,I200&lt;=-15%),"是","否"))</f>
        <v/>
      </c>
      <c r="X199" s="18" t="str">
        <f aca="false">IF($A200="","",IFERROR(maxifs(候选池!$AB:$AB,候选池!$A:$A,$A200),0))</f>
        <v/>
      </c>
      <c r="Y199" s="18" t="str">
        <f aca="false">IF($A200="","",IF(OR(M200&gt;=4,I200&lt;=-8%),MAX(0,B200*60%-C200),IF(AND(ISNUMBER(AD200),B200&gt;AD200),IF(B200&lt;30000,0,IF(B200&lt;100000,MAX(0,(B200-AD200)*0.2),MAX(0,(B200-AD200)*0.3))),0)))</f>
        <v/>
      </c>
      <c r="Z199" s="6"/>
      <c r="AA199" s="5" t="str">
        <f aca="false">IF($A200="","",IF($AA$2&lt;&gt;"",$AA$2,""))</f>
        <v/>
      </c>
      <c r="AB199" s="6" t="str">
        <f aca="false">IF($A200="","",IF(B200&lt;30000,0.03,IF(B200&lt;100000,0.02,0.015)))</f>
        <v/>
      </c>
      <c r="AC199" s="21" t="str">
        <f aca="false">IF($A200="","",IFERROR(DATEDIF($A$2,$A200,"m"),0))</f>
        <v/>
      </c>
      <c r="AD199" s="18" t="str">
        <f aca="false">IF($A200="","",IF(OR(AA200="",AB200="",AC200=""),"",AA200*POWER(1+AB200,AC200)))</f>
        <v/>
      </c>
      <c r="AE199" s="23" t="str">
        <f aca="false">IF($A200="","",IF(OR(AD200="",AD200=0),"",B200/AD200-1))</f>
        <v/>
      </c>
      <c r="AG199" s="1" t="str">
        <f aca="false">IF($A200="","",IF(B200&lt;30000,"婴儿",IF(B200&lt;100000,"成长","成熟")))</f>
        <v/>
      </c>
      <c r="AH199" s="24"/>
      <c r="AJ199" s="24"/>
      <c r="AK199" s="24"/>
      <c r="AM199" s="24"/>
      <c r="AP199" s="15"/>
      <c r="AQ199" s="25" t="str">
        <f aca="false">IF($A200="","",B200-$AA$2-SUM($F$2:F200))</f>
        <v/>
      </c>
      <c r="AR199" s="1" t="str">
        <f aca="false">IF($A199="","",30000)</f>
        <v/>
      </c>
      <c r="AS199" s="1" t="str">
        <f aca="false">IF($A199="","",AR199-B199)</f>
        <v/>
      </c>
      <c r="AT199" s="1" t="str">
        <f aca="false">IF($A199="","",IFERROR(B199/AR199,0))</f>
        <v/>
      </c>
      <c r="AU199" s="1" t="str">
        <f aca="false">IF($A199="","",IFERROR(B199*O199,0))</f>
        <v/>
      </c>
      <c r="AV199" s="1" t="str">
        <f aca="false">IF($A199="","",IFERROR(C199/B199,0))</f>
        <v/>
      </c>
      <c r="AW199" s="1" t="str">
        <f aca="false">IF($A199="","",MAX(0,R199-S199))</f>
        <v/>
      </c>
      <c r="AX199" s="1" t="str">
        <f aca="false">IF($A199="","",IF(AW199&gt;0,"优先降持仓数",IF(C199&lt;=0,"现金不足","允许评估")))</f>
        <v/>
      </c>
      <c r="AY199" s="1" t="str">
        <f aca="false">IF($A199="","",IF(B199&lt;30000,"婴儿阶段: 优先活下来,禁止单票失控,限制持仓数,服务3W目标","幼儿阶段达成"))</f>
        <v/>
      </c>
    </row>
    <row r="200" customFormat="false" ht="15" hidden="false" customHeight="true" outlineLevel="0" collapsed="false">
      <c r="A200" s="9"/>
      <c r="B200" s="26"/>
      <c r="C200" s="26"/>
      <c r="D200" s="18" t="str">
        <f aca="false">IF($A201="","",SUMIFS(持仓表!$J:$J,持仓表!$A:$A,$A201))</f>
        <v/>
      </c>
      <c r="E200" s="19" t="n">
        <f aca="false">IFERROR(D201/B201,0)</f>
        <v>0</v>
      </c>
      <c r="F200" s="26"/>
      <c r="G200" s="18" t="str">
        <f aca="false">IF($B201="","",MAX($B$2:B201))</f>
        <v/>
      </c>
      <c r="H200" s="19" t="n">
        <f aca="false">IFERROR((B201-F201)/F201,0)</f>
        <v>0</v>
      </c>
      <c r="I200" s="19" t="n">
        <f aca="false">IFERROR((B201-G201)/G201,0)</f>
        <v>0</v>
      </c>
      <c r="J200" s="9"/>
      <c r="K200" s="14"/>
      <c r="L200" s="27"/>
      <c r="M200" s="27"/>
      <c r="N200" s="19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200" s="19" t="str">
        <f aca="false">IF($B201="","",IF(B201&lt;30000,35%,IF(B201&lt;50000,30%,IF(B201&lt;100000,25%,20%))))</f>
        <v/>
      </c>
      <c r="P200" s="21" t="str">
        <f aca="false">IF($A201="","",COUNTIFS(持仓表!$A:$A,$A201,持仓表!$G:$G,"&gt;0"))</f>
        <v/>
      </c>
      <c r="Q200" s="21" t="str">
        <f aca="false">IF($A201="","",COUNTIFS(持仓表!$A:$A,$A201,持仓表!$D:$D,"是",持仓表!$G:$G,"&gt;0"))</f>
        <v/>
      </c>
      <c r="R200" s="21" t="str">
        <f aca="false">IF($A201="","",MAX(0,P201-Q201))</f>
        <v/>
      </c>
      <c r="S200" s="21" t="str">
        <f aca="false">IF($B201="","",IF(B201&lt;50000,3,IF(B201&lt;100000,4,5)))</f>
        <v/>
      </c>
      <c r="T200" s="5" t="str">
        <f aca="false">IF($A201="","",IF(OR(M201&gt;=4,I201&lt;=-8%),"防守",IF(OR(M201&gt;=2,I201&lt;=-5%),"警戒","正常")))</f>
        <v/>
      </c>
      <c r="U200" s="5" t="str">
        <f aca="false">IF($A201="","",IF(AND(L201&gt;=3,M201&lt;=2,T201&lt;&gt;"防守"),"是","否"))</f>
        <v/>
      </c>
      <c r="V200" s="5" t="str">
        <f aca="false">IF($A201="","",IF(AND(E201&lt;N201,R201&lt;S201,M201&lt;=2,I201&gt;-15%),"是","否"))</f>
        <v/>
      </c>
      <c r="W200" s="5" t="str">
        <f aca="false">IF($A201="","",IF(OR(M201&gt;=3,I201&lt;=-15%),"是","否"))</f>
        <v/>
      </c>
      <c r="X200" s="18" t="str">
        <f aca="false">IF($A201="","",IFERROR(maxifs(候选池!$AB:$AB,候选池!$A:$A,$A201),0))</f>
        <v/>
      </c>
      <c r="Y200" s="18" t="str">
        <f aca="false">IF($A201="","",IF(OR(M201&gt;=4,I201&lt;=-8%),MAX(0,B201*60%-C201),IF(AND(ISNUMBER(AD201),B201&gt;AD201),IF(B201&lt;30000,0,IF(B201&lt;100000,MAX(0,(B201-AD201)*0.2),MAX(0,(B201-AD201)*0.3))),0)))</f>
        <v/>
      </c>
      <c r="Z200" s="9"/>
      <c r="AA200" s="5" t="str">
        <f aca="false">IF($A201="","",IF($AA$2&lt;&gt;"",$AA$2,""))</f>
        <v/>
      </c>
      <c r="AB200" s="9" t="str">
        <f aca="false">IF($A201="","",IF(B201&lt;30000,0.03,IF(B201&lt;100000,0.02,0.015)))</f>
        <v/>
      </c>
      <c r="AC200" s="21" t="str">
        <f aca="false">IF($A201="","",IFERROR(DATEDIF($A$2,$A201,"m"),0))</f>
        <v/>
      </c>
      <c r="AD200" s="18" t="str">
        <f aca="false">IF($A201="","",IF(OR(AA201="",AB201="",AC201=""),"",AA201*POWER(1+AB201,AC201)))</f>
        <v/>
      </c>
      <c r="AE200" s="29" t="str">
        <f aca="false">IF($A201="","",IF(OR(AD201="",AD201=0),"",B201/AD201-1))</f>
        <v/>
      </c>
      <c r="AG200" s="1" t="str">
        <f aca="false">IF($A201="","",IF(B201&lt;30000,"婴儿",IF(B201&lt;100000,"成长","成熟")))</f>
        <v/>
      </c>
      <c r="AH200" s="24"/>
      <c r="AJ200" s="24"/>
      <c r="AK200" s="24"/>
      <c r="AM200" s="24"/>
      <c r="AP200" s="15"/>
      <c r="AQ200" s="25" t="str">
        <f aca="false">IF($A201="","",B201-$AA$2-SUM($F$2:F201))</f>
        <v/>
      </c>
      <c r="AR200" s="1" t="str">
        <f aca="false">IF($A200="","",30000)</f>
        <v/>
      </c>
      <c r="AS200" s="1" t="str">
        <f aca="false">IF($A200="","",AR200-B200)</f>
        <v/>
      </c>
      <c r="AT200" s="1" t="str">
        <f aca="false">IF($A200="","",IFERROR(B200/AR200,0))</f>
        <v/>
      </c>
      <c r="AU200" s="1" t="str">
        <f aca="false">IF($A200="","",IFERROR(B200*O200,0))</f>
        <v/>
      </c>
      <c r="AV200" s="1" t="str">
        <f aca="false">IF($A200="","",IFERROR(C200/B200,0))</f>
        <v/>
      </c>
      <c r="AW200" s="1" t="str">
        <f aca="false">IF($A200="","",MAX(0,R200-S200))</f>
        <v/>
      </c>
      <c r="AX200" s="1" t="str">
        <f aca="false">IF($A200="","",IF(AW200&gt;0,"优先降持仓数",IF(C200&lt;=0,"现金不足","允许评估")))</f>
        <v/>
      </c>
      <c r="AY200" s="1" t="str">
        <f aca="false">IF($A200="","",IF(B200&lt;30000,"婴儿阶段: 优先活下来,禁止单票失控,限制持仓数,服务3W目标","幼儿阶段达成"))</f>
        <v/>
      </c>
    </row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6">
      <formula>AND($AE2&gt;=0.5,$AG2="婴儿")</formula>
    </cfRule>
    <cfRule type="expression" priority="3" aboveAverage="0" equalAverage="0" bottom="0" percent="0" rank="0" text="" dxfId="11">
      <formula>AND($AE2&gt;=0.3,$AE2&lt;0.5,$AG2="婴儿")</formula>
    </cfRule>
    <cfRule type="expression" priority="4" aboveAverage="0" equalAverage="0" bottom="0" percent="0" rank="0" text="" dxfId="12">
      <formula>AND($AE2&gt;=0,$AE2&lt;0.3,$AG2="婴儿")</formula>
    </cfRule>
    <cfRule type="expression" priority="5" aboveAverage="0" equalAverage="0" bottom="0" percent="0" rank="0" text="" dxfId="7">
      <formula>AND($AE2&lt;0,$AG2="婴儿")</formula>
    </cfRule>
    <cfRule type="expression" priority="6" aboveAverage="0" equalAverage="0" bottom="0" percent="0" rank="0" text="" dxfId="6">
      <formula>AND($AE2&gt;=0.3,$AG2="成长")</formula>
    </cfRule>
    <cfRule type="expression" priority="7" aboveAverage="0" equalAverage="0" bottom="0" percent="0" rank="0" text="" dxfId="11">
      <formula>AND($AE2&gt;=0.15,$AE2&lt;0.3,$AG2="成长")</formula>
    </cfRule>
    <cfRule type="expression" priority="8" aboveAverage="0" equalAverage="0" bottom="0" percent="0" rank="0" text="" dxfId="12">
      <formula>AND($AE2&gt;=0,$AE2&lt;0.15,$AG2="成长")</formula>
    </cfRule>
    <cfRule type="expression" priority="9" aboveAverage="0" equalAverage="0" bottom="0" percent="0" rank="0" text="" dxfId="7">
      <formula>AND($AE2&lt;0,$AG2="成长")</formula>
    </cfRule>
    <cfRule type="expression" priority="10" aboveAverage="0" equalAverage="0" bottom="0" percent="0" rank="0" text="" dxfId="6">
      <formula>AND($AE2&gt;=0.1,$AG2="成熟")</formula>
    </cfRule>
    <cfRule type="expression" priority="11" aboveAverage="0" equalAverage="0" bottom="0" percent="0" rank="0" text="" dxfId="11">
      <formula>AND($AE2&gt;=0.05,$AE2&lt;0.1,$AG2="成熟")</formula>
    </cfRule>
    <cfRule type="expression" priority="12" aboveAverage="0" equalAverage="0" bottom="0" percent="0" rank="0" text="" dxfId="12">
      <formula>AND($AE2&gt;=0,$AE2&lt;0.05,$AG2="成熟")</formula>
    </cfRule>
    <cfRule type="expression" priority="13" aboveAverage="0" equalAverage="0" bottom="0" percent="0" rank="0" text="" dxfId="7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248</v>
      </c>
      <c r="B1" s="2" t="s">
        <v>319</v>
      </c>
      <c r="C1" s="2" t="s">
        <v>320</v>
      </c>
      <c r="D1" s="2" t="s">
        <v>321</v>
      </c>
      <c r="E1" s="12" t="s">
        <v>322</v>
      </c>
      <c r="F1" s="2" t="s">
        <v>323</v>
      </c>
      <c r="G1" s="2" t="s">
        <v>324</v>
      </c>
      <c r="H1" s="2" t="s">
        <v>325</v>
      </c>
      <c r="I1" s="2" t="s">
        <v>326</v>
      </c>
      <c r="J1" s="2" t="s">
        <v>251</v>
      </c>
      <c r="K1" s="2" t="s">
        <v>327</v>
      </c>
      <c r="L1" s="2" t="s">
        <v>328</v>
      </c>
      <c r="M1" s="2" t="s">
        <v>329</v>
      </c>
      <c r="N1" s="2" t="s">
        <v>330</v>
      </c>
      <c r="O1" s="2" t="s">
        <v>331</v>
      </c>
      <c r="P1" s="2" t="s">
        <v>332</v>
      </c>
      <c r="Q1" s="2" t="s">
        <v>333</v>
      </c>
      <c r="R1" s="12" t="s">
        <v>334</v>
      </c>
      <c r="S1" s="12" t="s">
        <v>335</v>
      </c>
      <c r="T1" s="12" t="s">
        <v>336</v>
      </c>
      <c r="U1" s="12" t="s">
        <v>337</v>
      </c>
      <c r="V1" s="12" t="s">
        <v>338</v>
      </c>
      <c r="W1" s="12" t="s">
        <v>152</v>
      </c>
      <c r="X1" s="2" t="s">
        <v>339</v>
      </c>
      <c r="Y1" s="2" t="s">
        <v>340</v>
      </c>
      <c r="Z1" s="2" t="s">
        <v>341</v>
      </c>
      <c r="AA1" s="16" t="s">
        <v>291</v>
      </c>
      <c r="AB1" s="16" t="s">
        <v>342</v>
      </c>
      <c r="AC1" s="16" t="s">
        <v>343</v>
      </c>
      <c r="AD1" s="16" t="s">
        <v>340</v>
      </c>
      <c r="AE1" s="16" t="s">
        <v>344</v>
      </c>
      <c r="AF1" s="16" t="s">
        <v>345</v>
      </c>
      <c r="AG1" s="16" t="s">
        <v>346</v>
      </c>
      <c r="AH1" s="16" t="s">
        <v>347</v>
      </c>
    </row>
    <row r="2" customFormat="false" ht="15" hidden="false" customHeight="true" outlineLevel="0" collapsed="false">
      <c r="A2" s="30" t="n">
        <v>46227</v>
      </c>
      <c r="B2" s="6" t="s">
        <v>348</v>
      </c>
      <c r="C2" s="13" t="s">
        <v>349</v>
      </c>
      <c r="D2" s="6" t="s">
        <v>183</v>
      </c>
      <c r="E2" s="17"/>
      <c r="F2" s="30" t="s">
        <v>350</v>
      </c>
      <c r="G2" s="20" t="n">
        <v>100</v>
      </c>
      <c r="H2" s="17" t="n">
        <v>8.711</v>
      </c>
      <c r="I2" s="17" t="n">
        <v>5.33</v>
      </c>
      <c r="J2" s="18" t="str">
        <f aca="false">IF(A10="","",G10*I10)</f>
        <v/>
      </c>
      <c r="K2" s="18" t="str">
        <f aca="false">IF(A10="","",G10*H10)</f>
        <v/>
      </c>
      <c r="L2" s="18" t="str">
        <f aca="false">IF(OR(A10="",J10="",K10=""),"",J10-K10)</f>
        <v/>
      </c>
      <c r="M2" s="19" t="n">
        <f aca="false">IFERROR((I10-H10)/H10,0)</f>
        <v>0</v>
      </c>
      <c r="N2" s="19" t="n">
        <f aca="false">IFERROR(J10/INDEX(账户总表!$B:$B,MATCH($A10,账户总表!$A:$A,0)),0)</f>
        <v>0</v>
      </c>
      <c r="O2" s="17"/>
      <c r="P2" s="18" t="n">
        <v>5.2234</v>
      </c>
      <c r="Q2" s="5" t="str">
        <f aca="false">IF($A10="","",IF(AND(I10&gt;0,P10&gt;0,I10&lt;=P10),"是","否"))</f>
        <v/>
      </c>
      <c r="R2" s="22"/>
      <c r="S2" s="6"/>
      <c r="T2" s="13"/>
      <c r="U2" s="13"/>
      <c r="V2" s="5" t="str">
        <f aca="false">IF($A10="","",IF(OR(AND(O10&gt;0,I10&lt;O10),AND(T10="False",S10&lt;0.8)),"是","否"))</f>
        <v/>
      </c>
      <c r="W2" s="5" t="s">
        <v>183</v>
      </c>
      <c r="X2" s="5" t="str">
        <f aca="false">IF($A10="","",IF(AND(R10&lt;60%,S10&gt;0.8,T10="True",U10="一卖"),"是","否"))</f>
        <v/>
      </c>
      <c r="Y2" s="5" t="str">
        <f aca="false">IF($A10="","",IF(D10="是","否",IF(N10&gt;LOOKUP(2,1/(账户总表!$A:$A&lt;&gt;""),账户总表!$O:$O),"是","否")))</f>
        <v/>
      </c>
      <c r="Z2" s="5" t="str">
        <f aca="false">IF($A10="","",IF(M10&gt;=0,"盈利","亏损"))</f>
        <v/>
      </c>
      <c r="AA2" s="5" t="n">
        <f aca="false">IF($A2="","",IFERROR(INDEX(账户总表!$B:$B,MATCH($A2,账户总表!$A:$A,0))*INDEX(账户总表!$O:$O,MATCH($A2,账户总表!$A:$A,0)),0))</f>
        <v>7294.812</v>
      </c>
      <c r="AB2" s="33" t="n">
        <f aca="false">IF($A2="","",IFERROR(MAX(0,AA2-J2),0))</f>
        <v>0</v>
      </c>
      <c r="AC2" s="5" t="n">
        <f aca="false">IF($A2="","",IF(I2&gt;0,IFERROR(FLOOR(AB2/I2,100),0),0))</f>
        <v>0</v>
      </c>
      <c r="AD2" s="6" t="str">
        <f aca="false">IF($A2="","",IF(N2&gt;INDEX(账户总表!$O:$O,MATCH($A2,账户总表!$A:$A,0)),"超限","合规"))</f>
        <v>合规</v>
      </c>
      <c r="AE2" s="1" t="n">
        <f aca="false">IF($A2="","",IFERROR((I2-P2)/I2,0))</f>
        <v>0.02</v>
      </c>
      <c r="AF2" s="1" t="n">
        <f aca="false">IF($A2="","",IFERROR(MAX(0,(I2-P2)*G2),0))</f>
        <v>10.66</v>
      </c>
      <c r="AG2" s="1" t="str">
        <f aca="false">IF($A2="","",IF(COUNTIFS(候选池!$C$2:$C$201,C2,候选池!$K$2:$K$201,"核心池")&gt;0,"核心池","否"))</f>
        <v>否</v>
      </c>
      <c r="AH2" s="1" t="str">
        <f aca="false">IF($A2="","",IF(AND(AG2="核心池",AD2="合规",AC2&gt;=100),"可评估加仓","不可加仓"))</f>
        <v>不可加仓</v>
      </c>
    </row>
    <row r="3" customFormat="false" ht="15" hidden="false" customHeight="true" outlineLevel="0" collapsed="false">
      <c r="A3" s="34" t="n">
        <v>46227</v>
      </c>
      <c r="B3" s="9" t="s">
        <v>351</v>
      </c>
      <c r="C3" s="14" t="s">
        <v>352</v>
      </c>
      <c r="D3" s="9" t="s">
        <v>301</v>
      </c>
      <c r="E3" s="26"/>
      <c r="F3" s="34" t="s">
        <v>350</v>
      </c>
      <c r="G3" s="27" t="n">
        <v>200</v>
      </c>
      <c r="H3" s="26" t="n">
        <v>11.107</v>
      </c>
      <c r="I3" s="26" t="n">
        <v>12.42</v>
      </c>
      <c r="J3" s="18" t="str">
        <f aca="false">IF(A12="","",G12*I12)</f>
        <v/>
      </c>
      <c r="K3" s="18" t="str">
        <f aca="false">IF(A12="","",G12*H12)</f>
        <v/>
      </c>
      <c r="L3" s="18" t="str">
        <f aca="false">IF(OR(A12="",J12="",K12=""),"",J12-K12)</f>
        <v/>
      </c>
      <c r="M3" s="19" t="n">
        <f aca="false">IFERROR((I12-H12)/H12,0)</f>
        <v>0</v>
      </c>
      <c r="N3" s="19" t="n">
        <f aca="false">IFERROR(J12/INDEX(账户总表!$B:$B,MATCH($A12,账户总表!$A:$A,0)),0)</f>
        <v>0</v>
      </c>
      <c r="O3" s="26"/>
      <c r="P3" s="18" t="n">
        <v>10.55165</v>
      </c>
      <c r="Q3" s="5" t="str">
        <f aca="false">IF($A12="","",IF(AND(I12&gt;0,P12&gt;0,I12&lt;=P12),"是","否"))</f>
        <v/>
      </c>
      <c r="R3" s="28"/>
      <c r="S3" s="9"/>
      <c r="T3" s="14"/>
      <c r="U3" s="14"/>
      <c r="V3" s="5" t="str">
        <f aca="false">IF($A12="","",IF(OR(AND(O12&gt;0,I12&lt;O12),AND(T12="False",S12&lt;0.8)),"是","否"))</f>
        <v/>
      </c>
      <c r="W3" s="5" t="s">
        <v>301</v>
      </c>
      <c r="X3" s="5" t="str">
        <f aca="false">IF($A12="","",IF(AND(R12&lt;60%,S12&gt;0.8,T12="True",U12="一卖"),"是","否"))</f>
        <v/>
      </c>
      <c r="Y3" s="5" t="str">
        <f aca="false">IF($A12="","",IF(D12="是","否",IF(N12&gt;LOOKUP(2,1/(账户总表!$A:$A&lt;&gt;""),账户总表!$O:$O),"是","否")))</f>
        <v/>
      </c>
      <c r="Z3" s="5" t="str">
        <f aca="false">IF($A12="","",IF(M12&gt;=0,"盈利","亏损"))</f>
        <v/>
      </c>
      <c r="AA3" s="5" t="n">
        <f aca="false">IF($A3="","",IFERROR(INDEX(账户总表!$B:$B,MATCH($A3,账户总表!$A:$A,0))*INDEX(账户总表!$O:$O,MATCH($A3,账户总表!$A:$A,0)),0))</f>
        <v>7294.812</v>
      </c>
      <c r="AB3" s="33" t="n">
        <f aca="false">IF($A3="","",IFERROR(MAX(0,AA3-J3),0))</f>
        <v>0</v>
      </c>
      <c r="AC3" s="5" t="n">
        <f aca="false">IF($A3="","",IF(I3&gt;0,IFERROR(FLOOR(AB3/I3,100),0),0))</f>
        <v>0</v>
      </c>
      <c r="AD3" s="9" t="str">
        <f aca="false">IF($A3="","",IF(N3&gt;INDEX(账户总表!$O:$O,MATCH($A3,账户总表!$A:$A,0)),"超限","合规"))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373.67</v>
      </c>
      <c r="AG3" s="1" t="str">
        <f aca="false">IF($A3="","",IF(COUNTIFS(候选池!$C$2:$C$201,C3,候选池!$K$2:$K$201,"核心池")&gt;0,"核心池","否"))</f>
        <v>否</v>
      </c>
      <c r="AH3" s="1" t="str">
        <f aca="false">IF($A3="","",IF(AND(AG3="核心池",AD3="合规",AC3&gt;=100),"可评估加仓","不可加仓"))</f>
        <v>不可加仓</v>
      </c>
    </row>
    <row r="4" customFormat="false" ht="15" hidden="false" customHeight="true" outlineLevel="0" collapsed="false">
      <c r="A4" s="30" t="n">
        <v>46227</v>
      </c>
      <c r="B4" s="6" t="s">
        <v>353</v>
      </c>
      <c r="C4" s="13" t="s">
        <v>354</v>
      </c>
      <c r="D4" s="6" t="s">
        <v>301</v>
      </c>
      <c r="E4" s="17"/>
      <c r="F4" s="30" t="s">
        <v>350</v>
      </c>
      <c r="G4" s="20" t="n">
        <v>100</v>
      </c>
      <c r="H4" s="17" t="n">
        <v>8.021</v>
      </c>
      <c r="I4" s="17" t="n">
        <v>8.03</v>
      </c>
      <c r="J4" s="18" t="n">
        <f aca="false">IF(A5="","",G5*I5)</f>
        <v>1419</v>
      </c>
      <c r="K4" s="18" t="n">
        <f aca="false">IF(A5="","",G5*H5)</f>
        <v>1441.2</v>
      </c>
      <c r="L4" s="18" t="n">
        <f aca="false">IF(OR(A5="",J5="",K5=""),"",J5-K5)</f>
        <v>-31.1</v>
      </c>
      <c r="M4" s="19" t="n">
        <f aca="false">IFERROR((I5-H5)/H5,0)</f>
        <v>-0.0154038301415487</v>
      </c>
      <c r="N4" s="19" t="n">
        <f aca="false">IFERROR(J5/INDEX(账户总表!$B:$B,MATCH($A5,账户总表!$A:$A,0)),0)</f>
        <v>0.0429894560682304</v>
      </c>
      <c r="O4" s="17"/>
      <c r="P4" s="18" t="n">
        <v>7.61995</v>
      </c>
      <c r="Q4" s="5" t="str">
        <f aca="false">IF($A5="","",IF(AND(I5&gt;0,P5&gt;0,I5&lt;=P5),"是","否"))</f>
        <v>否</v>
      </c>
      <c r="R4" s="22"/>
      <c r="S4" s="6"/>
      <c r="T4" s="13"/>
      <c r="U4" s="13"/>
      <c r="V4" s="5" t="str">
        <f aca="false">IF($A5="","",IF(OR(AND(O5&gt;0,I5&lt;O5),AND(T5="False",S5&lt;0.8)),"是","否"))</f>
        <v>否</v>
      </c>
      <c r="W4" s="5" t="s">
        <v>183</v>
      </c>
      <c r="X4" s="5" t="str">
        <f aca="false">IF($A5="","",IF(AND(R5&lt;60%,S5&gt;0.8,T5="True",U5="一卖"),"是","否"))</f>
        <v>否</v>
      </c>
      <c r="Y4" s="5" t="str">
        <f aca="false">IF($A5="","",IF(D5="是","否",IF(N5&gt;LOOKUP(2,1/(账户总表!$A:$A&lt;&gt;""),账户总表!$O:$O),"是","否")))</f>
        <v>否</v>
      </c>
      <c r="Z4" s="5" t="str">
        <f aca="false">IF($A5="","",IF(M5&gt;=0,"盈利","亏损"))</f>
        <v>亏损</v>
      </c>
      <c r="AA4" s="5" t="n">
        <f aca="false">IF($A4="","",IFERROR(INDEX(账户总表!$B:$B,MATCH($A4,账户总表!$A:$A,0))*INDEX(账户总表!$O:$O,MATCH($A4,账户总表!$A:$A,0)),0))</f>
        <v>7294.812</v>
      </c>
      <c r="AB4" s="33" t="n">
        <f aca="false">IF($A4="","",IFERROR(MAX(0,AA4-J4),0))</f>
        <v>5875.812</v>
      </c>
      <c r="AC4" s="5" t="n">
        <f aca="false">IF($A4="","",IF(I4&gt;0,IFERROR(FLOOR(AB4/I4,100),0),0))</f>
        <v>700</v>
      </c>
      <c r="AD4" s="6" t="str">
        <f aca="false">IF($A4="","",IF(N4&gt;INDEX(账户总表!$O:$O,MATCH($A4,账户总表!$A:$A,0)),"超限","合规"))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41.0049999999999</v>
      </c>
      <c r="AG4" s="1" t="str">
        <f aca="false">IF($A4="","",IF(COUNTIFS(候选池!$C$2:$C$201,C4,候选池!$K$2:$K$201,"核心池")&gt;0,"核心池","否"))</f>
        <v>否</v>
      </c>
      <c r="AH4" s="1" t="str">
        <f aca="false">IF($A4="","",IF(AND(AG4="核心池",AD4="合规",AC4&gt;=100),"可评估加仓","不可加仓"))</f>
        <v>不可加仓</v>
      </c>
    </row>
    <row r="5" customFormat="false" ht="15" hidden="false" customHeight="true" outlineLevel="0" collapsed="false">
      <c r="A5" s="31" t="n">
        <v>46227</v>
      </c>
      <c r="B5" s="9" t="s">
        <v>355</v>
      </c>
      <c r="C5" s="14" t="s">
        <v>356</v>
      </c>
      <c r="D5" s="9" t="s">
        <v>301</v>
      </c>
      <c r="E5" s="26"/>
      <c r="F5" s="14" t="s">
        <v>350</v>
      </c>
      <c r="G5" s="27" t="n">
        <v>300</v>
      </c>
      <c r="H5" s="26" t="n">
        <v>4.804</v>
      </c>
      <c r="I5" s="26" t="n">
        <v>4.73</v>
      </c>
      <c r="J5" s="18" t="n">
        <f aca="false">IF(A6="","",G6*I6)</f>
        <v>896</v>
      </c>
      <c r="K5" s="18" t="n">
        <f aca="false">IF(A6="","",G6*H6)</f>
        <v>927.1</v>
      </c>
      <c r="L5" s="18" t="n">
        <f aca="false">IF(OR(A6="",J6="",K6=""),"",J6-K6)</f>
        <v>10.7999999999998</v>
      </c>
      <c r="M5" s="19" t="n">
        <f aca="false">IFERROR((I6-H6)/H6,0)</f>
        <v>-0.0335454643512027</v>
      </c>
      <c r="N5" s="19" t="n">
        <f aca="false">IFERROR(J6/INDEX(账户总表!$B:$B,MATCH($A6,账户总表!$A:$A,0)),0)</f>
        <v>0.0385753601326532</v>
      </c>
      <c r="O5" s="26"/>
      <c r="P5" s="18" t="n">
        <v>4.5638</v>
      </c>
      <c r="Q5" s="5" t="str">
        <f aca="false">IF($A6="","",IF(AND(I6&gt;0,P6&gt;0,I6&lt;=P6),"是","否"))</f>
        <v>否</v>
      </c>
      <c r="R5" s="28"/>
      <c r="S5" s="9"/>
      <c r="T5" s="14"/>
      <c r="U5" s="14"/>
      <c r="V5" s="5" t="str">
        <f aca="false">IF($A6="","",IF(OR(AND(O6&gt;0,I6&lt;O6),AND(T6="False",S6&lt;0.8)),"是","否"))</f>
        <v>否</v>
      </c>
      <c r="W5" s="5" t="s">
        <v>183</v>
      </c>
      <c r="X5" s="5" t="str">
        <f aca="false">IF($A6="","",IF(AND(R6&lt;60%,S6&gt;0.8,T6="True",U6="一卖"),"是","否"))</f>
        <v>否</v>
      </c>
      <c r="Y5" s="5" t="str">
        <f aca="false">IF($A6="","",IF(D6="是","否",IF(N6&gt;LOOKUP(2,1/(账户总表!$A:$A&lt;&gt;""),账户总表!$O:$O),"是","否")))</f>
        <v>否</v>
      </c>
      <c r="Z5" s="5" t="str">
        <f aca="false">IF($A6="","",IF(M6&gt;=0,"盈利","亏损"))</f>
        <v>盈利</v>
      </c>
      <c r="AA5" s="5" t="n">
        <f aca="false">IF($A5="","",IFERROR(INDEX(账户总表!$B:$B,MATCH($A5,账户总表!$A:$A,0))*INDEX(账户总表!$O:$O,MATCH($A5,账户总表!$A:$A,0)),0))</f>
        <v>7294.812</v>
      </c>
      <c r="AB5" s="33" t="n">
        <f aca="false">IF($A5="","",IFERROR(MAX(0,AA5-J5),0))</f>
        <v>6398.812</v>
      </c>
      <c r="AC5" s="5" t="n">
        <f aca="false">IF($A5="","",IF(I5&gt;0,IFERROR(FLOOR(AB5/I5,100),0),0))</f>
        <v>1300</v>
      </c>
      <c r="AD5" s="9" t="str">
        <f aca="false">IF($A5="","",IF(N5&gt;INDEX(账户总表!$O:$O,MATCH($A5,账户总表!$A:$A,0)),"超限","合规"))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49.8600000000002</v>
      </c>
      <c r="AG5" s="1" t="str">
        <f aca="false">IF($A5="","",IF(COUNTIFS(候选池!$C$2:$C$201,C5,候选池!$K$2:$K$201,"核心池")&gt;0,"核心池","否"))</f>
        <v>否</v>
      </c>
      <c r="AH5" s="1" t="str">
        <f aca="false">IF($A5="","",IF(AND(AG5="核心池",AD5="合规",AC5&gt;=100),"可评估加仓","不可加仓"))</f>
        <v>不可加仓</v>
      </c>
    </row>
    <row r="6" customFormat="false" ht="15" hidden="false" customHeight="true" outlineLevel="0" collapsed="false">
      <c r="A6" s="32" t="n">
        <v>46227</v>
      </c>
      <c r="B6" s="6" t="s">
        <v>357</v>
      </c>
      <c r="C6" s="13" t="s">
        <v>358</v>
      </c>
      <c r="D6" s="6" t="s">
        <v>301</v>
      </c>
      <c r="E6" s="17"/>
      <c r="F6" s="13" t="s">
        <v>350</v>
      </c>
      <c r="G6" s="20" t="n">
        <v>100</v>
      </c>
      <c r="H6" s="17" t="n">
        <v>9.271</v>
      </c>
      <c r="I6" s="17" t="n">
        <v>8.96</v>
      </c>
      <c r="J6" s="18" t="n">
        <f aca="false">IF(A7="","",G7*I7)</f>
        <v>804</v>
      </c>
      <c r="K6" s="18" t="n">
        <f aca="false">IF(A7="","",G7*H7)</f>
        <v>793.2</v>
      </c>
      <c r="L6" s="18" t="n">
        <f aca="false">IF(OR(A7="",J7="",K7=""),"",J7-K7)</f>
        <v>-26</v>
      </c>
      <c r="M6" s="19" t="n">
        <f aca="false">IFERROR((I7-H7)/H7,0)</f>
        <v>0.0136157337367623</v>
      </c>
      <c r="N6" s="19" t="n">
        <f aca="false">IFERROR(J7/INDEX(账户总表!$B:$B,MATCH($A7,账户总表!$A:$A,0)),0)</f>
        <v>0.0741280241355089</v>
      </c>
      <c r="O6" s="17"/>
      <c r="P6" s="18" t="n">
        <v>8.80745</v>
      </c>
      <c r="Q6" s="5" t="str">
        <f aca="false">IF($A7="","",IF(AND(I7&gt;0,P7&gt;0,I7&lt;=P7),"是","否"))</f>
        <v>否</v>
      </c>
      <c r="R6" s="22"/>
      <c r="S6" s="6"/>
      <c r="T6" s="13"/>
      <c r="U6" s="13"/>
      <c r="V6" s="5" t="str">
        <f aca="false">IF($A7="","",IF(OR(AND(O7&gt;0,I7&lt;O7),AND(T7="False",S7&lt;0.8)),"是","否"))</f>
        <v>否</v>
      </c>
      <c r="W6" s="5" t="s">
        <v>183</v>
      </c>
      <c r="X6" s="5" t="str">
        <f aca="false">IF($A7="","",IF(AND(R7&lt;60%,S7&gt;0.8,T7="True",U7="一卖"),"是","否"))</f>
        <v>否</v>
      </c>
      <c r="Y6" s="5" t="str">
        <f aca="false">IF($A7="","",IF(D7="是","否",IF(N7&gt;LOOKUP(2,1/(账户总表!$A:$A&lt;&gt;""),账户总表!$O:$O),"是","否")))</f>
        <v>否</v>
      </c>
      <c r="Z6" s="5" t="str">
        <f aca="false">IF($A7="","",IF(M7&gt;=0,"盈利","亏损"))</f>
        <v>亏损</v>
      </c>
      <c r="AA6" s="5" t="n">
        <f aca="false">IF($A6="","",IFERROR(INDEX(账户总表!$B:$B,MATCH($A6,账户总表!$A:$A,0))*INDEX(账户总表!$O:$O,MATCH($A6,账户总表!$A:$A,0)),0))</f>
        <v>7294.812</v>
      </c>
      <c r="AB6" s="33" t="n">
        <f aca="false">IF($A6="","",IFERROR(MAX(0,AA6-J6),0))</f>
        <v>6490.812</v>
      </c>
      <c r="AC6" s="5" t="n">
        <f aca="false">IF($A6="","",IF(I6&gt;0,IFERROR(FLOOR(AB6/I6,100),0),0))</f>
        <v>700</v>
      </c>
      <c r="AD6" s="6" t="str">
        <f aca="false">IF($A6="","",IF(N6&gt;INDEX(账户总表!$O:$O,MATCH($A6,账户总表!$A:$A,0)),"超限","合规"))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15.2550000000002</v>
      </c>
      <c r="AG6" s="1" t="str">
        <f aca="false">IF($A6="","",IF(COUNTIFS(候选池!$C$2:$C$201,C6,候选池!$K$2:$K$201,"核心池")&gt;0,"核心池","否"))</f>
        <v>否</v>
      </c>
      <c r="AH6" s="1" t="str">
        <f aca="false">IF($A6="","",IF(AND(AG6="核心池",AD6="合规",AC6&gt;=100),"可评估加仓","不可加仓"))</f>
        <v>不可加仓</v>
      </c>
    </row>
    <row r="7" customFormat="false" ht="15" hidden="false" customHeight="true" outlineLevel="0" collapsed="false">
      <c r="A7" s="31" t="n">
        <v>46227</v>
      </c>
      <c r="B7" s="9" t="s">
        <v>359</v>
      </c>
      <c r="C7" s="14" t="s">
        <v>360</v>
      </c>
      <c r="D7" s="9" t="s">
        <v>301</v>
      </c>
      <c r="E7" s="26"/>
      <c r="F7" s="14" t="s">
        <v>350</v>
      </c>
      <c r="G7" s="27" t="n">
        <v>200</v>
      </c>
      <c r="H7" s="26" t="n">
        <v>3.966</v>
      </c>
      <c r="I7" s="26" t="n">
        <v>4.02</v>
      </c>
      <c r="J7" s="18" t="n">
        <f aca="false">IF(A8="","",G8*I8)</f>
        <v>1545</v>
      </c>
      <c r="K7" s="18" t="n">
        <f aca="false">IF(A8="","",G8*H8)</f>
        <v>1571</v>
      </c>
      <c r="L7" s="18" t="str">
        <f aca="false">IF(OR(A8="",J8="",K8=""),"",J8-K8)</f>
        <v/>
      </c>
      <c r="M7" s="19" t="n">
        <f aca="false">IFERROR((I8-H8)/H8,0)</f>
        <v>-0.0165499681731381</v>
      </c>
      <c r="N7" s="19" t="n">
        <f aca="false">IFERROR(J8/INDEX(账户总表!$B:$B,MATCH($A8,账户总表!$A:$A,0)),0)</f>
        <v>0</v>
      </c>
      <c r="O7" s="26"/>
      <c r="P7" s="18" t="n">
        <v>3.7677</v>
      </c>
      <c r="Q7" s="5" t="str">
        <f aca="false">IF($A8="","",IF(AND(I8&gt;0,P8&gt;0,I8&lt;=P8),"是","否"))</f>
        <v>否</v>
      </c>
      <c r="R7" s="28"/>
      <c r="S7" s="9"/>
      <c r="T7" s="14"/>
      <c r="U7" s="14"/>
      <c r="V7" s="5" t="str">
        <f aca="false">IF($A8="","",IF(OR(AND(O8&gt;0,I8&lt;O8),AND(T8="False",S8&lt;0.8)),"是","否"))</f>
        <v>否</v>
      </c>
      <c r="W7" s="5" t="s">
        <v>183</v>
      </c>
      <c r="X7" s="5" t="str">
        <f aca="false">IF($A8="","",IF(AND(R8&lt;60%,S8&gt;0.8,T8="True",U8="一卖"),"是","否"))</f>
        <v>否</v>
      </c>
      <c r="Y7" s="5" t="str">
        <f aca="false">IF($A8="","",IF(D8="是","否",IF(N8&gt;LOOKUP(2,1/(账户总表!$A:$A&lt;&gt;""),账户总表!$O:$O),"是","否")))</f>
        <v>否</v>
      </c>
      <c r="Z7" s="5" t="str">
        <f aca="false">IF($A8="","",IF(M8&gt;=0,"盈利","亏损"))</f>
        <v>盈利</v>
      </c>
      <c r="AA7" s="5" t="n">
        <f aca="false">IF($A7="","",IFERROR(INDEX(账户总表!$B:$B,MATCH($A7,账户总表!$A:$A,0))*INDEX(账户总表!$O:$O,MATCH($A7,账户总表!$A:$A,0)),0))</f>
        <v>7294.812</v>
      </c>
      <c r="AB7" s="33" t="n">
        <f aca="false">IF($A7="","",IFERROR(MAX(0,AA7-J7),0))</f>
        <v>5749.812</v>
      </c>
      <c r="AC7" s="5" t="n">
        <f aca="false">IF($A7="","",IF(I7&gt;0,IFERROR(FLOOR(AB7/I7,100),0),0))</f>
        <v>1400</v>
      </c>
      <c r="AD7" s="9" t="str">
        <f aca="false">IF($A7="","",IF(N7&gt;INDEX(账户总表!$O:$O,MATCH($A7,账户总表!$A:$A,0)),"超限","合规"))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50.4599999999999</v>
      </c>
      <c r="AG7" s="1" t="str">
        <f aca="false">IF($A7="","",IF(COUNTIFS(候选池!$C$2:$C$201,C7,候选池!$K$2:$K$201,"核心池")&gt;0,"核心池","否"))</f>
        <v>否</v>
      </c>
      <c r="AH7" s="1" t="str">
        <f aca="false">IF($A7="","",IF(AND(AG7="核心池",AD7="合规",AC7&gt;=100),"可评估加仓","不可加仓"))</f>
        <v>不可加仓</v>
      </c>
    </row>
    <row r="8" customFormat="false" ht="15" hidden="false" customHeight="true" outlineLevel="0" collapsed="false">
      <c r="A8" s="32" t="n">
        <v>46227</v>
      </c>
      <c r="B8" s="6" t="s">
        <v>361</v>
      </c>
      <c r="C8" s="13" t="s">
        <v>362</v>
      </c>
      <c r="D8" s="6" t="s">
        <v>301</v>
      </c>
      <c r="E8" s="17"/>
      <c r="F8" s="13" t="s">
        <v>350</v>
      </c>
      <c r="G8" s="20" t="n">
        <v>500</v>
      </c>
      <c r="H8" s="17" t="n">
        <v>3.142</v>
      </c>
      <c r="I8" s="17" t="n">
        <v>3.09</v>
      </c>
      <c r="J8" s="18" t="str">
        <f aca="false">IF(A9="","",G9*I9)</f>
        <v/>
      </c>
      <c r="K8" s="18" t="str">
        <f aca="false">IF(A9="","",G9*H9)</f>
        <v/>
      </c>
      <c r="L8" s="18" t="str">
        <f aca="false">IF(OR(A9="",J9="",K9=""),"",J9-K9)</f>
        <v/>
      </c>
      <c r="M8" s="19" t="n">
        <f aca="false">IFERROR((I9-H9)/H9,0)</f>
        <v>0</v>
      </c>
      <c r="N8" s="19" t="n">
        <f aca="false">IFERROR(J9/INDEX(账户总表!$B:$B,MATCH($A9,账户总表!$A:$A,0)),0)</f>
        <v>0</v>
      </c>
      <c r="O8" s="17"/>
      <c r="P8" s="18" t="n">
        <v>2.9849</v>
      </c>
      <c r="Q8" s="5" t="str">
        <f aca="false">IF($A9="","",IF(AND(I9&gt;0,P9&gt;0,I9&lt;=P9),"是","否"))</f>
        <v/>
      </c>
      <c r="R8" s="22"/>
      <c r="S8" s="6"/>
      <c r="T8" s="13"/>
      <c r="U8" s="13"/>
      <c r="V8" s="5" t="str">
        <f aca="false">IF($A9="","",IF(OR(AND(O9&gt;0,I9&lt;O9),AND(T9="False",S9&lt;0.8)),"是","否"))</f>
        <v/>
      </c>
      <c r="W8" s="5" t="s">
        <v>183</v>
      </c>
      <c r="X8" s="5" t="str">
        <f aca="false">IF($A9="","",IF(AND(R9&lt;60%,S9&gt;0.8,T9="True",U9="一卖"),"是","否"))</f>
        <v/>
      </c>
      <c r="Y8" s="5" t="str">
        <f aca="false">IF($A9="","",IF(D9="是","否",IF(N9&gt;LOOKUP(2,1/(账户总表!$A:$A&lt;&gt;""),账户总表!$O:$O),"是","否")))</f>
        <v/>
      </c>
      <c r="Z8" s="5" t="str">
        <f aca="false">IF($A9="","",IF(M9&gt;=0,"盈利","亏损"))</f>
        <v/>
      </c>
      <c r="AA8" s="5" t="n">
        <f aca="false">IF($A8="","",IFERROR(INDEX(账户总表!$B:$B,MATCH($A8,账户总表!$A:$A,0))*INDEX(账户总表!$O:$O,MATCH($A8,账户总表!$A:$A,0)),0))</f>
        <v>7294.812</v>
      </c>
      <c r="AB8" s="33" t="n">
        <f aca="false">IF($A8="","",IFERROR(MAX(0,AA8-J8),0))</f>
        <v>0</v>
      </c>
      <c r="AC8" s="5" t="n">
        <f aca="false">IF($A8="","",IF(I8&gt;0,IFERROR(FLOOR(AB8/I8,100),0),0))</f>
        <v>0</v>
      </c>
      <c r="AD8" s="6" t="str">
        <f aca="false">IF($A8="","",IF(N8&gt;INDEX(账户总表!$O:$O,MATCH($A8,账户总表!$A:$A,0)),"超限","合规"))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52.5499999999999</v>
      </c>
      <c r="AG8" s="1" t="str">
        <f aca="false">IF($A8="","",IF(COUNTIFS(候选池!$C$2:$C$201,C8,候选池!$K$2:$K$201,"核心池")&gt;0,"核心池","否"))</f>
        <v>否</v>
      </c>
      <c r="AH8" s="1" t="str">
        <f aca="false">IF($A8="","",IF(AND(AG8="核心池",AD8="合规",AC8&gt;=100),"可评估加仓","不可加仓"))</f>
        <v>不可加仓</v>
      </c>
    </row>
    <row r="9" customFormat="false" ht="15" hidden="false" customHeight="true" outlineLevel="0" collapsed="false">
      <c r="A9" s="31"/>
      <c r="B9" s="9"/>
      <c r="C9" s="14"/>
      <c r="D9" s="9"/>
      <c r="E9" s="26"/>
      <c r="F9" s="14"/>
      <c r="G9" s="27"/>
      <c r="H9" s="26"/>
      <c r="I9" s="26"/>
      <c r="J9" s="18" t="n">
        <v>0</v>
      </c>
      <c r="K9" s="18" t="n">
        <v>0</v>
      </c>
      <c r="L9" s="18" t="n">
        <v>0</v>
      </c>
      <c r="M9" s="19"/>
      <c r="N9" s="19" t="n">
        <v>0</v>
      </c>
      <c r="O9" s="26"/>
      <c r="P9" s="18"/>
      <c r="Q9" s="5"/>
      <c r="R9" s="28"/>
      <c r="S9" s="9"/>
      <c r="T9" s="14"/>
      <c r="U9" s="14"/>
      <c r="V9" s="5"/>
      <c r="W9" s="5"/>
      <c r="X9" s="5"/>
      <c r="Y9" s="5"/>
      <c r="Z9" s="5"/>
      <c r="AA9" s="5" t="str">
        <f aca="false">IF($A9="","",IFERROR(INDEX(账户总表!$B:$B,MATCH($A9,账户总表!$A:$A,0))*INDEX(账户总表!$O:$O,MATCH($A9,账户总表!$A:$A,0)),0))</f>
        <v/>
      </c>
      <c r="AB9" s="33" t="str">
        <f aca="false">IF($A9="","",IFERROR(MAX(0,AA9-J9),0))</f>
        <v/>
      </c>
      <c r="AC9" s="5" t="str">
        <f aca="false">IF($A9="","",IF(I9&gt;0,IFERROR(FLOOR(AB9/I9,100),0),0))</f>
        <v/>
      </c>
      <c r="AD9" s="9" t="str">
        <f aca="false">IF($A9="","",IF(N9&gt;INDEX(账户总表!$O:$O,MATCH($A9,账户总表!$A:$A,0)),"超限","合规"))</f>
        <v/>
      </c>
      <c r="AE9" s="1" t="str">
        <f aca="false">IF($A9="","",IFERROR((I9-P9)/I9,0))</f>
        <v/>
      </c>
      <c r="AF9" s="1" t="str">
        <f aca="false">IF($A9="","",IFERROR(MAX(0,(I9-P9)*G9),0))</f>
        <v/>
      </c>
      <c r="AG9" s="1" t="str">
        <f aca="false">IF($A9="","",IF(COUNTIFS(候选池!$C$2:$C$201,C9,候选池!$K$2:$K$201,"核心池")&gt;0,"核心池","否"))</f>
        <v/>
      </c>
      <c r="AH9" s="1" t="str">
        <f aca="false">IF($A9="","",IF(AND(AG9="核心池",AD9="合规",AC9&gt;=100),"可评估加仓","不可加仓"))</f>
        <v/>
      </c>
    </row>
    <row r="10" customFormat="false" ht="15" hidden="false" customHeight="true" outlineLevel="0" collapsed="false">
      <c r="A10" s="32"/>
      <c r="B10" s="6"/>
      <c r="C10" s="13"/>
      <c r="D10" s="6"/>
      <c r="E10" s="17"/>
      <c r="F10" s="13"/>
      <c r="G10" s="20"/>
      <c r="H10" s="17"/>
      <c r="I10" s="17"/>
      <c r="J10" s="18"/>
      <c r="K10" s="18"/>
      <c r="L10" s="18"/>
      <c r="M10" s="19"/>
      <c r="N10" s="19"/>
      <c r="O10" s="17"/>
      <c r="P10" s="18"/>
      <c r="Q10" s="5"/>
      <c r="R10" s="22"/>
      <c r="S10" s="6"/>
      <c r="T10" s="13"/>
      <c r="U10" s="13"/>
      <c r="V10" s="5"/>
      <c r="W10" s="5"/>
      <c r="X10" s="5"/>
      <c r="Y10" s="5"/>
      <c r="Z10" s="5"/>
      <c r="AA10" s="5" t="str">
        <f aca="false">IF($A10="","",IFERROR(INDEX(账户总表!$B:$B,MATCH($A10,账户总表!$A:$A,0))*INDEX(账户总表!$O:$O,MATCH($A10,账户总表!$A:$A,0)),0))</f>
        <v/>
      </c>
      <c r="AB10" s="33" t="str">
        <f aca="false">IF($A10="","",IFERROR(MAX(0,AA10-J10),0))</f>
        <v/>
      </c>
      <c r="AC10" s="5" t="str">
        <f aca="false">IF($A10="","",IF(I10&gt;0,IFERROR(FLOOR(AB10/I10,100),0),0))</f>
        <v/>
      </c>
      <c r="AD10" s="6" t="str">
        <f aca="false">IF($A10="","",IF(N10&gt;INDEX(账户总表!$O:$O,MATCH($A10,账户总表!$A:$A,0)),"超限","合规"))</f>
        <v/>
      </c>
      <c r="AE10" s="1" t="str">
        <f aca="false">IF($A10="","",IFERROR((I10-P10)/I10,0))</f>
        <v/>
      </c>
      <c r="AF10" s="1" t="str">
        <f aca="false">IF($A10="","",IFERROR(MAX(0,(I10-P10)*G10),0))</f>
        <v/>
      </c>
      <c r="AG10" s="1" t="str">
        <f aca="false">IF($A10="","",IF(COUNTIFS(候选池!$C$2:$C$201,C10,候选池!$K$2:$K$201,"核心池")&gt;0,"核心池","否"))</f>
        <v/>
      </c>
      <c r="AH10" s="1" t="str">
        <f aca="false">IF($A10="","",IF(AND(AG10="核心池",AD10="合规",AC10&gt;=100),"可评估加仓","不可加仓"))</f>
        <v/>
      </c>
    </row>
    <row r="11" customFormat="false" ht="15" hidden="false" customHeight="true" outlineLevel="0" collapsed="false">
      <c r="A11" s="31"/>
      <c r="B11" s="9"/>
      <c r="C11" s="14"/>
      <c r="D11" s="9"/>
      <c r="E11" s="26"/>
      <c r="F11" s="14"/>
      <c r="G11" s="27"/>
      <c r="H11" s="26"/>
      <c r="I11" s="26"/>
      <c r="J11" s="18"/>
      <c r="K11" s="18"/>
      <c r="L11" s="18"/>
      <c r="M11" s="19"/>
      <c r="N11" s="19"/>
      <c r="O11" s="26"/>
      <c r="P11" s="18"/>
      <c r="Q11" s="5"/>
      <c r="R11" s="28"/>
      <c r="S11" s="9"/>
      <c r="T11" s="14"/>
      <c r="U11" s="14"/>
      <c r="V11" s="5"/>
      <c r="W11" s="5"/>
      <c r="X11" s="5"/>
      <c r="Y11" s="5"/>
      <c r="Z11" s="5"/>
      <c r="AA11" s="5" t="str">
        <f aca="false">IF($A11="","",IFERROR(INDEX(账户总表!$B:$B,MATCH($A11,账户总表!$A:$A,0))*INDEX(账户总表!$O:$O,MATCH($A11,账户总表!$A:$A,0)),0))</f>
        <v/>
      </c>
      <c r="AB11" s="33" t="str">
        <f aca="false">IF($A11="","",IFERROR(MAX(0,AA11-J11),0))</f>
        <v/>
      </c>
      <c r="AC11" s="5" t="str">
        <f aca="false">IF($A11="","",IF(I11&gt;0,IFERROR(FLOOR(AB11/I11,100),0),0))</f>
        <v/>
      </c>
      <c r="AD11" s="9" t="str">
        <f aca="false">IF($A11="","",IF(N11&gt;INDEX(账户总表!$O:$O,MATCH($A11,账户总表!$A:$A,0)),"超限","合规"))</f>
        <v/>
      </c>
      <c r="AE11" s="1" t="str">
        <f aca="false">IF($A11="","",IFERROR((I11-P11)/I11,0))</f>
        <v/>
      </c>
      <c r="AF11" s="1" t="str">
        <f aca="false">IF($A11="","",IFERROR(MAX(0,(I11-P11)*G11),0))</f>
        <v/>
      </c>
      <c r="AG11" s="1" t="str">
        <f aca="false">IF($A11="","",IF(COUNTIFS(候选池!$C$2:$C$201,C11,候选池!$K$2:$K$201,"核心池")&gt;0,"核心池","否"))</f>
        <v/>
      </c>
      <c r="AH11" s="1" t="str">
        <f aca="false">IF($A11="","",IF(AND(AG11="核心池",AD11="合规",AC11&gt;=100),"可评估加仓","不可加仓"))</f>
        <v/>
      </c>
    </row>
    <row r="12" customFormat="false" ht="15" hidden="false" customHeight="true" outlineLevel="0" collapsed="false">
      <c r="A12" s="32"/>
      <c r="B12" s="6"/>
      <c r="C12" s="13"/>
      <c r="D12" s="6"/>
      <c r="E12" s="17"/>
      <c r="F12" s="13"/>
      <c r="G12" s="20"/>
      <c r="H12" s="17"/>
      <c r="I12" s="17"/>
      <c r="J12" s="18"/>
      <c r="K12" s="18"/>
      <c r="L12" s="18"/>
      <c r="M12" s="19"/>
      <c r="N12" s="19"/>
      <c r="O12" s="17"/>
      <c r="P12" s="18"/>
      <c r="Q12" s="5"/>
      <c r="R12" s="22"/>
      <c r="S12" s="6"/>
      <c r="T12" s="13"/>
      <c r="U12" s="13"/>
      <c r="V12" s="5"/>
      <c r="W12" s="5"/>
      <c r="X12" s="5"/>
      <c r="Y12" s="5"/>
      <c r="Z12" s="5"/>
      <c r="AA12" s="5" t="str">
        <f aca="false">IF($A12="","",IFERROR(INDEX(账户总表!$B:$B,MATCH($A12,账户总表!$A:$A,0))*INDEX(账户总表!$O:$O,MATCH($A12,账户总表!$A:$A,0)),0))</f>
        <v/>
      </c>
      <c r="AB12" s="33" t="str">
        <f aca="false">IF($A12="","",IFERROR(MAX(0,AA12-J12),0))</f>
        <v/>
      </c>
      <c r="AC12" s="5" t="str">
        <f aca="false">IF($A12="","",IF(I12&gt;0,IFERROR(FLOOR(AB12/I12,100),0),0))</f>
        <v/>
      </c>
      <c r="AD12" s="6" t="str">
        <f aca="false">IF($A12="","",IF(N12&gt;INDEX(账户总表!$O:$O,MATCH($A12,账户总表!$A:$A,0)),"超限","合规"))</f>
        <v/>
      </c>
      <c r="AE12" s="1" t="str">
        <f aca="false">IF($A12="","",IFERROR((I12-P12)/I12,0))</f>
        <v/>
      </c>
      <c r="AF12" s="1" t="str">
        <f aca="false">IF($A12="","",IFERROR(MAX(0,(I12-P12)*G12),0))</f>
        <v/>
      </c>
      <c r="AG12" s="1" t="str">
        <f aca="false">IF($A12="","",IF(COUNTIFS(候选池!$C$2:$C$201,C12,候选池!$K$2:$K$201,"核心池")&gt;0,"核心池","否"))</f>
        <v/>
      </c>
      <c r="AH12" s="1" t="str">
        <f aca="false">IF($A12="","",IF(AND(AG12="核心池",AD12="合规",AC12&gt;=100),"可评估加仓","不可加仓"))</f>
        <v/>
      </c>
    </row>
    <row r="13" customFormat="false" ht="15" hidden="false" customHeight="true" outlineLevel="0" collapsed="false">
      <c r="A13" s="9"/>
      <c r="B13" s="9"/>
      <c r="C13" s="9"/>
      <c r="D13" s="9"/>
      <c r="E13" s="26"/>
      <c r="F13" s="9"/>
      <c r="G13" s="27"/>
      <c r="H13" s="26"/>
      <c r="I13" s="26"/>
      <c r="J13" s="18"/>
      <c r="K13" s="18"/>
      <c r="L13" s="18"/>
      <c r="M13" s="19"/>
      <c r="N13" s="19"/>
      <c r="O13" s="26"/>
      <c r="P13" s="18"/>
      <c r="Q13" s="5"/>
      <c r="R13" s="28"/>
      <c r="S13" s="9"/>
      <c r="T13" s="14"/>
      <c r="U13" s="14"/>
      <c r="V13" s="5"/>
      <c r="W13" s="5"/>
      <c r="X13" s="5"/>
      <c r="Y13" s="5"/>
      <c r="Z13" s="5"/>
      <c r="AA13" s="5" t="str">
        <f aca="false">IF($A13="","",IFERROR(INDEX(账户总表!$B:$B,MATCH($A13,账户总表!$A:$A,0))*INDEX(账户总表!$O:$O,MATCH($A13,账户总表!$A:$A,0)),0))</f>
        <v/>
      </c>
      <c r="AB13" s="33" t="str">
        <f aca="false">IF($A13="","",IFERROR(MAX(0,AA13-J13),0))</f>
        <v/>
      </c>
      <c r="AC13" s="5" t="str">
        <f aca="false">IF($A13="","",IF(I13&gt;0,IFERROR(FLOOR(AB13/I13,100),0),0))</f>
        <v/>
      </c>
      <c r="AD13" s="9" t="str">
        <f aca="false">IF($A13="","",IF(N13&gt;INDEX(账户总表!$O:$O,MATCH($A13,账户总表!$A:$A,0)),"超限","合规"))</f>
        <v/>
      </c>
      <c r="AE13" s="1" t="str">
        <f aca="false">IF($A13="","",IFERROR((I13-P13)/I13,0))</f>
        <v/>
      </c>
      <c r="AF13" s="1" t="str">
        <f aca="false">IF($A13="","",IFERROR(MAX(0,(I13-P13)*G13),0))</f>
        <v/>
      </c>
      <c r="AG13" s="1" t="str">
        <f aca="false">IF($A13="","",IF(COUNTIFS(候选池!$C$2:$C$201,C13,候选池!$K$2:$K$201,"核心池")&gt;0,"核心池","否"))</f>
        <v/>
      </c>
      <c r="AH13" s="1" t="str">
        <f aca="false">IF($A13="","",IF(AND(AG13="核心池",AD13="合规",AC13&gt;=100),"可评估加仓","不可加仓"))</f>
        <v/>
      </c>
    </row>
    <row r="14" customFormat="false" ht="15" hidden="false" customHeight="true" outlineLevel="0" collapsed="false">
      <c r="A14" s="6"/>
      <c r="B14" s="6"/>
      <c r="C14" s="6"/>
      <c r="D14" s="6"/>
      <c r="E14" s="17"/>
      <c r="F14" s="6"/>
      <c r="G14" s="20"/>
      <c r="H14" s="17"/>
      <c r="I14" s="17"/>
      <c r="J14" s="18"/>
      <c r="K14" s="18"/>
      <c r="L14" s="18"/>
      <c r="M14" s="19"/>
      <c r="N14" s="19"/>
      <c r="O14" s="17"/>
      <c r="P14" s="18"/>
      <c r="Q14" s="5"/>
      <c r="R14" s="22"/>
      <c r="S14" s="6"/>
      <c r="T14" s="13"/>
      <c r="U14" s="13"/>
      <c r="V14" s="5"/>
      <c r="W14" s="5"/>
      <c r="X14" s="5"/>
      <c r="Y14" s="5"/>
      <c r="Z14" s="5"/>
      <c r="AA14" s="5" t="str">
        <f aca="false">IF($A14="","",IFERROR(INDEX(账户总表!$B:$B,MATCH($A14,账户总表!$A:$A,0))*INDEX(账户总表!$O:$O,MATCH($A14,账户总表!$A:$A,0)),0))</f>
        <v/>
      </c>
      <c r="AB14" s="33" t="str">
        <f aca="false">IF($A14="","",IFERROR(MAX(0,AA14-J14),0))</f>
        <v/>
      </c>
      <c r="AC14" s="5" t="str">
        <f aca="false">IF($A14="","",IF(I14&gt;0,IFERROR(FLOOR(AB14/I14,100),0),0))</f>
        <v/>
      </c>
      <c r="AD14" s="6" t="str">
        <f aca="false">IF($A14="","",IF(N14&gt;INDEX(账户总表!$O:$O,MATCH($A14,账户总表!$A:$A,0)),"超限","合规"))</f>
        <v/>
      </c>
      <c r="AE14" s="1" t="str">
        <f aca="false">IF($A14="","",IFERROR((I14-P14)/I14,0))</f>
        <v/>
      </c>
      <c r="AF14" s="1" t="str">
        <f aca="false">IF($A14="","",IFERROR(MAX(0,(I14-P14)*G14),0))</f>
        <v/>
      </c>
      <c r="AG14" s="1" t="str">
        <f aca="false">IF($A14="","",IF(COUNTIFS(候选池!$C$2:$C$201,C14,候选池!$K$2:$K$201,"核心池")&gt;0,"核心池","否"))</f>
        <v/>
      </c>
      <c r="AH14" s="1" t="str">
        <f aca="false">IF($A14="","",IF(AND(AG14="核心池",AD14="合规",AC14&gt;=100),"可评估加仓","不可加仓"))</f>
        <v/>
      </c>
    </row>
    <row r="15" customFormat="false" ht="15" hidden="false" customHeight="true" outlineLevel="0" collapsed="false">
      <c r="A15" s="9"/>
      <c r="B15" s="9"/>
      <c r="C15" s="9"/>
      <c r="D15" s="9"/>
      <c r="E15" s="26"/>
      <c r="F15" s="9"/>
      <c r="G15" s="27"/>
      <c r="H15" s="26"/>
      <c r="I15" s="26"/>
      <c r="J15" s="18"/>
      <c r="K15" s="18"/>
      <c r="L15" s="18"/>
      <c r="M15" s="19"/>
      <c r="N15" s="19"/>
      <c r="O15" s="26"/>
      <c r="P15" s="18"/>
      <c r="Q15" s="5"/>
      <c r="R15" s="28"/>
      <c r="S15" s="9"/>
      <c r="T15" s="14"/>
      <c r="U15" s="14"/>
      <c r="V15" s="5"/>
      <c r="W15" s="5"/>
      <c r="X15" s="5"/>
      <c r="Y15" s="5"/>
      <c r="Z15" s="5"/>
      <c r="AA15" s="5" t="str">
        <f aca="false">IF($A15="","",IFERROR(INDEX(账户总表!$B:$B,MATCH($A15,账户总表!$A:$A,0))*INDEX(账户总表!$O:$O,MATCH($A15,账户总表!$A:$A,0)),0))</f>
        <v/>
      </c>
      <c r="AB15" s="33" t="str">
        <f aca="false">IF($A15="","",IFERROR(MAX(0,AA15-J15),0))</f>
        <v/>
      </c>
      <c r="AC15" s="5" t="str">
        <f aca="false">IF($A15="","",IF(I15&gt;0,IFERROR(FLOOR(AB15/I15,100),0),0))</f>
        <v/>
      </c>
      <c r="AD15" s="9" t="str">
        <f aca="false">IF($A15="","",IF(N15&gt;INDEX(账户总表!$O:$O,MATCH($A15,账户总表!$A:$A,0)),"超限","合规"))</f>
        <v/>
      </c>
      <c r="AE15" s="1" t="str">
        <f aca="false">IF($A15="","",IFERROR((I15-P15)/I15,0))</f>
        <v/>
      </c>
      <c r="AF15" s="1" t="str">
        <f aca="false">IF($A15="","",IFERROR(MAX(0,(I15-P15)*G15),0))</f>
        <v/>
      </c>
      <c r="AG15" s="1" t="str">
        <f aca="false">IF($A15="","",IF(COUNTIFS(候选池!$C$2:$C$201,C15,候选池!$K$2:$K$201,"核心池")&gt;0,"核心池","否"))</f>
        <v/>
      </c>
      <c r="AH15" s="1" t="str">
        <f aca="false">IF($A15="","",IF(AND(AG15="核心池",AD15="合规",AC15&gt;=100),"可评估加仓","不可加仓"))</f>
        <v/>
      </c>
    </row>
    <row r="16" customFormat="false" ht="15" hidden="false" customHeight="true" outlineLevel="0" collapsed="false">
      <c r="A16" s="6"/>
      <c r="B16" s="6"/>
      <c r="C16" s="6"/>
      <c r="D16" s="6"/>
      <c r="E16" s="17"/>
      <c r="F16" s="6"/>
      <c r="G16" s="20"/>
      <c r="H16" s="17"/>
      <c r="I16" s="17"/>
      <c r="J16" s="18"/>
      <c r="K16" s="18"/>
      <c r="L16" s="18"/>
      <c r="M16" s="19"/>
      <c r="N16" s="19"/>
      <c r="O16" s="17"/>
      <c r="P16" s="18"/>
      <c r="Q16" s="5"/>
      <c r="R16" s="22"/>
      <c r="S16" s="6"/>
      <c r="T16" s="13"/>
      <c r="U16" s="13"/>
      <c r="V16" s="5"/>
      <c r="W16" s="5"/>
      <c r="X16" s="5"/>
      <c r="Y16" s="5"/>
      <c r="Z16" s="5"/>
      <c r="AA16" s="5" t="str">
        <f aca="false">IF($A16="","",IFERROR(INDEX(账户总表!$B:$B,MATCH($A16,账户总表!$A:$A,0))*INDEX(账户总表!$O:$O,MATCH($A16,账户总表!$A:$A,0)),0))</f>
        <v/>
      </c>
      <c r="AB16" s="33" t="str">
        <f aca="false">IF($A16="","",IFERROR(MAX(0,AA16-J16),0))</f>
        <v/>
      </c>
      <c r="AC16" s="5" t="str">
        <f aca="false">IF($A16="","",IF(I16&gt;0,IFERROR(FLOOR(AB16/I16,100),0),0))</f>
        <v/>
      </c>
      <c r="AD16" s="6" t="str">
        <f aca="false">IF($A16="","",IF(N16&gt;INDEX(账户总表!$O:$O,MATCH($A16,账户总表!$A:$A,0)),"超限","合规"))</f>
        <v/>
      </c>
      <c r="AE16" s="1" t="str">
        <f aca="false">IF($A16="","",IFERROR((I16-P16)/I16,0))</f>
        <v/>
      </c>
      <c r="AF16" s="1" t="str">
        <f aca="false">IF($A16="","",IFERROR(MAX(0,(I16-P16)*G16),0))</f>
        <v/>
      </c>
      <c r="AG16" s="1" t="str">
        <f aca="false">IF($A16="","",IF(COUNTIFS(候选池!$C$2:$C$201,C16,候选池!$K$2:$K$201,"核心池")&gt;0,"核心池","否"))</f>
        <v/>
      </c>
      <c r="AH16" s="1" t="str">
        <f aca="false">IF($A16="","",IF(AND(AG16="核心池",AD16="合规",AC16&gt;=100),"可评估加仓","不可加仓"))</f>
        <v/>
      </c>
    </row>
    <row r="17" customFormat="false" ht="15" hidden="false" customHeight="true" outlineLevel="0" collapsed="false">
      <c r="A17" s="9"/>
      <c r="B17" s="9"/>
      <c r="C17" s="9"/>
      <c r="D17" s="9"/>
      <c r="E17" s="26"/>
      <c r="F17" s="9"/>
      <c r="G17" s="27"/>
      <c r="H17" s="26"/>
      <c r="I17" s="26"/>
      <c r="J17" s="18"/>
      <c r="K17" s="18"/>
      <c r="L17" s="18"/>
      <c r="M17" s="19"/>
      <c r="N17" s="19"/>
      <c r="O17" s="26"/>
      <c r="P17" s="18"/>
      <c r="Q17" s="5"/>
      <c r="R17" s="28"/>
      <c r="S17" s="9"/>
      <c r="T17" s="14"/>
      <c r="U17" s="14"/>
      <c r="V17" s="5"/>
      <c r="W17" s="5"/>
      <c r="X17" s="5"/>
      <c r="Y17" s="5"/>
      <c r="Z17" s="5"/>
      <c r="AA17" s="5" t="str">
        <f aca="false">IF($A17="","",IFERROR(INDEX(账户总表!$B:$B,MATCH($A17,账户总表!$A:$A,0))*INDEX(账户总表!$O:$O,MATCH($A17,账户总表!$A:$A,0)),0))</f>
        <v/>
      </c>
      <c r="AB17" s="33" t="str">
        <f aca="false">IF($A17="","",IFERROR(MAX(0,AA17-J17),0))</f>
        <v/>
      </c>
      <c r="AC17" s="5" t="str">
        <f aca="false">IF($A17="","",IF(I17&gt;0,IFERROR(FLOOR(AB17/I17,100),0),0))</f>
        <v/>
      </c>
      <c r="AD17" s="9" t="str">
        <f aca="false">IF($A17="","",IF(N17&gt;INDEX(账户总表!$O:$O,MATCH($A17,账户总表!$A:$A,0)),"超限","合规"))</f>
        <v/>
      </c>
      <c r="AE17" s="1" t="str">
        <f aca="false">IF($A17="","",IFERROR((I17-P17)/I17,0))</f>
        <v/>
      </c>
      <c r="AF17" s="1" t="str">
        <f aca="false">IF($A17="","",IFERROR(MAX(0,(I17-P17)*G17),0))</f>
        <v/>
      </c>
      <c r="AG17" s="1" t="str">
        <f aca="false">IF($A17="","",IF(COUNTIFS(候选池!$C$2:$C$201,C17,候选池!$K$2:$K$201,"核心池")&gt;0,"核心池","否"))</f>
        <v/>
      </c>
      <c r="AH17" s="1" t="str">
        <f aca="false">IF($A17="","",IF(AND(AG17="核心池",AD17="合规",AC17&gt;=100),"可评估加仓","不可加仓"))</f>
        <v/>
      </c>
    </row>
    <row r="18" customFormat="false" ht="15" hidden="false" customHeight="true" outlineLevel="0" collapsed="false">
      <c r="A18" s="6"/>
      <c r="B18" s="6"/>
      <c r="C18" s="6"/>
      <c r="D18" s="6"/>
      <c r="E18" s="17"/>
      <c r="F18" s="6"/>
      <c r="G18" s="20"/>
      <c r="H18" s="17"/>
      <c r="I18" s="17"/>
      <c r="J18" s="18"/>
      <c r="K18" s="18"/>
      <c r="L18" s="18"/>
      <c r="M18" s="19"/>
      <c r="N18" s="19"/>
      <c r="O18" s="17"/>
      <c r="P18" s="18"/>
      <c r="Q18" s="5"/>
      <c r="R18" s="22"/>
      <c r="S18" s="6"/>
      <c r="T18" s="13"/>
      <c r="U18" s="13"/>
      <c r="V18" s="5"/>
      <c r="W18" s="5"/>
      <c r="X18" s="5"/>
      <c r="Y18" s="5"/>
      <c r="Z18" s="5"/>
      <c r="AA18" s="5" t="str">
        <f aca="false">IF($A18="","",IFERROR(INDEX(账户总表!$B:$B,MATCH($A18,账户总表!$A:$A,0))*INDEX(账户总表!$O:$O,MATCH($A18,账户总表!$A:$A,0)),0))</f>
        <v/>
      </c>
      <c r="AB18" s="33" t="str">
        <f aca="false">IF($A18="","",IFERROR(MAX(0,AA18-J18),0))</f>
        <v/>
      </c>
      <c r="AC18" s="5" t="str">
        <f aca="false">IF($A18="","",IF(I18&gt;0,IFERROR(FLOOR(AB18/I18,100),0),0))</f>
        <v/>
      </c>
      <c r="AD18" s="6" t="str">
        <f aca="false">IF($A18="","",IF(N18&gt;INDEX(账户总表!$O:$O,MATCH($A18,账户总表!$A:$A,0)),"超限","合规"))</f>
        <v/>
      </c>
      <c r="AE18" s="1" t="str">
        <f aca="false">IF($A18="","",IFERROR((I18-P18)/I18,0))</f>
        <v/>
      </c>
      <c r="AF18" s="1" t="str">
        <f aca="false">IF($A18="","",IFERROR(MAX(0,(I18-P18)*G18),0))</f>
        <v/>
      </c>
      <c r="AG18" s="1" t="str">
        <f aca="false">IF($A18="","",IF(COUNTIFS(候选池!$C$2:$C$201,C18,候选池!$K$2:$K$201,"核心池")&gt;0,"核心池","否"))</f>
        <v/>
      </c>
      <c r="AH18" s="1" t="str">
        <f aca="false">IF($A18="","",IF(AND(AG18="核心池",AD18="合规",AC18&gt;=100),"可评估加仓","不可加仓"))</f>
        <v/>
      </c>
    </row>
    <row r="19" customFormat="false" ht="15" hidden="false" customHeight="true" outlineLevel="0" collapsed="false">
      <c r="A19" s="9"/>
      <c r="B19" s="9"/>
      <c r="C19" s="9"/>
      <c r="D19" s="9"/>
      <c r="E19" s="26"/>
      <c r="F19" s="9"/>
      <c r="G19" s="27"/>
      <c r="H19" s="26"/>
      <c r="I19" s="26"/>
      <c r="J19" s="18"/>
      <c r="K19" s="18"/>
      <c r="L19" s="18"/>
      <c r="M19" s="19"/>
      <c r="N19" s="19"/>
      <c r="O19" s="26"/>
      <c r="P19" s="18"/>
      <c r="Q19" s="5"/>
      <c r="R19" s="28"/>
      <c r="S19" s="9"/>
      <c r="T19" s="14"/>
      <c r="U19" s="14"/>
      <c r="V19" s="5"/>
      <c r="W19" s="5"/>
      <c r="X19" s="5"/>
      <c r="Y19" s="5"/>
      <c r="Z19" s="5"/>
      <c r="AA19" s="5" t="str">
        <f aca="false">IF($A19="","",IFERROR(INDEX(账户总表!$B:$B,MATCH($A19,账户总表!$A:$A,0))*INDEX(账户总表!$O:$O,MATCH($A19,账户总表!$A:$A,0)),0))</f>
        <v/>
      </c>
      <c r="AB19" s="33" t="str">
        <f aca="false">IF($A19="","",IFERROR(MAX(0,AA19-J19),0))</f>
        <v/>
      </c>
      <c r="AC19" s="5" t="str">
        <f aca="false">IF($A19="","",IF(I19&gt;0,IFERROR(FLOOR(AB19/I19,100),0),0))</f>
        <v/>
      </c>
      <c r="AD19" s="9" t="str">
        <f aca="false">IF($A19="","",IF(N19&gt;INDEX(账户总表!$O:$O,MATCH($A19,账户总表!$A:$A,0)),"超限","合规"))</f>
        <v/>
      </c>
      <c r="AE19" s="1" t="str">
        <f aca="false">IF($A19="","",IFERROR((I19-P19)/I19,0))</f>
        <v/>
      </c>
      <c r="AF19" s="1" t="str">
        <f aca="false">IF($A19="","",IFERROR(MAX(0,(I19-P19)*G19),0))</f>
        <v/>
      </c>
      <c r="AG19" s="1" t="str">
        <f aca="false">IF($A19="","",IF(COUNTIFS(候选池!$C$2:$C$201,C19,候选池!$K$2:$K$201,"核心池")&gt;0,"核心池","否"))</f>
        <v/>
      </c>
      <c r="AH19" s="1" t="str">
        <f aca="false">IF($A19="","",IF(AND(AG19="核心池",AD19="合规",AC19&gt;=100),"可评估加仓","不可加仓"))</f>
        <v/>
      </c>
    </row>
    <row r="20" customFormat="false" ht="15" hidden="false" customHeight="true" outlineLevel="0" collapsed="false">
      <c r="A20" s="6"/>
      <c r="B20" s="6"/>
      <c r="C20" s="6"/>
      <c r="D20" s="6"/>
      <c r="E20" s="17"/>
      <c r="F20" s="6"/>
      <c r="G20" s="20"/>
      <c r="H20" s="17"/>
      <c r="I20" s="17"/>
      <c r="J20" s="18"/>
      <c r="K20" s="18"/>
      <c r="L20" s="18"/>
      <c r="M20" s="19"/>
      <c r="N20" s="19"/>
      <c r="O20" s="17"/>
      <c r="P20" s="18"/>
      <c r="Q20" s="5"/>
      <c r="R20" s="22"/>
      <c r="S20" s="6"/>
      <c r="T20" s="13"/>
      <c r="U20" s="13"/>
      <c r="V20" s="5"/>
      <c r="W20" s="5"/>
      <c r="X20" s="5"/>
      <c r="Y20" s="5"/>
      <c r="Z20" s="5"/>
      <c r="AA20" s="5" t="str">
        <f aca="false">IF($A20="","",IFERROR(INDEX(账户总表!$B:$B,MATCH($A20,账户总表!$A:$A,0))*INDEX(账户总表!$O:$O,MATCH($A20,账户总表!$A:$A,0)),0))</f>
        <v/>
      </c>
      <c r="AB20" s="33" t="str">
        <f aca="false">IF($A20="","",IFERROR(MAX(0,AA20-J20),0))</f>
        <v/>
      </c>
      <c r="AC20" s="5" t="str">
        <f aca="false">IF($A20="","",IF(I20&gt;0,IFERROR(FLOOR(AB20/I20,100),0),0))</f>
        <v/>
      </c>
      <c r="AD20" s="6" t="str">
        <f aca="false">IF($A20="","",IF(N20&gt;INDEX(账户总表!$O:$O,MATCH($A20,账户总表!$A:$A,0)),"超限","合规"))</f>
        <v/>
      </c>
      <c r="AE20" s="1" t="str">
        <f aca="false">IF($A20="","",IFERROR((I20-P20)/I20,0))</f>
        <v/>
      </c>
      <c r="AF20" s="1" t="str">
        <f aca="false">IF($A20="","",IFERROR(MAX(0,(I20-P20)*G20),0))</f>
        <v/>
      </c>
      <c r="AG20" s="1" t="str">
        <f aca="false">IF($A20="","",IF(COUNTIFS(候选池!$C$2:$C$201,C20,候选池!$K$2:$K$201,"核心池")&gt;0,"核心池","否"))</f>
        <v/>
      </c>
      <c r="AH20" s="1" t="str">
        <f aca="false">IF($A20="","",IF(AND(AG20="核心池",AD20="合规",AC20&gt;=100),"可评估加仓","不可加仓"))</f>
        <v/>
      </c>
    </row>
    <row r="21" customFormat="false" ht="15" hidden="false" customHeight="true" outlineLevel="0" collapsed="false">
      <c r="A21" s="9"/>
      <c r="B21" s="9"/>
      <c r="C21" s="9"/>
      <c r="D21" s="9"/>
      <c r="E21" s="26"/>
      <c r="F21" s="9"/>
      <c r="G21" s="27"/>
      <c r="H21" s="26"/>
      <c r="I21" s="26"/>
      <c r="J21" s="18"/>
      <c r="K21" s="18"/>
      <c r="L21" s="18"/>
      <c r="M21" s="19"/>
      <c r="N21" s="19"/>
      <c r="O21" s="26"/>
      <c r="P21" s="18"/>
      <c r="Q21" s="5"/>
      <c r="R21" s="28"/>
      <c r="S21" s="9"/>
      <c r="T21" s="14"/>
      <c r="U21" s="14"/>
      <c r="V21" s="5"/>
      <c r="W21" s="5"/>
      <c r="X21" s="5"/>
      <c r="Y21" s="5"/>
      <c r="Z21" s="5"/>
      <c r="AA21" s="5" t="str">
        <f aca="false">IF($A21="","",IFERROR(INDEX(账户总表!$B:$B,MATCH($A21,账户总表!$A:$A,0))*INDEX(账户总表!$O:$O,MATCH($A21,账户总表!$A:$A,0)),0))</f>
        <v/>
      </c>
      <c r="AB21" s="33" t="str">
        <f aca="false">IF($A21="","",IFERROR(MAX(0,AA21-J21),0))</f>
        <v/>
      </c>
      <c r="AC21" s="5" t="str">
        <f aca="false">IF($A21="","",IF(I21&gt;0,IFERROR(FLOOR(AB21/I21,100),0),0))</f>
        <v/>
      </c>
      <c r="AD21" s="9" t="str">
        <f aca="false">IF($A21="","",IF(N21&gt;INDEX(账户总表!$O:$O,MATCH($A21,账户总表!$A:$A,0)),"超限","合规"))</f>
        <v/>
      </c>
      <c r="AE21" s="1" t="str">
        <f aca="false">IF($A21="","",IFERROR((I21-P21)/I21,0))</f>
        <v/>
      </c>
      <c r="AF21" s="1" t="str">
        <f aca="false">IF($A21="","",IFERROR(MAX(0,(I21-P21)*G21),0))</f>
        <v/>
      </c>
      <c r="AG21" s="1" t="str">
        <f aca="false">IF($A21="","",IF(COUNTIFS(候选池!$C$2:$C$201,C21,候选池!$K$2:$K$201,"核心池")&gt;0,"核心池","否"))</f>
        <v/>
      </c>
      <c r="AH21" s="1" t="str">
        <f aca="false">IF($A21="","",IF(AND(AG21="核心池",AD21="合规",AC21&gt;=100),"可评估加仓","不可加仓"))</f>
        <v/>
      </c>
    </row>
    <row r="22" customFormat="false" ht="15" hidden="false" customHeight="true" outlineLevel="0" collapsed="false">
      <c r="A22" s="6"/>
      <c r="B22" s="6"/>
      <c r="C22" s="6"/>
      <c r="D22" s="6"/>
      <c r="E22" s="17"/>
      <c r="F22" s="6"/>
      <c r="G22" s="20"/>
      <c r="H22" s="17"/>
      <c r="I22" s="17"/>
      <c r="J22" s="18"/>
      <c r="K22" s="18"/>
      <c r="L22" s="18"/>
      <c r="M22" s="19"/>
      <c r="N22" s="19"/>
      <c r="O22" s="17"/>
      <c r="P22" s="18"/>
      <c r="Q22" s="5"/>
      <c r="R22" s="22"/>
      <c r="S22" s="6"/>
      <c r="T22" s="13"/>
      <c r="U22" s="13"/>
      <c r="V22" s="5"/>
      <c r="W22" s="5"/>
      <c r="X22" s="5"/>
      <c r="Y22" s="5"/>
      <c r="Z22" s="5"/>
      <c r="AA22" s="5" t="str">
        <f aca="false">IF($A22="","",IFERROR(INDEX(账户总表!$B:$B,MATCH($A22,账户总表!$A:$A,0))*INDEX(账户总表!$O:$O,MATCH($A22,账户总表!$A:$A,0)),0))</f>
        <v/>
      </c>
      <c r="AB22" s="33" t="str">
        <f aca="false">IF($A22="","",IFERROR(MAX(0,AA22-J22),0))</f>
        <v/>
      </c>
      <c r="AC22" s="5" t="str">
        <f aca="false">IF($A22="","",IF(I22&gt;0,IFERROR(FLOOR(AB22/I22,100),0),0))</f>
        <v/>
      </c>
      <c r="AD22" s="6" t="str">
        <f aca="false">IF($A22="","",IF(N22&gt;INDEX(账户总表!$O:$O,MATCH($A22,账户总表!$A:$A,0)),"超限","合规"))</f>
        <v/>
      </c>
      <c r="AE22" s="1" t="str">
        <f aca="false">IF($A22="","",IFERROR((I22-P22)/I22,0))</f>
        <v/>
      </c>
      <c r="AF22" s="1" t="str">
        <f aca="false">IF($A22="","",IFERROR(MAX(0,(I22-P22)*G22),0))</f>
        <v/>
      </c>
      <c r="AG22" s="1" t="str">
        <f aca="false">IF($A22="","",IF(COUNTIFS(候选池!$C$2:$C$201,C22,候选池!$K$2:$K$201,"核心池")&gt;0,"核心池","否"))</f>
        <v/>
      </c>
      <c r="AH22" s="1" t="str">
        <f aca="false">IF($A22="","",IF(AND(AG22="核心池",AD22="合规",AC22&gt;=100),"可评估加仓","不可加仓"))</f>
        <v/>
      </c>
    </row>
    <row r="23" customFormat="false" ht="15" hidden="false" customHeight="true" outlineLevel="0" collapsed="false">
      <c r="A23" s="9"/>
      <c r="B23" s="9"/>
      <c r="C23" s="9"/>
      <c r="D23" s="9"/>
      <c r="E23" s="26"/>
      <c r="F23" s="9"/>
      <c r="G23" s="27"/>
      <c r="H23" s="26"/>
      <c r="I23" s="26"/>
      <c r="J23" s="18"/>
      <c r="K23" s="18"/>
      <c r="L23" s="18"/>
      <c r="M23" s="19"/>
      <c r="N23" s="19"/>
      <c r="O23" s="26"/>
      <c r="P23" s="18"/>
      <c r="Q23" s="5"/>
      <c r="R23" s="28"/>
      <c r="S23" s="9"/>
      <c r="T23" s="14"/>
      <c r="U23" s="14"/>
      <c r="V23" s="5"/>
      <c r="W23" s="5"/>
      <c r="X23" s="5"/>
      <c r="Y23" s="5"/>
      <c r="Z23" s="5"/>
      <c r="AA23" s="5" t="str">
        <f aca="false">IF($A23="","",IFERROR(INDEX(账户总表!$B:$B,MATCH($A23,账户总表!$A:$A,0))*INDEX(账户总表!$O:$O,MATCH($A23,账户总表!$A:$A,0)),0))</f>
        <v/>
      </c>
      <c r="AB23" s="33" t="str">
        <f aca="false">IF($A23="","",IFERROR(MAX(0,AA23-J23),0))</f>
        <v/>
      </c>
      <c r="AC23" s="5" t="str">
        <f aca="false">IF($A23="","",IF(I23&gt;0,IFERROR(FLOOR(AB23/I23,100),0),0))</f>
        <v/>
      </c>
      <c r="AD23" s="9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IF($A23="","",IF(AND(AG23="核心池",AD23="合规",AC23&gt;=100),"可评估加仓","不可加仓"))</f>
        <v/>
      </c>
    </row>
    <row r="24" customFormat="false" ht="15" hidden="false" customHeight="true" outlineLevel="0" collapsed="false">
      <c r="A24" s="6"/>
      <c r="B24" s="6"/>
      <c r="C24" s="6"/>
      <c r="D24" s="6"/>
      <c r="E24" s="17"/>
      <c r="F24" s="6"/>
      <c r="G24" s="20"/>
      <c r="H24" s="17"/>
      <c r="I24" s="17"/>
      <c r="J24" s="18"/>
      <c r="K24" s="18"/>
      <c r="L24" s="18"/>
      <c r="M24" s="19"/>
      <c r="N24" s="19"/>
      <c r="O24" s="17"/>
      <c r="P24" s="18"/>
      <c r="Q24" s="5"/>
      <c r="R24" s="22"/>
      <c r="S24" s="6"/>
      <c r="T24" s="13"/>
      <c r="U24" s="13"/>
      <c r="V24" s="5"/>
      <c r="W24" s="5"/>
      <c r="X24" s="5"/>
      <c r="Y24" s="5"/>
      <c r="Z24" s="5"/>
      <c r="AA24" s="5" t="str">
        <f aca="false">IF($A24="","",IFERROR(INDEX(账户总表!$B:$B,MATCH($A24,账户总表!$A:$A,0))*INDEX(账户总表!$O:$O,MATCH($A24,账户总表!$A:$A,0)),0))</f>
        <v/>
      </c>
      <c r="AB24" s="33" t="str">
        <f aca="false">IF($A24="","",IFERROR(MAX(0,AA24-J24),0))</f>
        <v/>
      </c>
      <c r="AC24" s="5" t="str">
        <f aca="false">IF($A24="","",IF(I24&gt;0,IFERROR(FLOOR(AB24/I24,100),0),0))</f>
        <v/>
      </c>
      <c r="AD24" s="6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IF($A24="","",IF(AND(AG24="核心池",AD24="合规",AC24&gt;=100),"可评估加仓","不可加仓"))</f>
        <v/>
      </c>
    </row>
    <row r="25" customFormat="false" ht="15" hidden="false" customHeight="true" outlineLevel="0" collapsed="false">
      <c r="A25" s="9"/>
      <c r="B25" s="9"/>
      <c r="C25" s="9"/>
      <c r="D25" s="9"/>
      <c r="E25" s="26"/>
      <c r="F25" s="9"/>
      <c r="G25" s="27"/>
      <c r="H25" s="26"/>
      <c r="I25" s="26"/>
      <c r="J25" s="18"/>
      <c r="K25" s="18"/>
      <c r="L25" s="18"/>
      <c r="M25" s="19"/>
      <c r="N25" s="19"/>
      <c r="O25" s="26"/>
      <c r="P25" s="18"/>
      <c r="Q25" s="5"/>
      <c r="R25" s="28"/>
      <c r="S25" s="9"/>
      <c r="T25" s="14"/>
      <c r="U25" s="14"/>
      <c r="V25" s="5"/>
      <c r="W25" s="5"/>
      <c r="X25" s="5"/>
      <c r="Y25" s="5"/>
      <c r="Z25" s="5"/>
      <c r="AA25" s="5" t="str">
        <f aca="false">IF($A25="","",IFERROR(INDEX(账户总表!$B:$B,MATCH($A25,账户总表!$A:$A,0))*INDEX(账户总表!$O:$O,MATCH($A25,账户总表!$A:$A,0)),0))</f>
        <v/>
      </c>
      <c r="AB25" s="33" t="str">
        <f aca="false">IF($A25="","",IFERROR(MAX(0,AA25-J25),0))</f>
        <v/>
      </c>
      <c r="AC25" s="5" t="str">
        <f aca="false">IF($A25="","",IF(I25&gt;0,IFERROR(FLOOR(AB25/I25,100),0),0))</f>
        <v/>
      </c>
      <c r="AD25" s="9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IF($A25="","",IF(AND(AG25="核心池",AD25="合规",AC25&gt;=100),"可评估加仓","不可加仓"))</f>
        <v/>
      </c>
    </row>
    <row r="26" customFormat="false" ht="15" hidden="false" customHeight="true" outlineLevel="0" collapsed="false">
      <c r="A26" s="6"/>
      <c r="B26" s="6"/>
      <c r="C26" s="6"/>
      <c r="D26" s="6"/>
      <c r="E26" s="17"/>
      <c r="F26" s="6"/>
      <c r="G26" s="20"/>
      <c r="H26" s="17"/>
      <c r="I26" s="17"/>
      <c r="J26" s="18"/>
      <c r="K26" s="18"/>
      <c r="L26" s="18"/>
      <c r="M26" s="19"/>
      <c r="N26" s="19"/>
      <c r="O26" s="17"/>
      <c r="P26" s="18"/>
      <c r="Q26" s="5"/>
      <c r="R26" s="22"/>
      <c r="S26" s="6"/>
      <c r="T26" s="13"/>
      <c r="U26" s="13"/>
      <c r="V26" s="5"/>
      <c r="W26" s="5"/>
      <c r="X26" s="5"/>
      <c r="Y26" s="5"/>
      <c r="Z26" s="5"/>
      <c r="AA26" s="5" t="str">
        <f aca="false">IF($A26="","",IFERROR(INDEX(账户总表!$B:$B,MATCH($A26,账户总表!$A:$A,0))*INDEX(账户总表!$O:$O,MATCH($A26,账户总表!$A:$A,0)),0))</f>
        <v/>
      </c>
      <c r="AB26" s="33" t="str">
        <f aca="false">IF($A26="","",IFERROR(MAX(0,AA26-J26),0))</f>
        <v/>
      </c>
      <c r="AC26" s="5" t="str">
        <f aca="false">IF($A26="","",IF(I26&gt;0,IFERROR(FLOOR(AB26/I26,100),0),0))</f>
        <v/>
      </c>
      <c r="AD26" s="6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IF($A26="","",IF(AND(AG26="核心池",AD26="合规",AC26&gt;=100),"可评估加仓","不可加仓"))</f>
        <v/>
      </c>
    </row>
    <row r="27" customFormat="false" ht="15" hidden="false" customHeight="true" outlineLevel="0" collapsed="false">
      <c r="A27" s="9"/>
      <c r="B27" s="9"/>
      <c r="C27" s="9"/>
      <c r="D27" s="9"/>
      <c r="E27" s="26"/>
      <c r="F27" s="9"/>
      <c r="G27" s="27"/>
      <c r="H27" s="26"/>
      <c r="I27" s="26"/>
      <c r="J27" s="18"/>
      <c r="K27" s="18"/>
      <c r="L27" s="18"/>
      <c r="M27" s="19"/>
      <c r="N27" s="19"/>
      <c r="O27" s="26"/>
      <c r="P27" s="18"/>
      <c r="Q27" s="5"/>
      <c r="R27" s="28"/>
      <c r="S27" s="9"/>
      <c r="T27" s="14"/>
      <c r="U27" s="14"/>
      <c r="V27" s="5"/>
      <c r="W27" s="5"/>
      <c r="X27" s="5"/>
      <c r="Y27" s="5"/>
      <c r="Z27" s="5"/>
      <c r="AA27" s="5" t="str">
        <f aca="false">IF($A27="","",IFERROR(INDEX(账户总表!$B:$B,MATCH($A27,账户总表!$A:$A,0))*INDEX(账户总表!$O:$O,MATCH($A27,账户总表!$A:$A,0)),0))</f>
        <v/>
      </c>
      <c r="AB27" s="33" t="str">
        <f aca="false">IF($A27="","",IFERROR(MAX(0,AA27-J27),0))</f>
        <v/>
      </c>
      <c r="AC27" s="5" t="str">
        <f aca="false">IF($A27="","",IF(I27&gt;0,IFERROR(FLOOR(AB27/I27,100),0),0))</f>
        <v/>
      </c>
      <c r="AD27" s="9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IF($A27="","",IF(AND(AG27="核心池",AD27="合规",AC27&gt;=100),"可评估加仓","不可加仓"))</f>
        <v/>
      </c>
    </row>
    <row r="28" customFormat="false" ht="15" hidden="false" customHeight="true" outlineLevel="0" collapsed="false">
      <c r="A28" s="6"/>
      <c r="B28" s="6"/>
      <c r="C28" s="6"/>
      <c r="D28" s="6"/>
      <c r="E28" s="17"/>
      <c r="F28" s="6"/>
      <c r="G28" s="20"/>
      <c r="H28" s="17"/>
      <c r="I28" s="17"/>
      <c r="J28" s="18"/>
      <c r="K28" s="18"/>
      <c r="L28" s="18"/>
      <c r="M28" s="19"/>
      <c r="N28" s="19"/>
      <c r="O28" s="17"/>
      <c r="P28" s="18"/>
      <c r="Q28" s="5"/>
      <c r="R28" s="22"/>
      <c r="S28" s="6"/>
      <c r="T28" s="13"/>
      <c r="U28" s="13"/>
      <c r="V28" s="5"/>
      <c r="W28" s="5"/>
      <c r="X28" s="5"/>
      <c r="Y28" s="5"/>
      <c r="Z28" s="5"/>
      <c r="AA28" s="5" t="str">
        <f aca="false">IF($A28="","",IFERROR(INDEX(账户总表!$B:$B,MATCH($A28,账户总表!$A:$A,0))*INDEX(账户总表!$O:$O,MATCH($A28,账户总表!$A:$A,0)),0))</f>
        <v/>
      </c>
      <c r="AB28" s="33" t="str">
        <f aca="false">IF($A28="","",IFERROR(MAX(0,AA28-J28),0))</f>
        <v/>
      </c>
      <c r="AC28" s="5" t="str">
        <f aca="false">IF($A28="","",IF(I28&gt;0,IFERROR(FLOOR(AB28/I28,100),0),0))</f>
        <v/>
      </c>
      <c r="AD28" s="6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IF($A28="","",IF(AND(AG28="核心池",AD28="合规",AC28&gt;=100),"可评估加仓","不可加仓"))</f>
        <v/>
      </c>
    </row>
    <row r="29" customFormat="false" ht="15" hidden="false" customHeight="true" outlineLevel="0" collapsed="false">
      <c r="A29" s="9"/>
      <c r="B29" s="9"/>
      <c r="C29" s="9"/>
      <c r="D29" s="9"/>
      <c r="E29" s="26"/>
      <c r="F29" s="9"/>
      <c r="G29" s="27"/>
      <c r="H29" s="26"/>
      <c r="I29" s="26"/>
      <c r="J29" s="18"/>
      <c r="K29" s="18"/>
      <c r="L29" s="18"/>
      <c r="M29" s="19"/>
      <c r="N29" s="19"/>
      <c r="O29" s="26"/>
      <c r="P29" s="18"/>
      <c r="Q29" s="5"/>
      <c r="R29" s="28"/>
      <c r="S29" s="9"/>
      <c r="T29" s="14"/>
      <c r="U29" s="14"/>
      <c r="V29" s="5"/>
      <c r="W29" s="5"/>
      <c r="X29" s="5"/>
      <c r="Y29" s="5"/>
      <c r="Z29" s="5"/>
      <c r="AA29" s="5" t="str">
        <f aca="false">IF($A29="","",IFERROR(INDEX(账户总表!$B:$B,MATCH($A29,账户总表!$A:$A,0))*INDEX(账户总表!$O:$O,MATCH($A29,账户总表!$A:$A,0)),0))</f>
        <v/>
      </c>
      <c r="AB29" s="33" t="str">
        <f aca="false">IF($A29="","",IFERROR(MAX(0,AA29-J29),0))</f>
        <v/>
      </c>
      <c r="AC29" s="5" t="str">
        <f aca="false">IF($A29="","",IF(I29&gt;0,IFERROR(FLOOR(AB29/I29,100),0),0))</f>
        <v/>
      </c>
      <c r="AD29" s="9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IF($A29="","",IF(AND(AG29="核心池",AD29="合规",AC29&gt;=100),"可评估加仓","不可加仓"))</f>
        <v/>
      </c>
    </row>
    <row r="30" customFormat="false" ht="15" hidden="false" customHeight="true" outlineLevel="0" collapsed="false">
      <c r="A30" s="6"/>
      <c r="B30" s="6"/>
      <c r="C30" s="6"/>
      <c r="D30" s="6"/>
      <c r="E30" s="17"/>
      <c r="F30" s="6"/>
      <c r="G30" s="20"/>
      <c r="H30" s="17"/>
      <c r="I30" s="17"/>
      <c r="J30" s="18"/>
      <c r="K30" s="18"/>
      <c r="L30" s="18"/>
      <c r="M30" s="19"/>
      <c r="N30" s="19"/>
      <c r="O30" s="17"/>
      <c r="P30" s="18"/>
      <c r="Q30" s="5"/>
      <c r="R30" s="22"/>
      <c r="S30" s="6"/>
      <c r="T30" s="13"/>
      <c r="U30" s="13"/>
      <c r="V30" s="5"/>
      <c r="W30" s="5"/>
      <c r="X30" s="5"/>
      <c r="Y30" s="5"/>
      <c r="Z30" s="5"/>
      <c r="AA30" s="5" t="str">
        <f aca="false">IF($A30="","",IFERROR(INDEX(账户总表!$B:$B,MATCH($A30,账户总表!$A:$A,0))*INDEX(账户总表!$O:$O,MATCH($A30,账户总表!$A:$A,0)),0))</f>
        <v/>
      </c>
      <c r="AB30" s="33" t="str">
        <f aca="false">IF($A30="","",IFERROR(MAX(0,AA30-J30),0))</f>
        <v/>
      </c>
      <c r="AC30" s="5" t="str">
        <f aca="false">IF($A30="","",IF(I30&gt;0,IFERROR(FLOOR(AB30/I30,100),0),0))</f>
        <v/>
      </c>
      <c r="AD30" s="6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IF($A30="","",IF(AND(AG30="核心池",AD30="合规",AC30&gt;=100),"可评估加仓","不可加仓"))</f>
        <v/>
      </c>
    </row>
    <row r="31" customFormat="false" ht="15" hidden="false" customHeight="true" outlineLevel="0" collapsed="false">
      <c r="A31" s="9"/>
      <c r="B31" s="9"/>
      <c r="C31" s="9"/>
      <c r="D31" s="9"/>
      <c r="E31" s="26"/>
      <c r="F31" s="9"/>
      <c r="G31" s="27"/>
      <c r="H31" s="26"/>
      <c r="I31" s="26"/>
      <c r="J31" s="18"/>
      <c r="K31" s="18"/>
      <c r="L31" s="18"/>
      <c r="M31" s="19"/>
      <c r="N31" s="19"/>
      <c r="O31" s="26"/>
      <c r="P31" s="18"/>
      <c r="Q31" s="5"/>
      <c r="R31" s="28"/>
      <c r="S31" s="9"/>
      <c r="T31" s="14"/>
      <c r="U31" s="14"/>
      <c r="V31" s="5"/>
      <c r="W31" s="5"/>
      <c r="X31" s="5"/>
      <c r="Y31" s="5"/>
      <c r="Z31" s="5"/>
      <c r="AA31" s="5" t="str">
        <f aca="false">IF($A31="","",IFERROR(INDEX(账户总表!$B:$B,MATCH($A31,账户总表!$A:$A,0))*INDEX(账户总表!$O:$O,MATCH($A31,账户总表!$A:$A,0)),0))</f>
        <v/>
      </c>
      <c r="AB31" s="33" t="str">
        <f aca="false">IF($A31="","",IFERROR(MAX(0,AA31-J31),0))</f>
        <v/>
      </c>
      <c r="AC31" s="5" t="str">
        <f aca="false">IF($A31="","",IF(I31&gt;0,IFERROR(FLOOR(AB31/I31,100),0),0))</f>
        <v/>
      </c>
      <c r="AD31" s="9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IF($A31="","",IF(AND(AG31="核心池",AD31="合规",AC31&gt;=100),"可评估加仓","不可加仓"))</f>
        <v/>
      </c>
    </row>
    <row r="32" customFormat="false" ht="15" hidden="false" customHeight="true" outlineLevel="0" collapsed="false">
      <c r="A32" s="6"/>
      <c r="B32" s="6"/>
      <c r="C32" s="6"/>
      <c r="D32" s="6"/>
      <c r="E32" s="17"/>
      <c r="F32" s="6"/>
      <c r="G32" s="20"/>
      <c r="H32" s="17"/>
      <c r="I32" s="17"/>
      <c r="J32" s="18"/>
      <c r="K32" s="18"/>
      <c r="L32" s="18"/>
      <c r="M32" s="19"/>
      <c r="N32" s="19"/>
      <c r="O32" s="17"/>
      <c r="P32" s="18"/>
      <c r="Q32" s="5"/>
      <c r="R32" s="22"/>
      <c r="S32" s="6"/>
      <c r="T32" s="13"/>
      <c r="U32" s="13"/>
      <c r="V32" s="5"/>
      <c r="W32" s="5"/>
      <c r="X32" s="5"/>
      <c r="Y32" s="5"/>
      <c r="Z32" s="5"/>
      <c r="AA32" s="5" t="str">
        <f aca="false">IF($A32="","",IFERROR(INDEX(账户总表!$B:$B,MATCH($A32,账户总表!$A:$A,0))*INDEX(账户总表!$O:$O,MATCH($A32,账户总表!$A:$A,0)),0))</f>
        <v/>
      </c>
      <c r="AB32" s="33" t="str">
        <f aca="false">IF($A32="","",IFERROR(MAX(0,AA32-J32),0))</f>
        <v/>
      </c>
      <c r="AC32" s="5" t="str">
        <f aca="false">IF($A32="","",IF(I32&gt;0,IFERROR(FLOOR(AB32/I32,100),0),0))</f>
        <v/>
      </c>
      <c r="AD32" s="6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IF($A32="","",IF(AND(AG32="核心池",AD32="合规",AC32&gt;=100),"可评估加仓","不可加仓"))</f>
        <v/>
      </c>
    </row>
    <row r="33" customFormat="false" ht="15" hidden="false" customHeight="true" outlineLevel="0" collapsed="false">
      <c r="A33" s="9"/>
      <c r="B33" s="9"/>
      <c r="C33" s="9"/>
      <c r="D33" s="9"/>
      <c r="E33" s="26"/>
      <c r="F33" s="9"/>
      <c r="G33" s="27"/>
      <c r="H33" s="26"/>
      <c r="I33" s="26"/>
      <c r="J33" s="18"/>
      <c r="K33" s="18"/>
      <c r="L33" s="18"/>
      <c r="M33" s="19"/>
      <c r="N33" s="19"/>
      <c r="O33" s="26"/>
      <c r="P33" s="18"/>
      <c r="Q33" s="5"/>
      <c r="R33" s="28"/>
      <c r="S33" s="9"/>
      <c r="T33" s="14"/>
      <c r="U33" s="14"/>
      <c r="V33" s="5"/>
      <c r="W33" s="5"/>
      <c r="X33" s="5"/>
      <c r="Y33" s="5"/>
      <c r="Z33" s="5"/>
      <c r="AA33" s="5" t="str">
        <f aca="false">IF($A33="","",IFERROR(INDEX(账户总表!$B:$B,MATCH($A33,账户总表!$A:$A,0))*INDEX(账户总表!$O:$O,MATCH($A33,账户总表!$A:$A,0)),0))</f>
        <v/>
      </c>
      <c r="AB33" s="33" t="str">
        <f aca="false">IF($A33="","",IFERROR(MAX(0,AA33-J33),0))</f>
        <v/>
      </c>
      <c r="AC33" s="5" t="str">
        <f aca="false">IF($A33="","",IF(I33&gt;0,IFERROR(FLOOR(AB33/I33,100),0),0))</f>
        <v/>
      </c>
      <c r="AD33" s="9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IF($A33="","",IF(AND(AG33="核心池",AD33="合规",AC33&gt;=100),"可评估加仓","不可加仓"))</f>
        <v/>
      </c>
    </row>
    <row r="34" customFormat="false" ht="15" hidden="false" customHeight="true" outlineLevel="0" collapsed="false">
      <c r="A34" s="6"/>
      <c r="B34" s="6"/>
      <c r="C34" s="6"/>
      <c r="D34" s="6"/>
      <c r="E34" s="17"/>
      <c r="F34" s="6"/>
      <c r="G34" s="20"/>
      <c r="H34" s="17"/>
      <c r="I34" s="17"/>
      <c r="J34" s="18"/>
      <c r="K34" s="18"/>
      <c r="L34" s="18"/>
      <c r="M34" s="19"/>
      <c r="N34" s="19"/>
      <c r="O34" s="17"/>
      <c r="P34" s="18"/>
      <c r="Q34" s="5"/>
      <c r="R34" s="22"/>
      <c r="S34" s="6"/>
      <c r="T34" s="13"/>
      <c r="U34" s="13"/>
      <c r="V34" s="5"/>
      <c r="W34" s="5"/>
      <c r="X34" s="5"/>
      <c r="Y34" s="5"/>
      <c r="Z34" s="5"/>
      <c r="AA34" s="5" t="str">
        <f aca="false">IF($A34="","",IFERROR(INDEX(账户总表!$B:$B,MATCH($A34,账户总表!$A:$A,0))*INDEX(账户总表!$O:$O,MATCH($A34,账户总表!$A:$A,0)),0))</f>
        <v/>
      </c>
      <c r="AB34" s="33" t="str">
        <f aca="false">IF($A34="","",IFERROR(MAX(0,AA34-J34),0))</f>
        <v/>
      </c>
      <c r="AC34" s="5" t="str">
        <f aca="false">IF($A34="","",IF(I34&gt;0,IFERROR(FLOOR(AB34/I34,100),0),0))</f>
        <v/>
      </c>
      <c r="AD34" s="6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IF($A34="","",IF(AND(AG34="核心池",AD34="合规",AC34&gt;=100),"可评估加仓","不可加仓"))</f>
        <v/>
      </c>
    </row>
    <row r="35" customFormat="false" ht="15" hidden="false" customHeight="true" outlineLevel="0" collapsed="false">
      <c r="A35" s="9"/>
      <c r="B35" s="9"/>
      <c r="C35" s="9"/>
      <c r="D35" s="9"/>
      <c r="E35" s="26"/>
      <c r="F35" s="9"/>
      <c r="G35" s="27"/>
      <c r="H35" s="26"/>
      <c r="I35" s="26"/>
      <c r="J35" s="18"/>
      <c r="K35" s="18"/>
      <c r="L35" s="18"/>
      <c r="M35" s="19"/>
      <c r="N35" s="19"/>
      <c r="O35" s="26"/>
      <c r="P35" s="18"/>
      <c r="Q35" s="5"/>
      <c r="R35" s="28"/>
      <c r="S35" s="9"/>
      <c r="T35" s="14"/>
      <c r="U35" s="14"/>
      <c r="V35" s="5"/>
      <c r="W35" s="5"/>
      <c r="X35" s="5"/>
      <c r="Y35" s="5"/>
      <c r="Z35" s="5"/>
      <c r="AA35" s="5" t="str">
        <f aca="false">IF($A35="","",IFERROR(INDEX(账户总表!$B:$B,MATCH($A35,账户总表!$A:$A,0))*INDEX(账户总表!$O:$O,MATCH($A35,账户总表!$A:$A,0)),0))</f>
        <v/>
      </c>
      <c r="AB35" s="33" t="str">
        <f aca="false">IF($A35="","",IFERROR(MAX(0,AA35-J35),0))</f>
        <v/>
      </c>
      <c r="AC35" s="5" t="str">
        <f aca="false">IF($A35="","",IF(I35&gt;0,IFERROR(FLOOR(AB35/I35,100),0),0))</f>
        <v/>
      </c>
      <c r="AD35" s="9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IF($A35="","",IF(AND(AG35="核心池",AD35="合规",AC35&gt;=100),"可评估加仓","不可加仓"))</f>
        <v/>
      </c>
    </row>
    <row r="36" customFormat="false" ht="15" hidden="false" customHeight="true" outlineLevel="0" collapsed="false">
      <c r="A36" s="6"/>
      <c r="B36" s="6"/>
      <c r="C36" s="6"/>
      <c r="D36" s="6"/>
      <c r="E36" s="17"/>
      <c r="F36" s="6"/>
      <c r="G36" s="20"/>
      <c r="H36" s="17"/>
      <c r="I36" s="17"/>
      <c r="J36" s="18"/>
      <c r="K36" s="18"/>
      <c r="L36" s="18"/>
      <c r="M36" s="19"/>
      <c r="N36" s="19"/>
      <c r="O36" s="17"/>
      <c r="P36" s="18"/>
      <c r="Q36" s="5"/>
      <c r="R36" s="22"/>
      <c r="S36" s="6"/>
      <c r="T36" s="13"/>
      <c r="U36" s="13"/>
      <c r="V36" s="5"/>
      <c r="W36" s="5"/>
      <c r="X36" s="5"/>
      <c r="Y36" s="5"/>
      <c r="Z36" s="5"/>
      <c r="AA36" s="5" t="str">
        <f aca="false">IF($A36="","",IFERROR(INDEX(账户总表!$B:$B,MATCH($A36,账户总表!$A:$A,0))*INDEX(账户总表!$O:$O,MATCH($A36,账户总表!$A:$A,0)),0))</f>
        <v/>
      </c>
      <c r="AB36" s="33" t="str">
        <f aca="false">IF($A36="","",IFERROR(MAX(0,AA36-J36),0))</f>
        <v/>
      </c>
      <c r="AC36" s="5" t="str">
        <f aca="false">IF($A36="","",IF(I36&gt;0,IFERROR(FLOOR(AB36/I36,100),0),0))</f>
        <v/>
      </c>
      <c r="AD36" s="6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IF($A36="","",IF(AND(AG36="核心池",AD36="合规",AC36&gt;=100),"可评估加仓","不可加仓"))</f>
        <v/>
      </c>
    </row>
    <row r="37" customFormat="false" ht="15" hidden="false" customHeight="true" outlineLevel="0" collapsed="false">
      <c r="A37" s="9"/>
      <c r="B37" s="9"/>
      <c r="C37" s="9"/>
      <c r="D37" s="9"/>
      <c r="E37" s="26"/>
      <c r="F37" s="9"/>
      <c r="G37" s="27"/>
      <c r="H37" s="26"/>
      <c r="I37" s="26"/>
      <c r="J37" s="18"/>
      <c r="K37" s="18"/>
      <c r="L37" s="18"/>
      <c r="M37" s="19"/>
      <c r="N37" s="19"/>
      <c r="O37" s="26"/>
      <c r="P37" s="18"/>
      <c r="Q37" s="5"/>
      <c r="R37" s="28"/>
      <c r="S37" s="9"/>
      <c r="T37" s="14"/>
      <c r="U37" s="14"/>
      <c r="V37" s="5"/>
      <c r="W37" s="5"/>
      <c r="X37" s="5"/>
      <c r="Y37" s="5"/>
      <c r="Z37" s="5"/>
      <c r="AA37" s="5" t="str">
        <f aca="false">IF($A37="","",IFERROR(INDEX(账户总表!$B:$B,MATCH($A37,账户总表!$A:$A,0))*INDEX(账户总表!$O:$O,MATCH($A37,账户总表!$A:$A,0)),0))</f>
        <v/>
      </c>
      <c r="AB37" s="33" t="str">
        <f aca="false">IF($A37="","",IFERROR(MAX(0,AA37-J37),0))</f>
        <v/>
      </c>
      <c r="AC37" s="5" t="str">
        <f aca="false">IF($A37="","",IF(I37&gt;0,IFERROR(FLOOR(AB37/I37,100),0),0))</f>
        <v/>
      </c>
      <c r="AD37" s="9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IF($A37="","",IF(AND(AG37="核心池",AD37="合规",AC37&gt;=100),"可评估加仓","不可加仓"))</f>
        <v/>
      </c>
    </row>
    <row r="38" customFormat="false" ht="15" hidden="false" customHeight="true" outlineLevel="0" collapsed="false">
      <c r="A38" s="6"/>
      <c r="B38" s="6"/>
      <c r="C38" s="6"/>
      <c r="D38" s="6"/>
      <c r="E38" s="17"/>
      <c r="F38" s="6"/>
      <c r="G38" s="20"/>
      <c r="H38" s="17"/>
      <c r="I38" s="17"/>
      <c r="J38" s="18"/>
      <c r="K38" s="18"/>
      <c r="L38" s="18"/>
      <c r="M38" s="19"/>
      <c r="N38" s="19"/>
      <c r="O38" s="17"/>
      <c r="P38" s="18"/>
      <c r="Q38" s="5"/>
      <c r="R38" s="22"/>
      <c r="S38" s="6"/>
      <c r="T38" s="13"/>
      <c r="U38" s="13"/>
      <c r="V38" s="5"/>
      <c r="W38" s="5"/>
      <c r="X38" s="5"/>
      <c r="Y38" s="5"/>
      <c r="Z38" s="5"/>
      <c r="AA38" s="5" t="str">
        <f aca="false">IF($A38="","",IFERROR(INDEX(账户总表!$B:$B,MATCH($A38,账户总表!$A:$A,0))*INDEX(账户总表!$O:$O,MATCH($A38,账户总表!$A:$A,0)),0))</f>
        <v/>
      </c>
      <c r="AB38" s="33" t="str">
        <f aca="false">IF($A38="","",IFERROR(MAX(0,AA38-J38),0))</f>
        <v/>
      </c>
      <c r="AC38" s="5" t="str">
        <f aca="false">IF($A38="","",IF(I38&gt;0,IFERROR(FLOOR(AB38/I38,100),0),0))</f>
        <v/>
      </c>
      <c r="AD38" s="6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IF($A38="","",IF(AND(AG38="核心池",AD38="合规",AC38&gt;=100),"可评估加仓","不可加仓"))</f>
        <v/>
      </c>
    </row>
    <row r="39" customFormat="false" ht="15" hidden="false" customHeight="true" outlineLevel="0" collapsed="false">
      <c r="A39" s="9"/>
      <c r="B39" s="9"/>
      <c r="C39" s="9"/>
      <c r="D39" s="9"/>
      <c r="E39" s="26"/>
      <c r="F39" s="9"/>
      <c r="G39" s="27"/>
      <c r="H39" s="26"/>
      <c r="I39" s="26"/>
      <c r="J39" s="18"/>
      <c r="K39" s="18"/>
      <c r="L39" s="18"/>
      <c r="M39" s="19"/>
      <c r="N39" s="19"/>
      <c r="O39" s="26"/>
      <c r="P39" s="18"/>
      <c r="Q39" s="5"/>
      <c r="R39" s="28"/>
      <c r="S39" s="9"/>
      <c r="T39" s="14"/>
      <c r="U39" s="14"/>
      <c r="V39" s="5"/>
      <c r="W39" s="5"/>
      <c r="X39" s="5"/>
      <c r="Y39" s="5"/>
      <c r="Z39" s="5"/>
      <c r="AA39" s="5" t="str">
        <f aca="false">IF($A39="","",IFERROR(INDEX(账户总表!$B:$B,MATCH($A39,账户总表!$A:$A,0))*INDEX(账户总表!$O:$O,MATCH($A39,账户总表!$A:$A,0)),0))</f>
        <v/>
      </c>
      <c r="AB39" s="33" t="str">
        <f aca="false">IF($A39="","",IFERROR(MAX(0,AA39-J39),0))</f>
        <v/>
      </c>
      <c r="AC39" s="5" t="str">
        <f aca="false">IF($A39="","",IF(I39&gt;0,IFERROR(FLOOR(AB39/I39,100),0),0))</f>
        <v/>
      </c>
      <c r="AD39" s="9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IF($A39="","",IF(AND(AG39="核心池",AD39="合规",AC39&gt;=100),"可评估加仓","不可加仓"))</f>
        <v/>
      </c>
    </row>
    <row r="40" customFormat="false" ht="15" hidden="false" customHeight="true" outlineLevel="0" collapsed="false">
      <c r="A40" s="6"/>
      <c r="B40" s="6"/>
      <c r="C40" s="6"/>
      <c r="D40" s="6"/>
      <c r="E40" s="17"/>
      <c r="F40" s="6"/>
      <c r="G40" s="20"/>
      <c r="H40" s="17"/>
      <c r="I40" s="17"/>
      <c r="J40" s="18"/>
      <c r="K40" s="18"/>
      <c r="L40" s="18"/>
      <c r="M40" s="19"/>
      <c r="N40" s="19"/>
      <c r="O40" s="17"/>
      <c r="P40" s="18"/>
      <c r="Q40" s="5"/>
      <c r="R40" s="22"/>
      <c r="S40" s="6"/>
      <c r="T40" s="13"/>
      <c r="U40" s="13"/>
      <c r="V40" s="5"/>
      <c r="W40" s="5"/>
      <c r="X40" s="5"/>
      <c r="Y40" s="5"/>
      <c r="Z40" s="5"/>
      <c r="AA40" s="5" t="str">
        <f aca="false">IF($A40="","",IFERROR(INDEX(账户总表!$B:$B,MATCH($A40,账户总表!$A:$A,0))*INDEX(账户总表!$O:$O,MATCH($A40,账户总表!$A:$A,0)),0))</f>
        <v/>
      </c>
      <c r="AB40" s="33" t="str">
        <f aca="false">IF($A40="","",IFERROR(MAX(0,AA40-J40),0))</f>
        <v/>
      </c>
      <c r="AC40" s="5" t="str">
        <f aca="false">IF($A40="","",IF(I40&gt;0,IFERROR(FLOOR(AB40/I40,100),0),0))</f>
        <v/>
      </c>
      <c r="AD40" s="6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IF($A40="","",IF(AND(AG40="核心池",AD40="合规",AC40&gt;=100),"可评估加仓","不可加仓"))</f>
        <v/>
      </c>
    </row>
    <row r="41" customFormat="false" ht="15" hidden="false" customHeight="true" outlineLevel="0" collapsed="false">
      <c r="A41" s="9"/>
      <c r="B41" s="9"/>
      <c r="C41" s="9"/>
      <c r="D41" s="9"/>
      <c r="E41" s="26"/>
      <c r="F41" s="9"/>
      <c r="G41" s="27"/>
      <c r="H41" s="26"/>
      <c r="I41" s="26"/>
      <c r="J41" s="18"/>
      <c r="K41" s="18"/>
      <c r="L41" s="18"/>
      <c r="M41" s="19"/>
      <c r="N41" s="19"/>
      <c r="O41" s="26"/>
      <c r="P41" s="18"/>
      <c r="Q41" s="5"/>
      <c r="R41" s="28"/>
      <c r="S41" s="9"/>
      <c r="T41" s="14"/>
      <c r="U41" s="14"/>
      <c r="V41" s="5"/>
      <c r="W41" s="5"/>
      <c r="X41" s="5"/>
      <c r="Y41" s="5"/>
      <c r="Z41" s="5"/>
      <c r="AA41" s="5" t="str">
        <f aca="false">IF($A41="","",IFERROR(INDEX(账户总表!$B:$B,MATCH($A41,账户总表!$A:$A,0))*INDEX(账户总表!$O:$O,MATCH($A41,账户总表!$A:$A,0)),0))</f>
        <v/>
      </c>
      <c r="AB41" s="33" t="str">
        <f aca="false">IF($A41="","",IFERROR(MAX(0,AA41-J41),0))</f>
        <v/>
      </c>
      <c r="AC41" s="5" t="str">
        <f aca="false">IF($A41="","",IF(I41&gt;0,IFERROR(FLOOR(AB41/I41,100),0),0))</f>
        <v/>
      </c>
      <c r="AD41" s="9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IF($A41="","",IF(AND(AG41="核心池",AD41="合规",AC41&gt;=100),"可评估加仓","不可加仓"))</f>
        <v/>
      </c>
    </row>
    <row r="42" customFormat="false" ht="15" hidden="false" customHeight="true" outlineLevel="0" collapsed="false">
      <c r="A42" s="6"/>
      <c r="B42" s="6"/>
      <c r="C42" s="6"/>
      <c r="D42" s="6"/>
      <c r="E42" s="17"/>
      <c r="F42" s="6"/>
      <c r="G42" s="20"/>
      <c r="H42" s="17"/>
      <c r="I42" s="17"/>
      <c r="J42" s="18"/>
      <c r="K42" s="18"/>
      <c r="L42" s="18"/>
      <c r="M42" s="19"/>
      <c r="N42" s="19"/>
      <c r="O42" s="17"/>
      <c r="P42" s="18"/>
      <c r="Q42" s="5"/>
      <c r="R42" s="22"/>
      <c r="S42" s="6"/>
      <c r="T42" s="13"/>
      <c r="U42" s="13"/>
      <c r="V42" s="5"/>
      <c r="W42" s="5"/>
      <c r="X42" s="5"/>
      <c r="Y42" s="5"/>
      <c r="Z42" s="5"/>
      <c r="AA42" s="5" t="str">
        <f aca="false">IF($A42="","",IFERROR(INDEX(账户总表!$B:$B,MATCH($A42,账户总表!$A:$A,0))*INDEX(账户总表!$O:$O,MATCH($A42,账户总表!$A:$A,0)),0))</f>
        <v/>
      </c>
      <c r="AB42" s="33" t="str">
        <f aca="false">IF($A42="","",IFERROR(MAX(0,AA42-J42),0))</f>
        <v/>
      </c>
      <c r="AC42" s="5" t="str">
        <f aca="false">IF($A42="","",IF(I42&gt;0,IFERROR(FLOOR(AB42/I42,100),0),0))</f>
        <v/>
      </c>
      <c r="AD42" s="6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IF($A42="","",IF(AND(AG42="核心池",AD42="合规",AC42&gt;=100),"可评估加仓","不可加仓"))</f>
        <v/>
      </c>
    </row>
    <row r="43" customFormat="false" ht="15" hidden="false" customHeight="true" outlineLevel="0" collapsed="false">
      <c r="A43" s="9"/>
      <c r="B43" s="9"/>
      <c r="C43" s="9"/>
      <c r="D43" s="9"/>
      <c r="E43" s="26"/>
      <c r="F43" s="9"/>
      <c r="G43" s="27"/>
      <c r="H43" s="26"/>
      <c r="I43" s="26"/>
      <c r="J43" s="18"/>
      <c r="K43" s="18"/>
      <c r="L43" s="18"/>
      <c r="M43" s="19"/>
      <c r="N43" s="19"/>
      <c r="O43" s="26"/>
      <c r="P43" s="18"/>
      <c r="Q43" s="5"/>
      <c r="R43" s="28"/>
      <c r="S43" s="9"/>
      <c r="T43" s="14"/>
      <c r="U43" s="14"/>
      <c r="V43" s="5"/>
      <c r="W43" s="5"/>
      <c r="X43" s="5"/>
      <c r="Y43" s="5"/>
      <c r="Z43" s="5"/>
      <c r="AA43" s="5" t="str">
        <f aca="false">IF($A43="","",IFERROR(INDEX(账户总表!$B:$B,MATCH($A43,账户总表!$A:$A,0))*INDEX(账户总表!$O:$O,MATCH($A43,账户总表!$A:$A,0)),0))</f>
        <v/>
      </c>
      <c r="AB43" s="33" t="str">
        <f aca="false">IF($A43="","",IFERROR(MAX(0,AA43-J43),0))</f>
        <v/>
      </c>
      <c r="AC43" s="5" t="str">
        <f aca="false">IF($A43="","",IF(I43&gt;0,IFERROR(FLOOR(AB43/I43,100),0),0))</f>
        <v/>
      </c>
      <c r="AD43" s="9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IF($A43="","",IF(AND(AG43="核心池",AD43="合规",AC43&gt;=100),"可评估加仓","不可加仓"))</f>
        <v/>
      </c>
    </row>
    <row r="44" customFormat="false" ht="15" hidden="false" customHeight="true" outlineLevel="0" collapsed="false">
      <c r="A44" s="6"/>
      <c r="B44" s="6"/>
      <c r="C44" s="6"/>
      <c r="D44" s="6"/>
      <c r="E44" s="17"/>
      <c r="F44" s="6"/>
      <c r="G44" s="20"/>
      <c r="H44" s="17"/>
      <c r="I44" s="17"/>
      <c r="J44" s="18"/>
      <c r="K44" s="18"/>
      <c r="L44" s="18"/>
      <c r="M44" s="19"/>
      <c r="N44" s="19"/>
      <c r="O44" s="17"/>
      <c r="P44" s="18"/>
      <c r="Q44" s="5"/>
      <c r="R44" s="22"/>
      <c r="S44" s="6"/>
      <c r="T44" s="13"/>
      <c r="U44" s="13"/>
      <c r="V44" s="5"/>
      <c r="W44" s="5"/>
      <c r="X44" s="5"/>
      <c r="Y44" s="5"/>
      <c r="Z44" s="5"/>
      <c r="AA44" s="5" t="str">
        <f aca="false">IF($A44="","",IFERROR(INDEX(账户总表!$B:$B,MATCH($A44,账户总表!$A:$A,0))*INDEX(账户总表!$O:$O,MATCH($A44,账户总表!$A:$A,0)),0))</f>
        <v/>
      </c>
      <c r="AB44" s="33" t="str">
        <f aca="false">IF($A44="","",IFERROR(MAX(0,AA44-J44),0))</f>
        <v/>
      </c>
      <c r="AC44" s="5" t="str">
        <f aca="false">IF($A44="","",IF(I44&gt;0,IFERROR(FLOOR(AB44/I44,100),0),0))</f>
        <v/>
      </c>
      <c r="AD44" s="6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IF($A44="","",IF(AND(AG44="核心池",AD44="合规",AC44&gt;=100),"可评估加仓","不可加仓"))</f>
        <v/>
      </c>
    </row>
    <row r="45" customFormat="false" ht="15" hidden="false" customHeight="true" outlineLevel="0" collapsed="false">
      <c r="A45" s="9"/>
      <c r="B45" s="9"/>
      <c r="C45" s="9"/>
      <c r="D45" s="9"/>
      <c r="E45" s="26"/>
      <c r="F45" s="9"/>
      <c r="G45" s="27"/>
      <c r="H45" s="26"/>
      <c r="I45" s="26"/>
      <c r="J45" s="18"/>
      <c r="K45" s="18"/>
      <c r="L45" s="18"/>
      <c r="M45" s="19"/>
      <c r="N45" s="19"/>
      <c r="O45" s="26"/>
      <c r="P45" s="18"/>
      <c r="Q45" s="5"/>
      <c r="R45" s="28"/>
      <c r="S45" s="9"/>
      <c r="T45" s="14"/>
      <c r="U45" s="14"/>
      <c r="V45" s="5"/>
      <c r="W45" s="5"/>
      <c r="X45" s="5"/>
      <c r="Y45" s="5"/>
      <c r="Z45" s="5"/>
      <c r="AA45" s="5" t="str">
        <f aca="false">IF($A45="","",IFERROR(INDEX(账户总表!$B:$B,MATCH($A45,账户总表!$A:$A,0))*INDEX(账户总表!$O:$O,MATCH($A45,账户总表!$A:$A,0)),0))</f>
        <v/>
      </c>
      <c r="AB45" s="33" t="str">
        <f aca="false">IF($A45="","",IFERROR(MAX(0,AA45-J45),0))</f>
        <v/>
      </c>
      <c r="AC45" s="5" t="str">
        <f aca="false">IF($A45="","",IF(I45&gt;0,IFERROR(FLOOR(AB45/I45,100),0),0))</f>
        <v/>
      </c>
      <c r="AD45" s="9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IF($A45="","",IF(AND(AG45="核心池",AD45="合规",AC45&gt;=100),"可评估加仓","不可加仓"))</f>
        <v/>
      </c>
    </row>
    <row r="46" customFormat="false" ht="15" hidden="false" customHeight="true" outlineLevel="0" collapsed="false">
      <c r="A46" s="6"/>
      <c r="B46" s="6"/>
      <c r="C46" s="6"/>
      <c r="D46" s="6"/>
      <c r="E46" s="17"/>
      <c r="F46" s="6"/>
      <c r="G46" s="20"/>
      <c r="H46" s="17"/>
      <c r="I46" s="17"/>
      <c r="J46" s="18"/>
      <c r="K46" s="18"/>
      <c r="L46" s="18"/>
      <c r="M46" s="19"/>
      <c r="N46" s="19"/>
      <c r="O46" s="17"/>
      <c r="P46" s="18"/>
      <c r="Q46" s="5"/>
      <c r="R46" s="22"/>
      <c r="S46" s="6"/>
      <c r="T46" s="13"/>
      <c r="U46" s="13"/>
      <c r="V46" s="5"/>
      <c r="W46" s="5"/>
      <c r="X46" s="5"/>
      <c r="Y46" s="5"/>
      <c r="Z46" s="5"/>
      <c r="AA46" s="5" t="str">
        <f aca="false">IF($A46="","",IFERROR(INDEX(账户总表!$B:$B,MATCH($A46,账户总表!$A:$A,0))*INDEX(账户总表!$O:$O,MATCH($A46,账户总表!$A:$A,0)),0))</f>
        <v/>
      </c>
      <c r="AB46" s="33" t="str">
        <f aca="false">IF($A46="","",IFERROR(MAX(0,AA46-J46),0))</f>
        <v/>
      </c>
      <c r="AC46" s="5" t="str">
        <f aca="false">IF($A46="","",IF(I46&gt;0,IFERROR(FLOOR(AB46/I46,100),0),0))</f>
        <v/>
      </c>
      <c r="AD46" s="6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IF($A46="","",IF(AND(AG46="核心池",AD46="合规",AC46&gt;=100),"可评估加仓","不可加仓"))</f>
        <v/>
      </c>
    </row>
    <row r="47" customFormat="false" ht="15" hidden="false" customHeight="true" outlineLevel="0" collapsed="false">
      <c r="A47" s="9"/>
      <c r="B47" s="9"/>
      <c r="C47" s="9"/>
      <c r="D47" s="9"/>
      <c r="E47" s="26"/>
      <c r="F47" s="9"/>
      <c r="G47" s="27"/>
      <c r="H47" s="26"/>
      <c r="I47" s="26"/>
      <c r="J47" s="18"/>
      <c r="K47" s="18"/>
      <c r="L47" s="18"/>
      <c r="M47" s="19"/>
      <c r="N47" s="19"/>
      <c r="O47" s="26"/>
      <c r="P47" s="18"/>
      <c r="Q47" s="5"/>
      <c r="R47" s="28"/>
      <c r="S47" s="9"/>
      <c r="T47" s="14"/>
      <c r="U47" s="14"/>
      <c r="V47" s="5"/>
      <c r="W47" s="5"/>
      <c r="X47" s="5"/>
      <c r="Y47" s="5"/>
      <c r="Z47" s="5"/>
      <c r="AA47" s="5" t="str">
        <f aca="false">IF($A47="","",IFERROR(INDEX(账户总表!$B:$B,MATCH($A47,账户总表!$A:$A,0))*INDEX(账户总表!$O:$O,MATCH($A47,账户总表!$A:$A,0)),0))</f>
        <v/>
      </c>
      <c r="AB47" s="33" t="str">
        <f aca="false">IF($A47="","",IFERROR(MAX(0,AA47-J47),0))</f>
        <v/>
      </c>
      <c r="AC47" s="5" t="str">
        <f aca="false">IF($A47="","",IF(I47&gt;0,IFERROR(FLOOR(AB47/I47,100),0),0))</f>
        <v/>
      </c>
      <c r="AD47" s="9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IF($A47="","",IF(AND(AG47="核心池",AD47="合规",AC47&gt;=100),"可评估加仓","不可加仓"))</f>
        <v/>
      </c>
    </row>
    <row r="48" customFormat="false" ht="15" hidden="false" customHeight="true" outlineLevel="0" collapsed="false">
      <c r="A48" s="6"/>
      <c r="B48" s="6"/>
      <c r="C48" s="6"/>
      <c r="D48" s="6"/>
      <c r="E48" s="17"/>
      <c r="F48" s="6"/>
      <c r="G48" s="20"/>
      <c r="H48" s="17"/>
      <c r="I48" s="17"/>
      <c r="J48" s="18"/>
      <c r="K48" s="18"/>
      <c r="L48" s="18"/>
      <c r="M48" s="19"/>
      <c r="N48" s="19"/>
      <c r="O48" s="17"/>
      <c r="P48" s="18"/>
      <c r="Q48" s="5"/>
      <c r="R48" s="22"/>
      <c r="S48" s="6"/>
      <c r="T48" s="13"/>
      <c r="U48" s="13"/>
      <c r="V48" s="5"/>
      <c r="W48" s="5"/>
      <c r="X48" s="5"/>
      <c r="Y48" s="5"/>
      <c r="Z48" s="5"/>
      <c r="AA48" s="5" t="str">
        <f aca="false">IF($A48="","",IFERROR(INDEX(账户总表!$B:$B,MATCH($A48,账户总表!$A:$A,0))*INDEX(账户总表!$O:$O,MATCH($A48,账户总表!$A:$A,0)),0))</f>
        <v/>
      </c>
      <c r="AB48" s="33" t="str">
        <f aca="false">IF($A48="","",IFERROR(MAX(0,AA48-J48),0))</f>
        <v/>
      </c>
      <c r="AC48" s="5" t="str">
        <f aca="false">IF($A48="","",IF(I48&gt;0,IFERROR(FLOOR(AB48/I48,100),0),0))</f>
        <v/>
      </c>
      <c r="AD48" s="6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IF($A48="","",IF(AND(AG48="核心池",AD48="合规",AC48&gt;=100),"可评估加仓","不可加仓"))</f>
        <v/>
      </c>
    </row>
    <row r="49" customFormat="false" ht="15" hidden="false" customHeight="true" outlineLevel="0" collapsed="false">
      <c r="A49" s="9"/>
      <c r="B49" s="9"/>
      <c r="C49" s="9"/>
      <c r="D49" s="9"/>
      <c r="E49" s="26"/>
      <c r="F49" s="9"/>
      <c r="G49" s="27"/>
      <c r="H49" s="26"/>
      <c r="I49" s="26"/>
      <c r="J49" s="18"/>
      <c r="K49" s="18"/>
      <c r="L49" s="18"/>
      <c r="M49" s="19"/>
      <c r="N49" s="19"/>
      <c r="O49" s="26"/>
      <c r="P49" s="18"/>
      <c r="Q49" s="5"/>
      <c r="R49" s="28"/>
      <c r="S49" s="9"/>
      <c r="T49" s="14"/>
      <c r="U49" s="14"/>
      <c r="V49" s="5"/>
      <c r="W49" s="5"/>
      <c r="X49" s="5"/>
      <c r="Y49" s="5"/>
      <c r="Z49" s="5"/>
      <c r="AA49" s="5" t="str">
        <f aca="false">IF($A49="","",IFERROR(INDEX(账户总表!$B:$B,MATCH($A49,账户总表!$A:$A,0))*INDEX(账户总表!$O:$O,MATCH($A49,账户总表!$A:$A,0)),0))</f>
        <v/>
      </c>
      <c r="AB49" s="33" t="str">
        <f aca="false">IF($A49="","",IFERROR(MAX(0,AA49-J49),0))</f>
        <v/>
      </c>
      <c r="AC49" s="5" t="str">
        <f aca="false">IF($A49="","",IF(I49&gt;0,IFERROR(FLOOR(AB49/I49,100),0),0))</f>
        <v/>
      </c>
      <c r="AD49" s="9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IF($A49="","",IF(AND(AG49="核心池",AD49="合规",AC49&gt;=100),"可评估加仓","不可加仓"))</f>
        <v/>
      </c>
    </row>
    <row r="50" customFormat="false" ht="15" hidden="false" customHeight="true" outlineLevel="0" collapsed="false">
      <c r="A50" s="6"/>
      <c r="B50" s="6"/>
      <c r="C50" s="6"/>
      <c r="D50" s="6"/>
      <c r="E50" s="17"/>
      <c r="F50" s="6"/>
      <c r="G50" s="20"/>
      <c r="H50" s="17"/>
      <c r="I50" s="17"/>
      <c r="J50" s="18"/>
      <c r="K50" s="18"/>
      <c r="L50" s="18"/>
      <c r="M50" s="19"/>
      <c r="N50" s="19"/>
      <c r="O50" s="17"/>
      <c r="P50" s="18"/>
      <c r="Q50" s="5"/>
      <c r="R50" s="22"/>
      <c r="S50" s="6"/>
      <c r="T50" s="13"/>
      <c r="U50" s="13"/>
      <c r="V50" s="5"/>
      <c r="W50" s="5"/>
      <c r="X50" s="5"/>
      <c r="Y50" s="5"/>
      <c r="Z50" s="5"/>
      <c r="AA50" s="5" t="str">
        <f aca="false">IF($A50="","",IFERROR(INDEX(账户总表!$B:$B,MATCH($A50,账户总表!$A:$A,0))*INDEX(账户总表!$O:$O,MATCH($A50,账户总表!$A:$A,0)),0))</f>
        <v/>
      </c>
      <c r="AB50" s="33" t="str">
        <f aca="false">IF($A50="","",IFERROR(MAX(0,AA50-J50),0))</f>
        <v/>
      </c>
      <c r="AC50" s="5" t="str">
        <f aca="false">IF($A50="","",IF(I50&gt;0,IFERROR(FLOOR(AB50/I50,100),0),0))</f>
        <v/>
      </c>
      <c r="AD50" s="6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IF($A50="","",IF(AND(AG50="核心池",AD50="合规",AC50&gt;=100),"可评估加仓","不可加仓"))</f>
        <v/>
      </c>
    </row>
    <row r="51" customFormat="false" ht="15" hidden="false" customHeight="true" outlineLevel="0" collapsed="false">
      <c r="A51" s="9"/>
      <c r="B51" s="9"/>
      <c r="C51" s="9"/>
      <c r="D51" s="9"/>
      <c r="E51" s="26"/>
      <c r="F51" s="9"/>
      <c r="G51" s="27"/>
      <c r="H51" s="26"/>
      <c r="I51" s="26"/>
      <c r="J51" s="18"/>
      <c r="K51" s="18"/>
      <c r="L51" s="18"/>
      <c r="M51" s="19"/>
      <c r="N51" s="19"/>
      <c r="O51" s="26"/>
      <c r="P51" s="18"/>
      <c r="Q51" s="5"/>
      <c r="R51" s="28"/>
      <c r="S51" s="9"/>
      <c r="T51" s="14"/>
      <c r="U51" s="14"/>
      <c r="V51" s="5"/>
      <c r="W51" s="5"/>
      <c r="X51" s="5"/>
      <c r="Y51" s="5"/>
      <c r="Z51" s="5"/>
      <c r="AA51" s="5" t="str">
        <f aca="false">IF($A51="","",IFERROR(INDEX(账户总表!$B:$B,MATCH($A51,账户总表!$A:$A,0))*INDEX(账户总表!$O:$O,MATCH($A51,账户总表!$A:$A,0)),0))</f>
        <v/>
      </c>
      <c r="AB51" s="33" t="str">
        <f aca="false">IF($A51="","",IFERROR(MAX(0,AA51-J51),0))</f>
        <v/>
      </c>
      <c r="AC51" s="5" t="str">
        <f aca="false">IF($A51="","",IF(I51&gt;0,IFERROR(FLOOR(AB51/I51,100),0),0))</f>
        <v/>
      </c>
      <c r="AD51" s="9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IF($A51="","",IF(AND(AG51="核心池",AD51="合规",AC51&gt;=100),"可评估加仓","不可加仓"))</f>
        <v/>
      </c>
    </row>
    <row r="52" customFormat="false" ht="15" hidden="false" customHeight="true" outlineLevel="0" collapsed="false">
      <c r="A52" s="6"/>
      <c r="B52" s="6"/>
      <c r="C52" s="6"/>
      <c r="D52" s="6"/>
      <c r="E52" s="17"/>
      <c r="F52" s="6"/>
      <c r="G52" s="20"/>
      <c r="H52" s="17"/>
      <c r="I52" s="17"/>
      <c r="J52" s="18"/>
      <c r="K52" s="18"/>
      <c r="L52" s="18"/>
      <c r="M52" s="19"/>
      <c r="N52" s="19"/>
      <c r="O52" s="17"/>
      <c r="P52" s="18"/>
      <c r="Q52" s="5"/>
      <c r="R52" s="22"/>
      <c r="S52" s="6"/>
      <c r="T52" s="13"/>
      <c r="U52" s="13"/>
      <c r="V52" s="5"/>
      <c r="W52" s="5"/>
      <c r="X52" s="5"/>
      <c r="Y52" s="5"/>
      <c r="Z52" s="5"/>
      <c r="AA52" s="5" t="str">
        <f aca="false">IF($A52="","",IFERROR(INDEX(账户总表!$B:$B,MATCH($A52,账户总表!$A:$A,0))*INDEX(账户总表!$O:$O,MATCH($A52,账户总表!$A:$A,0)),0))</f>
        <v/>
      </c>
      <c r="AB52" s="33" t="str">
        <f aca="false">IF($A52="","",IFERROR(MAX(0,AA52-J52),0))</f>
        <v/>
      </c>
      <c r="AC52" s="5" t="str">
        <f aca="false">IF($A52="","",IF(I52&gt;0,IFERROR(FLOOR(AB52/I52,100),0),0))</f>
        <v/>
      </c>
      <c r="AD52" s="6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IF($A52="","",IF(AND(AG52="核心池",AD52="合规",AC52&gt;=100),"可评估加仓","不可加仓"))</f>
        <v/>
      </c>
    </row>
    <row r="53" customFormat="false" ht="15" hidden="false" customHeight="true" outlineLevel="0" collapsed="false">
      <c r="A53" s="9"/>
      <c r="B53" s="9"/>
      <c r="C53" s="9"/>
      <c r="D53" s="9"/>
      <c r="E53" s="26"/>
      <c r="F53" s="9"/>
      <c r="G53" s="27"/>
      <c r="H53" s="26"/>
      <c r="I53" s="26"/>
      <c r="J53" s="18"/>
      <c r="K53" s="18"/>
      <c r="L53" s="18"/>
      <c r="M53" s="19"/>
      <c r="N53" s="19"/>
      <c r="O53" s="26"/>
      <c r="P53" s="18"/>
      <c r="Q53" s="5"/>
      <c r="R53" s="28"/>
      <c r="S53" s="9"/>
      <c r="T53" s="14"/>
      <c r="U53" s="14"/>
      <c r="V53" s="5"/>
      <c r="W53" s="5"/>
      <c r="X53" s="5"/>
      <c r="Y53" s="5"/>
      <c r="Z53" s="5"/>
      <c r="AA53" s="5" t="str">
        <f aca="false">IF($A53="","",IFERROR(INDEX(账户总表!$B:$B,MATCH($A53,账户总表!$A:$A,0))*INDEX(账户总表!$O:$O,MATCH($A53,账户总表!$A:$A,0)),0))</f>
        <v/>
      </c>
      <c r="AB53" s="33" t="str">
        <f aca="false">IF($A53="","",IFERROR(MAX(0,AA53-J53),0))</f>
        <v/>
      </c>
      <c r="AC53" s="5" t="str">
        <f aca="false">IF($A53="","",IF(I53&gt;0,IFERROR(FLOOR(AB53/I53,100),0),0))</f>
        <v/>
      </c>
      <c r="AD53" s="9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IF($A53="","",IF(AND(AG53="核心池",AD53="合规",AC53&gt;=100),"可评估加仓","不可加仓"))</f>
        <v/>
      </c>
    </row>
    <row r="54" customFormat="false" ht="15" hidden="false" customHeight="true" outlineLevel="0" collapsed="false">
      <c r="A54" s="6"/>
      <c r="B54" s="6"/>
      <c r="C54" s="6"/>
      <c r="D54" s="6"/>
      <c r="E54" s="17"/>
      <c r="F54" s="6"/>
      <c r="G54" s="20"/>
      <c r="H54" s="17"/>
      <c r="I54" s="17"/>
      <c r="J54" s="18"/>
      <c r="K54" s="18"/>
      <c r="L54" s="18"/>
      <c r="M54" s="19"/>
      <c r="N54" s="19"/>
      <c r="O54" s="17"/>
      <c r="P54" s="18"/>
      <c r="Q54" s="5"/>
      <c r="R54" s="22"/>
      <c r="S54" s="6"/>
      <c r="T54" s="13"/>
      <c r="U54" s="13"/>
      <c r="V54" s="5"/>
      <c r="W54" s="5"/>
      <c r="X54" s="5"/>
      <c r="Y54" s="5"/>
      <c r="Z54" s="5"/>
      <c r="AA54" s="5" t="str">
        <f aca="false">IF($A54="","",IFERROR(INDEX(账户总表!$B:$B,MATCH($A54,账户总表!$A:$A,0))*INDEX(账户总表!$O:$O,MATCH($A54,账户总表!$A:$A,0)),0))</f>
        <v/>
      </c>
      <c r="AB54" s="33" t="str">
        <f aca="false">IF($A54="","",IFERROR(MAX(0,AA54-J54),0))</f>
        <v/>
      </c>
      <c r="AC54" s="5" t="str">
        <f aca="false">IF($A54="","",IF(I54&gt;0,IFERROR(FLOOR(AB54/I54,100),0),0))</f>
        <v/>
      </c>
      <c r="AD54" s="6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IF($A54="","",IF(AND(AG54="核心池",AD54="合规",AC54&gt;=100),"可评估加仓","不可加仓"))</f>
        <v/>
      </c>
    </row>
    <row r="55" customFormat="false" ht="15" hidden="false" customHeight="true" outlineLevel="0" collapsed="false">
      <c r="A55" s="9"/>
      <c r="B55" s="9"/>
      <c r="C55" s="9"/>
      <c r="D55" s="9"/>
      <c r="E55" s="26"/>
      <c r="F55" s="9"/>
      <c r="G55" s="27"/>
      <c r="H55" s="26"/>
      <c r="I55" s="26"/>
      <c r="J55" s="18"/>
      <c r="K55" s="18"/>
      <c r="L55" s="18"/>
      <c r="M55" s="19"/>
      <c r="N55" s="19"/>
      <c r="O55" s="26"/>
      <c r="P55" s="18"/>
      <c r="Q55" s="5"/>
      <c r="R55" s="28"/>
      <c r="S55" s="9"/>
      <c r="T55" s="14"/>
      <c r="U55" s="14"/>
      <c r="V55" s="5"/>
      <c r="W55" s="5"/>
      <c r="X55" s="5"/>
      <c r="Y55" s="5"/>
      <c r="Z55" s="5"/>
      <c r="AA55" s="5" t="str">
        <f aca="false">IF($A55="","",IFERROR(INDEX(账户总表!$B:$B,MATCH($A55,账户总表!$A:$A,0))*INDEX(账户总表!$O:$O,MATCH($A55,账户总表!$A:$A,0)),0))</f>
        <v/>
      </c>
      <c r="AB55" s="33" t="str">
        <f aca="false">IF($A55="","",IFERROR(MAX(0,AA55-J55),0))</f>
        <v/>
      </c>
      <c r="AC55" s="5" t="str">
        <f aca="false">IF($A55="","",IF(I55&gt;0,IFERROR(FLOOR(AB55/I55,100),0),0))</f>
        <v/>
      </c>
      <c r="AD55" s="9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IF($A55="","",IF(AND(AG55="核心池",AD55="合规",AC55&gt;=100),"可评估加仓","不可加仓"))</f>
        <v/>
      </c>
    </row>
    <row r="56" customFormat="false" ht="15" hidden="false" customHeight="true" outlineLevel="0" collapsed="false">
      <c r="A56" s="6"/>
      <c r="B56" s="6"/>
      <c r="C56" s="6"/>
      <c r="D56" s="6"/>
      <c r="E56" s="17"/>
      <c r="F56" s="6"/>
      <c r="G56" s="20"/>
      <c r="H56" s="17"/>
      <c r="I56" s="17"/>
      <c r="J56" s="18"/>
      <c r="K56" s="18"/>
      <c r="L56" s="18"/>
      <c r="M56" s="19"/>
      <c r="N56" s="19"/>
      <c r="O56" s="17"/>
      <c r="P56" s="18"/>
      <c r="Q56" s="5"/>
      <c r="R56" s="22"/>
      <c r="S56" s="6"/>
      <c r="T56" s="13"/>
      <c r="U56" s="13"/>
      <c r="V56" s="5"/>
      <c r="W56" s="5"/>
      <c r="X56" s="5"/>
      <c r="Y56" s="5"/>
      <c r="Z56" s="5"/>
      <c r="AA56" s="5" t="str">
        <f aca="false">IF($A56="","",IFERROR(INDEX(账户总表!$B:$B,MATCH($A56,账户总表!$A:$A,0))*INDEX(账户总表!$O:$O,MATCH($A56,账户总表!$A:$A,0)),0))</f>
        <v/>
      </c>
      <c r="AB56" s="33" t="str">
        <f aca="false">IF($A56="","",IFERROR(MAX(0,AA56-J56),0))</f>
        <v/>
      </c>
      <c r="AC56" s="5" t="str">
        <f aca="false">IF($A56="","",IF(I56&gt;0,IFERROR(FLOOR(AB56/I56,100),0),0))</f>
        <v/>
      </c>
      <c r="AD56" s="6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IF($A56="","",IF(AND(AG56="核心池",AD56="合规",AC56&gt;=100),"可评估加仓","不可加仓"))</f>
        <v/>
      </c>
    </row>
    <row r="57" customFormat="false" ht="15" hidden="false" customHeight="true" outlineLevel="0" collapsed="false">
      <c r="A57" s="9"/>
      <c r="B57" s="9"/>
      <c r="C57" s="9"/>
      <c r="D57" s="9"/>
      <c r="E57" s="26"/>
      <c r="F57" s="9"/>
      <c r="G57" s="27"/>
      <c r="H57" s="26"/>
      <c r="I57" s="26"/>
      <c r="J57" s="18"/>
      <c r="K57" s="18"/>
      <c r="L57" s="18"/>
      <c r="M57" s="19"/>
      <c r="N57" s="19"/>
      <c r="O57" s="26"/>
      <c r="P57" s="18"/>
      <c r="Q57" s="5"/>
      <c r="R57" s="28"/>
      <c r="S57" s="9"/>
      <c r="T57" s="14"/>
      <c r="U57" s="14"/>
      <c r="V57" s="5"/>
      <c r="W57" s="5"/>
      <c r="X57" s="5"/>
      <c r="Y57" s="5"/>
      <c r="Z57" s="5"/>
      <c r="AA57" s="5" t="str">
        <f aca="false">IF($A57="","",IFERROR(INDEX(账户总表!$B:$B,MATCH($A57,账户总表!$A:$A,0))*INDEX(账户总表!$O:$O,MATCH($A57,账户总表!$A:$A,0)),0))</f>
        <v/>
      </c>
      <c r="AB57" s="33" t="str">
        <f aca="false">IF($A57="","",IFERROR(MAX(0,AA57-J57),0))</f>
        <v/>
      </c>
      <c r="AC57" s="5" t="str">
        <f aca="false">IF($A57="","",IF(I57&gt;0,IFERROR(FLOOR(AB57/I57,100),0),0))</f>
        <v/>
      </c>
      <c r="AD57" s="9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IF($A57="","",IF(AND(AG57="核心池",AD57="合规",AC57&gt;=100),"可评估加仓","不可加仓"))</f>
        <v/>
      </c>
    </row>
    <row r="58" customFormat="false" ht="15" hidden="false" customHeight="true" outlineLevel="0" collapsed="false">
      <c r="A58" s="6"/>
      <c r="B58" s="6"/>
      <c r="C58" s="6"/>
      <c r="D58" s="6"/>
      <c r="E58" s="17"/>
      <c r="F58" s="6"/>
      <c r="G58" s="20"/>
      <c r="H58" s="17"/>
      <c r="I58" s="17"/>
      <c r="J58" s="18"/>
      <c r="K58" s="18"/>
      <c r="L58" s="18"/>
      <c r="M58" s="19"/>
      <c r="N58" s="19"/>
      <c r="O58" s="17"/>
      <c r="P58" s="18"/>
      <c r="Q58" s="5"/>
      <c r="R58" s="22"/>
      <c r="S58" s="6"/>
      <c r="T58" s="13"/>
      <c r="U58" s="13"/>
      <c r="V58" s="5"/>
      <c r="W58" s="5"/>
      <c r="X58" s="5"/>
      <c r="Y58" s="5"/>
      <c r="Z58" s="5"/>
      <c r="AA58" s="5" t="str">
        <f aca="false">IF($A58="","",IFERROR(INDEX(账户总表!$B:$B,MATCH($A58,账户总表!$A:$A,0))*INDEX(账户总表!$O:$O,MATCH($A58,账户总表!$A:$A,0)),0))</f>
        <v/>
      </c>
      <c r="AB58" s="33" t="str">
        <f aca="false">IF($A58="","",IFERROR(MAX(0,AA58-J58),0))</f>
        <v/>
      </c>
      <c r="AC58" s="5" t="str">
        <f aca="false">IF($A58="","",IF(I58&gt;0,IFERROR(FLOOR(AB58/I58,100),0),0))</f>
        <v/>
      </c>
      <c r="AD58" s="6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IF($A58="","",IF(AND(AG58="核心池",AD58="合规",AC58&gt;=100),"可评估加仓","不可加仓"))</f>
        <v/>
      </c>
    </row>
    <row r="59" customFormat="false" ht="15" hidden="false" customHeight="true" outlineLevel="0" collapsed="false">
      <c r="A59" s="9"/>
      <c r="B59" s="9"/>
      <c r="C59" s="9"/>
      <c r="D59" s="9"/>
      <c r="E59" s="26"/>
      <c r="F59" s="9"/>
      <c r="G59" s="27"/>
      <c r="H59" s="26"/>
      <c r="I59" s="26"/>
      <c r="J59" s="18"/>
      <c r="K59" s="18"/>
      <c r="L59" s="18"/>
      <c r="M59" s="19"/>
      <c r="N59" s="19"/>
      <c r="O59" s="26"/>
      <c r="P59" s="18"/>
      <c r="Q59" s="5"/>
      <c r="R59" s="28"/>
      <c r="S59" s="9"/>
      <c r="T59" s="14"/>
      <c r="U59" s="14"/>
      <c r="V59" s="5"/>
      <c r="W59" s="5"/>
      <c r="X59" s="5"/>
      <c r="Y59" s="5"/>
      <c r="Z59" s="5"/>
      <c r="AA59" s="5" t="str">
        <f aca="false">IF($A59="","",IFERROR(INDEX(账户总表!$B:$B,MATCH($A59,账户总表!$A:$A,0))*INDEX(账户总表!$O:$O,MATCH($A59,账户总表!$A:$A,0)),0))</f>
        <v/>
      </c>
      <c r="AB59" s="33" t="str">
        <f aca="false">IF($A59="","",IFERROR(MAX(0,AA59-J59),0))</f>
        <v/>
      </c>
      <c r="AC59" s="5" t="str">
        <f aca="false">IF($A59="","",IF(I59&gt;0,IFERROR(FLOOR(AB59/I59,100),0),0))</f>
        <v/>
      </c>
      <c r="AD59" s="9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IF($A59="","",IF(AND(AG59="核心池",AD59="合规",AC59&gt;=100),"可评估加仓","不可加仓"))</f>
        <v/>
      </c>
    </row>
    <row r="60" customFormat="false" ht="15" hidden="false" customHeight="true" outlineLevel="0" collapsed="false">
      <c r="A60" s="6"/>
      <c r="B60" s="6"/>
      <c r="C60" s="6"/>
      <c r="D60" s="6"/>
      <c r="E60" s="17"/>
      <c r="F60" s="6"/>
      <c r="G60" s="20"/>
      <c r="H60" s="17"/>
      <c r="I60" s="17"/>
      <c r="J60" s="18"/>
      <c r="K60" s="18"/>
      <c r="L60" s="18"/>
      <c r="M60" s="19"/>
      <c r="N60" s="19"/>
      <c r="O60" s="17"/>
      <c r="P60" s="18"/>
      <c r="Q60" s="5"/>
      <c r="R60" s="22"/>
      <c r="S60" s="6"/>
      <c r="T60" s="13"/>
      <c r="U60" s="13"/>
      <c r="V60" s="5"/>
      <c r="W60" s="5"/>
      <c r="X60" s="5"/>
      <c r="Y60" s="5"/>
      <c r="Z60" s="5"/>
      <c r="AA60" s="5" t="str">
        <f aca="false">IF($A60="","",IFERROR(INDEX(账户总表!$B:$B,MATCH($A60,账户总表!$A:$A,0))*INDEX(账户总表!$O:$O,MATCH($A60,账户总表!$A:$A,0)),0))</f>
        <v/>
      </c>
      <c r="AB60" s="33" t="str">
        <f aca="false">IF($A60="","",IFERROR(MAX(0,AA60-J60),0))</f>
        <v/>
      </c>
      <c r="AC60" s="5" t="str">
        <f aca="false">IF($A60="","",IF(I60&gt;0,IFERROR(FLOOR(AB60/I60,100),0),0))</f>
        <v/>
      </c>
      <c r="AD60" s="6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IF($A60="","",IF(AND(AG60="核心池",AD60="合规",AC60&gt;=100),"可评估加仓","不可加仓"))</f>
        <v/>
      </c>
    </row>
    <row r="61" customFormat="false" ht="15" hidden="false" customHeight="true" outlineLevel="0" collapsed="false">
      <c r="A61" s="9"/>
      <c r="B61" s="9"/>
      <c r="C61" s="9"/>
      <c r="D61" s="9"/>
      <c r="E61" s="26"/>
      <c r="F61" s="9"/>
      <c r="G61" s="27"/>
      <c r="H61" s="26"/>
      <c r="I61" s="26"/>
      <c r="J61" s="18"/>
      <c r="K61" s="18"/>
      <c r="L61" s="18"/>
      <c r="M61" s="19"/>
      <c r="N61" s="19"/>
      <c r="O61" s="26"/>
      <c r="P61" s="18"/>
      <c r="Q61" s="5"/>
      <c r="R61" s="28"/>
      <c r="S61" s="9"/>
      <c r="T61" s="14"/>
      <c r="U61" s="14"/>
      <c r="V61" s="5"/>
      <c r="W61" s="5"/>
      <c r="X61" s="5"/>
      <c r="Y61" s="5"/>
      <c r="Z61" s="5"/>
      <c r="AA61" s="5" t="str">
        <f aca="false">IF($A61="","",IFERROR(INDEX(账户总表!$B:$B,MATCH($A61,账户总表!$A:$A,0))*INDEX(账户总表!$O:$O,MATCH($A61,账户总表!$A:$A,0)),0))</f>
        <v/>
      </c>
      <c r="AB61" s="33" t="str">
        <f aca="false">IF($A61="","",IFERROR(MAX(0,AA61-J61),0))</f>
        <v/>
      </c>
      <c r="AC61" s="5" t="str">
        <f aca="false">IF($A61="","",IF(I61&gt;0,IFERROR(FLOOR(AB61/I61,100),0),0))</f>
        <v/>
      </c>
      <c r="AD61" s="9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IF($A61="","",IF(AND(AG61="核心池",AD61="合规",AC61&gt;=100),"可评估加仓","不可加仓"))</f>
        <v/>
      </c>
    </row>
    <row r="62" customFormat="false" ht="15" hidden="false" customHeight="true" outlineLevel="0" collapsed="false">
      <c r="A62" s="6"/>
      <c r="B62" s="6"/>
      <c r="C62" s="6"/>
      <c r="D62" s="6"/>
      <c r="E62" s="17"/>
      <c r="F62" s="6"/>
      <c r="G62" s="20"/>
      <c r="H62" s="17"/>
      <c r="I62" s="17"/>
      <c r="J62" s="18"/>
      <c r="K62" s="18"/>
      <c r="L62" s="18"/>
      <c r="M62" s="19"/>
      <c r="N62" s="19"/>
      <c r="O62" s="17"/>
      <c r="P62" s="18"/>
      <c r="Q62" s="5"/>
      <c r="R62" s="22"/>
      <c r="S62" s="6"/>
      <c r="T62" s="13"/>
      <c r="U62" s="13"/>
      <c r="V62" s="5"/>
      <c r="W62" s="5"/>
      <c r="X62" s="5"/>
      <c r="Y62" s="5"/>
      <c r="Z62" s="5"/>
      <c r="AA62" s="5" t="str">
        <f aca="false">IF($A62="","",IFERROR(INDEX(账户总表!$B:$B,MATCH($A62,账户总表!$A:$A,0))*INDEX(账户总表!$O:$O,MATCH($A62,账户总表!$A:$A,0)),0))</f>
        <v/>
      </c>
      <c r="AB62" s="33" t="str">
        <f aca="false">IF($A62="","",IFERROR(MAX(0,AA62-J62),0))</f>
        <v/>
      </c>
      <c r="AC62" s="5" t="str">
        <f aca="false">IF($A62="","",IF(I62&gt;0,IFERROR(FLOOR(AB62/I62,100),0),0))</f>
        <v/>
      </c>
      <c r="AD62" s="6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IF($A62="","",IF(AND(AG62="核心池",AD62="合规",AC62&gt;=100),"可评估加仓","不可加仓"))</f>
        <v/>
      </c>
    </row>
    <row r="63" customFormat="false" ht="15" hidden="false" customHeight="true" outlineLevel="0" collapsed="false">
      <c r="A63" s="9"/>
      <c r="B63" s="9"/>
      <c r="C63" s="9"/>
      <c r="D63" s="9"/>
      <c r="E63" s="26"/>
      <c r="F63" s="9"/>
      <c r="G63" s="27"/>
      <c r="H63" s="26"/>
      <c r="I63" s="26"/>
      <c r="J63" s="18"/>
      <c r="K63" s="18"/>
      <c r="L63" s="18"/>
      <c r="M63" s="19"/>
      <c r="N63" s="19"/>
      <c r="O63" s="26"/>
      <c r="P63" s="18"/>
      <c r="Q63" s="5"/>
      <c r="R63" s="28"/>
      <c r="S63" s="9"/>
      <c r="T63" s="14"/>
      <c r="U63" s="14"/>
      <c r="V63" s="5"/>
      <c r="W63" s="5"/>
      <c r="X63" s="5"/>
      <c r="Y63" s="5"/>
      <c r="Z63" s="5"/>
      <c r="AA63" s="5" t="str">
        <f aca="false">IF($A63="","",IFERROR(INDEX(账户总表!$B:$B,MATCH($A63,账户总表!$A:$A,0))*INDEX(账户总表!$O:$O,MATCH($A63,账户总表!$A:$A,0)),0))</f>
        <v/>
      </c>
      <c r="AB63" s="33" t="str">
        <f aca="false">IF($A63="","",IFERROR(MAX(0,AA63-J63),0))</f>
        <v/>
      </c>
      <c r="AC63" s="5" t="str">
        <f aca="false">IF($A63="","",IF(I63&gt;0,IFERROR(FLOOR(AB63/I63,100),0),0))</f>
        <v/>
      </c>
      <c r="AD63" s="9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IF($A63="","",IF(AND(AG63="核心池",AD63="合规",AC63&gt;=100),"可评估加仓","不可加仓"))</f>
        <v/>
      </c>
    </row>
    <row r="64" customFormat="false" ht="15" hidden="false" customHeight="true" outlineLevel="0" collapsed="false">
      <c r="A64" s="6"/>
      <c r="B64" s="6"/>
      <c r="C64" s="6"/>
      <c r="D64" s="6"/>
      <c r="E64" s="17"/>
      <c r="F64" s="6"/>
      <c r="G64" s="20"/>
      <c r="H64" s="17"/>
      <c r="I64" s="17"/>
      <c r="J64" s="18"/>
      <c r="K64" s="18"/>
      <c r="L64" s="18"/>
      <c r="M64" s="19"/>
      <c r="N64" s="19"/>
      <c r="O64" s="17"/>
      <c r="P64" s="18"/>
      <c r="Q64" s="5"/>
      <c r="R64" s="22"/>
      <c r="S64" s="6"/>
      <c r="T64" s="13"/>
      <c r="U64" s="13"/>
      <c r="V64" s="5"/>
      <c r="W64" s="5"/>
      <c r="X64" s="5"/>
      <c r="Y64" s="5"/>
      <c r="Z64" s="5"/>
      <c r="AA64" s="5" t="str">
        <f aca="false">IF($A64="","",IFERROR(INDEX(账户总表!$B:$B,MATCH($A64,账户总表!$A:$A,0))*INDEX(账户总表!$O:$O,MATCH($A64,账户总表!$A:$A,0)),0))</f>
        <v/>
      </c>
      <c r="AB64" s="33" t="str">
        <f aca="false">IF($A64="","",IFERROR(MAX(0,AA64-J64),0))</f>
        <v/>
      </c>
      <c r="AC64" s="5" t="str">
        <f aca="false">IF($A64="","",IF(I64&gt;0,IFERROR(FLOOR(AB64/I64,100),0),0))</f>
        <v/>
      </c>
      <c r="AD64" s="6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IF($A64="","",IF(AND(AG64="核心池",AD64="合规",AC64&gt;=100),"可评估加仓","不可加仓"))</f>
        <v/>
      </c>
    </row>
    <row r="65" customFormat="false" ht="15" hidden="false" customHeight="true" outlineLevel="0" collapsed="false">
      <c r="A65" s="9"/>
      <c r="B65" s="9"/>
      <c r="C65" s="9"/>
      <c r="D65" s="9"/>
      <c r="E65" s="26"/>
      <c r="F65" s="9"/>
      <c r="G65" s="27"/>
      <c r="H65" s="26"/>
      <c r="I65" s="26"/>
      <c r="J65" s="18"/>
      <c r="K65" s="18"/>
      <c r="L65" s="18"/>
      <c r="M65" s="19"/>
      <c r="N65" s="19"/>
      <c r="O65" s="26"/>
      <c r="P65" s="18"/>
      <c r="Q65" s="5"/>
      <c r="R65" s="28"/>
      <c r="S65" s="9"/>
      <c r="T65" s="14"/>
      <c r="U65" s="14"/>
      <c r="V65" s="5"/>
      <c r="W65" s="5"/>
      <c r="X65" s="5"/>
      <c r="Y65" s="5"/>
      <c r="Z65" s="5"/>
      <c r="AA65" s="5" t="str">
        <f aca="false">IF($A65="","",IFERROR(INDEX(账户总表!$B:$B,MATCH($A65,账户总表!$A:$A,0))*INDEX(账户总表!$O:$O,MATCH($A65,账户总表!$A:$A,0)),0))</f>
        <v/>
      </c>
      <c r="AB65" s="33" t="str">
        <f aca="false">IF($A65="","",IFERROR(MAX(0,AA65-J65),0))</f>
        <v/>
      </c>
      <c r="AC65" s="5" t="str">
        <f aca="false">IF($A65="","",IF(I65&gt;0,IFERROR(FLOOR(AB65/I65,100),0),0))</f>
        <v/>
      </c>
      <c r="AD65" s="9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IF($A65="","",IF(AND(AG65="核心池",AD65="合规",AC65&gt;=100),"可评估加仓","不可加仓"))</f>
        <v/>
      </c>
    </row>
    <row r="66" customFormat="false" ht="15" hidden="false" customHeight="true" outlineLevel="0" collapsed="false">
      <c r="A66" s="6"/>
      <c r="B66" s="6"/>
      <c r="C66" s="6"/>
      <c r="D66" s="6"/>
      <c r="E66" s="17"/>
      <c r="F66" s="6"/>
      <c r="G66" s="20"/>
      <c r="H66" s="17"/>
      <c r="I66" s="17"/>
      <c r="J66" s="18"/>
      <c r="K66" s="18"/>
      <c r="L66" s="18"/>
      <c r="M66" s="19"/>
      <c r="N66" s="19"/>
      <c r="O66" s="17"/>
      <c r="P66" s="18"/>
      <c r="Q66" s="5"/>
      <c r="R66" s="22"/>
      <c r="S66" s="6"/>
      <c r="T66" s="13"/>
      <c r="U66" s="13"/>
      <c r="V66" s="5"/>
      <c r="W66" s="5"/>
      <c r="X66" s="5"/>
      <c r="Y66" s="5"/>
      <c r="Z66" s="5"/>
      <c r="AA66" s="5" t="str">
        <f aca="false">IF($A66="","",IFERROR(INDEX(账户总表!$B:$B,MATCH($A66,账户总表!$A:$A,0))*INDEX(账户总表!$O:$O,MATCH($A66,账户总表!$A:$A,0)),0))</f>
        <v/>
      </c>
      <c r="AB66" s="33" t="str">
        <f aca="false">IF($A66="","",IFERROR(MAX(0,AA66-J66),0))</f>
        <v/>
      </c>
      <c r="AC66" s="5" t="str">
        <f aca="false">IF($A66="","",IF(I66&gt;0,IFERROR(FLOOR(AB66/I66,100),0),0))</f>
        <v/>
      </c>
      <c r="AD66" s="6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IF($A66="","",IF(AND(AG66="核心池",AD66="合规",AC66&gt;=100),"可评估加仓","不可加仓"))</f>
        <v/>
      </c>
    </row>
    <row r="67" customFormat="false" ht="15" hidden="false" customHeight="true" outlineLevel="0" collapsed="false">
      <c r="A67" s="9"/>
      <c r="B67" s="9"/>
      <c r="C67" s="9"/>
      <c r="D67" s="9"/>
      <c r="E67" s="26"/>
      <c r="F67" s="9"/>
      <c r="G67" s="27"/>
      <c r="H67" s="26"/>
      <c r="I67" s="26"/>
      <c r="J67" s="18"/>
      <c r="K67" s="18"/>
      <c r="L67" s="18"/>
      <c r="M67" s="19"/>
      <c r="N67" s="19"/>
      <c r="O67" s="26"/>
      <c r="P67" s="18"/>
      <c r="Q67" s="5"/>
      <c r="R67" s="28"/>
      <c r="S67" s="9"/>
      <c r="T67" s="14"/>
      <c r="U67" s="14"/>
      <c r="V67" s="5"/>
      <c r="W67" s="5"/>
      <c r="X67" s="5"/>
      <c r="Y67" s="5"/>
      <c r="Z67" s="5"/>
      <c r="AA67" s="5" t="str">
        <f aca="false">IF($A67="","",IFERROR(INDEX(账户总表!$B:$B,MATCH($A67,账户总表!$A:$A,0))*INDEX(账户总表!$O:$O,MATCH($A67,账户总表!$A:$A,0)),0))</f>
        <v/>
      </c>
      <c r="AB67" s="33" t="str">
        <f aca="false">IF($A67="","",IFERROR(MAX(0,AA67-J67),0))</f>
        <v/>
      </c>
      <c r="AC67" s="5" t="str">
        <f aca="false">IF($A67="","",IF(I67&gt;0,IFERROR(FLOOR(AB67/I67,100),0),0))</f>
        <v/>
      </c>
      <c r="AD67" s="9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IF($A67="","",IF(AND(AG67="核心池",AD67="合规",AC67&gt;=100),"可评估加仓","不可加仓"))</f>
        <v/>
      </c>
    </row>
    <row r="68" customFormat="false" ht="15" hidden="false" customHeight="true" outlineLevel="0" collapsed="false">
      <c r="A68" s="6"/>
      <c r="B68" s="6"/>
      <c r="C68" s="6"/>
      <c r="D68" s="6"/>
      <c r="E68" s="17"/>
      <c r="F68" s="6"/>
      <c r="G68" s="20"/>
      <c r="H68" s="17"/>
      <c r="I68" s="17"/>
      <c r="J68" s="18"/>
      <c r="K68" s="18"/>
      <c r="L68" s="18"/>
      <c r="M68" s="19"/>
      <c r="N68" s="19"/>
      <c r="O68" s="17"/>
      <c r="P68" s="18"/>
      <c r="Q68" s="5"/>
      <c r="R68" s="22"/>
      <c r="S68" s="6"/>
      <c r="T68" s="13"/>
      <c r="U68" s="13"/>
      <c r="V68" s="5"/>
      <c r="W68" s="5"/>
      <c r="X68" s="5"/>
      <c r="Y68" s="5"/>
      <c r="Z68" s="5"/>
      <c r="AA68" s="5" t="str">
        <f aca="false">IF($A68="","",IFERROR(INDEX(账户总表!$B:$B,MATCH($A68,账户总表!$A:$A,0))*INDEX(账户总表!$O:$O,MATCH($A68,账户总表!$A:$A,0)),0))</f>
        <v/>
      </c>
      <c r="AB68" s="33" t="str">
        <f aca="false">IF($A68="","",IFERROR(MAX(0,AA68-J68),0))</f>
        <v/>
      </c>
      <c r="AC68" s="5" t="str">
        <f aca="false">IF($A68="","",IF(I68&gt;0,IFERROR(FLOOR(AB68/I68,100),0),0))</f>
        <v/>
      </c>
      <c r="AD68" s="6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IF($A68="","",IF(AND(AG68="核心池",AD68="合规",AC68&gt;=100),"可评估加仓","不可加仓"))</f>
        <v/>
      </c>
    </row>
    <row r="69" customFormat="false" ht="15" hidden="false" customHeight="true" outlineLevel="0" collapsed="false">
      <c r="A69" s="9"/>
      <c r="B69" s="9"/>
      <c r="C69" s="9"/>
      <c r="D69" s="9"/>
      <c r="E69" s="26"/>
      <c r="F69" s="9"/>
      <c r="G69" s="27"/>
      <c r="H69" s="26"/>
      <c r="I69" s="26"/>
      <c r="J69" s="18"/>
      <c r="K69" s="18"/>
      <c r="L69" s="18"/>
      <c r="M69" s="19"/>
      <c r="N69" s="19"/>
      <c r="O69" s="26"/>
      <c r="P69" s="18"/>
      <c r="Q69" s="5"/>
      <c r="R69" s="28"/>
      <c r="S69" s="9"/>
      <c r="T69" s="14"/>
      <c r="U69" s="14"/>
      <c r="V69" s="5"/>
      <c r="W69" s="5"/>
      <c r="X69" s="5"/>
      <c r="Y69" s="5"/>
      <c r="Z69" s="5"/>
      <c r="AA69" s="5" t="str">
        <f aca="false">IF($A69="","",IFERROR(INDEX(账户总表!$B:$B,MATCH($A69,账户总表!$A:$A,0))*INDEX(账户总表!$O:$O,MATCH($A69,账户总表!$A:$A,0)),0))</f>
        <v/>
      </c>
      <c r="AB69" s="33" t="str">
        <f aca="false">IF($A69="","",IFERROR(MAX(0,AA69-J69),0))</f>
        <v/>
      </c>
      <c r="AC69" s="5" t="str">
        <f aca="false">IF($A69="","",IF(I69&gt;0,IFERROR(FLOOR(AB69/I69,100),0),0))</f>
        <v/>
      </c>
      <c r="AD69" s="9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IF($A69="","",IF(AND(AG69="核心池",AD69="合规",AC69&gt;=100),"可评估加仓","不可加仓"))</f>
        <v/>
      </c>
    </row>
    <row r="70" customFormat="false" ht="15" hidden="false" customHeight="true" outlineLevel="0" collapsed="false">
      <c r="A70" s="6"/>
      <c r="B70" s="6"/>
      <c r="C70" s="6"/>
      <c r="D70" s="6"/>
      <c r="E70" s="17"/>
      <c r="F70" s="6"/>
      <c r="G70" s="20"/>
      <c r="H70" s="17"/>
      <c r="I70" s="17"/>
      <c r="J70" s="18"/>
      <c r="K70" s="18"/>
      <c r="L70" s="18"/>
      <c r="M70" s="19"/>
      <c r="N70" s="19"/>
      <c r="O70" s="17"/>
      <c r="P70" s="18"/>
      <c r="Q70" s="5"/>
      <c r="R70" s="22"/>
      <c r="S70" s="6"/>
      <c r="T70" s="13"/>
      <c r="U70" s="13"/>
      <c r="V70" s="5"/>
      <c r="W70" s="5"/>
      <c r="X70" s="5"/>
      <c r="Y70" s="5"/>
      <c r="Z70" s="5"/>
      <c r="AA70" s="5" t="str">
        <f aca="false">IF($A70="","",IFERROR(INDEX(账户总表!$B:$B,MATCH($A70,账户总表!$A:$A,0))*INDEX(账户总表!$O:$O,MATCH($A70,账户总表!$A:$A,0)),0))</f>
        <v/>
      </c>
      <c r="AB70" s="33" t="str">
        <f aca="false">IF($A70="","",IFERROR(MAX(0,AA70-J70),0))</f>
        <v/>
      </c>
      <c r="AC70" s="5" t="str">
        <f aca="false">IF($A70="","",IF(I70&gt;0,IFERROR(FLOOR(AB70/I70,100),0),0))</f>
        <v/>
      </c>
      <c r="AD70" s="6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IF($A70="","",IF(AND(AG70="核心池",AD70="合规",AC70&gt;=100),"可评估加仓","不可加仓"))</f>
        <v/>
      </c>
    </row>
    <row r="71" customFormat="false" ht="15" hidden="false" customHeight="true" outlineLevel="0" collapsed="false">
      <c r="A71" s="9"/>
      <c r="B71" s="9"/>
      <c r="C71" s="9"/>
      <c r="D71" s="9"/>
      <c r="E71" s="26"/>
      <c r="F71" s="9"/>
      <c r="G71" s="27"/>
      <c r="H71" s="26"/>
      <c r="I71" s="26"/>
      <c r="J71" s="18"/>
      <c r="K71" s="18"/>
      <c r="L71" s="18"/>
      <c r="M71" s="19"/>
      <c r="N71" s="19"/>
      <c r="O71" s="26"/>
      <c r="P71" s="18"/>
      <c r="Q71" s="5"/>
      <c r="R71" s="28"/>
      <c r="S71" s="9"/>
      <c r="T71" s="14"/>
      <c r="U71" s="14"/>
      <c r="V71" s="5"/>
      <c r="W71" s="5"/>
      <c r="X71" s="5"/>
      <c r="Y71" s="5"/>
      <c r="Z71" s="5"/>
      <c r="AA71" s="5" t="str">
        <f aca="false">IF($A71="","",IFERROR(INDEX(账户总表!$B:$B,MATCH($A71,账户总表!$A:$A,0))*INDEX(账户总表!$O:$O,MATCH($A71,账户总表!$A:$A,0)),0))</f>
        <v/>
      </c>
      <c r="AB71" s="33" t="str">
        <f aca="false">IF($A71="","",IFERROR(MAX(0,AA71-J71),0))</f>
        <v/>
      </c>
      <c r="AC71" s="5" t="str">
        <f aca="false">IF($A71="","",IF(I71&gt;0,IFERROR(FLOOR(AB71/I71,100),0),0))</f>
        <v/>
      </c>
      <c r="AD71" s="9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IF($A71="","",IF(AND(AG71="核心池",AD71="合规",AC71&gt;=100),"可评估加仓","不可加仓"))</f>
        <v/>
      </c>
    </row>
    <row r="72" customFormat="false" ht="15" hidden="false" customHeight="true" outlineLevel="0" collapsed="false">
      <c r="A72" s="6"/>
      <c r="B72" s="6"/>
      <c r="C72" s="6"/>
      <c r="D72" s="6"/>
      <c r="E72" s="17"/>
      <c r="F72" s="6"/>
      <c r="G72" s="20"/>
      <c r="H72" s="17"/>
      <c r="I72" s="17"/>
      <c r="J72" s="18"/>
      <c r="K72" s="18"/>
      <c r="L72" s="18"/>
      <c r="M72" s="19"/>
      <c r="N72" s="19"/>
      <c r="O72" s="17"/>
      <c r="P72" s="18"/>
      <c r="Q72" s="5"/>
      <c r="R72" s="22"/>
      <c r="S72" s="6"/>
      <c r="T72" s="13"/>
      <c r="U72" s="13"/>
      <c r="V72" s="5"/>
      <c r="W72" s="5"/>
      <c r="X72" s="5"/>
      <c r="Y72" s="5"/>
      <c r="Z72" s="5"/>
      <c r="AA72" s="5" t="str">
        <f aca="false">IF($A72="","",IFERROR(INDEX(账户总表!$B:$B,MATCH($A72,账户总表!$A:$A,0))*INDEX(账户总表!$O:$O,MATCH($A72,账户总表!$A:$A,0)),0))</f>
        <v/>
      </c>
      <c r="AB72" s="33" t="str">
        <f aca="false">IF($A72="","",IFERROR(MAX(0,AA72-J72),0))</f>
        <v/>
      </c>
      <c r="AC72" s="5" t="str">
        <f aca="false">IF($A72="","",IF(I72&gt;0,IFERROR(FLOOR(AB72/I72,100),0),0))</f>
        <v/>
      </c>
      <c r="AD72" s="6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IF($A72="","",IF(AND(AG72="核心池",AD72="合规",AC72&gt;=100),"可评估加仓","不可加仓"))</f>
        <v/>
      </c>
    </row>
    <row r="73" customFormat="false" ht="15" hidden="false" customHeight="true" outlineLevel="0" collapsed="false">
      <c r="A73" s="9"/>
      <c r="B73" s="9"/>
      <c r="C73" s="9"/>
      <c r="D73" s="9"/>
      <c r="E73" s="26"/>
      <c r="F73" s="9"/>
      <c r="G73" s="27"/>
      <c r="H73" s="26"/>
      <c r="I73" s="26"/>
      <c r="J73" s="18"/>
      <c r="K73" s="18"/>
      <c r="L73" s="18"/>
      <c r="M73" s="19"/>
      <c r="N73" s="19"/>
      <c r="O73" s="26"/>
      <c r="P73" s="18"/>
      <c r="Q73" s="5"/>
      <c r="R73" s="28"/>
      <c r="S73" s="9"/>
      <c r="T73" s="14"/>
      <c r="U73" s="14"/>
      <c r="V73" s="5"/>
      <c r="W73" s="5"/>
      <c r="X73" s="5"/>
      <c r="Y73" s="5"/>
      <c r="Z73" s="5"/>
      <c r="AA73" s="5" t="str">
        <f aca="false">IF($A73="","",IFERROR(INDEX(账户总表!$B:$B,MATCH($A73,账户总表!$A:$A,0))*INDEX(账户总表!$O:$O,MATCH($A73,账户总表!$A:$A,0)),0))</f>
        <v/>
      </c>
      <c r="AB73" s="33" t="str">
        <f aca="false">IF($A73="","",IFERROR(MAX(0,AA73-J73),0))</f>
        <v/>
      </c>
      <c r="AC73" s="5" t="str">
        <f aca="false">IF($A73="","",IF(I73&gt;0,IFERROR(FLOOR(AB73/I73,100),0),0))</f>
        <v/>
      </c>
      <c r="AD73" s="9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IF($A73="","",IF(AND(AG73="核心池",AD73="合规",AC73&gt;=100),"可评估加仓","不可加仓"))</f>
        <v/>
      </c>
    </row>
    <row r="74" customFormat="false" ht="15" hidden="false" customHeight="true" outlineLevel="0" collapsed="false">
      <c r="A74" s="6"/>
      <c r="B74" s="6"/>
      <c r="C74" s="6"/>
      <c r="D74" s="6"/>
      <c r="E74" s="17"/>
      <c r="F74" s="6"/>
      <c r="G74" s="20"/>
      <c r="H74" s="17"/>
      <c r="I74" s="17"/>
      <c r="J74" s="18"/>
      <c r="K74" s="18"/>
      <c r="L74" s="18"/>
      <c r="M74" s="19"/>
      <c r="N74" s="19"/>
      <c r="O74" s="17"/>
      <c r="P74" s="18"/>
      <c r="Q74" s="5"/>
      <c r="R74" s="22"/>
      <c r="S74" s="6"/>
      <c r="T74" s="13"/>
      <c r="U74" s="13"/>
      <c r="V74" s="5"/>
      <c r="W74" s="5"/>
      <c r="X74" s="5"/>
      <c r="Y74" s="5"/>
      <c r="Z74" s="5"/>
      <c r="AA74" s="5" t="str">
        <f aca="false">IF($A74="","",IFERROR(INDEX(账户总表!$B:$B,MATCH($A74,账户总表!$A:$A,0))*INDEX(账户总表!$O:$O,MATCH($A74,账户总表!$A:$A,0)),0))</f>
        <v/>
      </c>
      <c r="AB74" s="33" t="str">
        <f aca="false">IF($A74="","",IFERROR(MAX(0,AA74-J74),0))</f>
        <v/>
      </c>
      <c r="AC74" s="5" t="str">
        <f aca="false">IF($A74="","",IF(I74&gt;0,IFERROR(FLOOR(AB74/I74,100),0),0))</f>
        <v/>
      </c>
      <c r="AD74" s="6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IF($A74="","",IF(AND(AG74="核心池",AD74="合规",AC74&gt;=100),"可评估加仓","不可加仓"))</f>
        <v/>
      </c>
    </row>
    <row r="75" customFormat="false" ht="15" hidden="false" customHeight="true" outlineLevel="0" collapsed="false">
      <c r="A75" s="9"/>
      <c r="B75" s="9"/>
      <c r="C75" s="9"/>
      <c r="D75" s="9"/>
      <c r="E75" s="26"/>
      <c r="F75" s="9"/>
      <c r="G75" s="27"/>
      <c r="H75" s="26"/>
      <c r="I75" s="26"/>
      <c r="J75" s="18"/>
      <c r="K75" s="18"/>
      <c r="L75" s="18"/>
      <c r="M75" s="19"/>
      <c r="N75" s="19"/>
      <c r="O75" s="26"/>
      <c r="P75" s="18"/>
      <c r="Q75" s="5"/>
      <c r="R75" s="28"/>
      <c r="S75" s="9"/>
      <c r="T75" s="14"/>
      <c r="U75" s="14"/>
      <c r="V75" s="5"/>
      <c r="W75" s="5"/>
      <c r="X75" s="5"/>
      <c r="Y75" s="5"/>
      <c r="Z75" s="5"/>
      <c r="AA75" s="5" t="str">
        <f aca="false">IF($A75="","",IFERROR(INDEX(账户总表!$B:$B,MATCH($A75,账户总表!$A:$A,0))*INDEX(账户总表!$O:$O,MATCH($A75,账户总表!$A:$A,0)),0))</f>
        <v/>
      </c>
      <c r="AB75" s="33" t="str">
        <f aca="false">IF($A75="","",IFERROR(MAX(0,AA75-J75),0))</f>
        <v/>
      </c>
      <c r="AC75" s="5" t="str">
        <f aca="false">IF($A75="","",IF(I75&gt;0,IFERROR(FLOOR(AB75/I75,100),0),0))</f>
        <v/>
      </c>
      <c r="AD75" s="9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IF($A75="","",IF(AND(AG75="核心池",AD75="合规",AC75&gt;=100),"可评估加仓","不可加仓"))</f>
        <v/>
      </c>
    </row>
    <row r="76" customFormat="false" ht="15" hidden="false" customHeight="true" outlineLevel="0" collapsed="false">
      <c r="A76" s="6"/>
      <c r="B76" s="6"/>
      <c r="C76" s="6"/>
      <c r="D76" s="6"/>
      <c r="E76" s="17"/>
      <c r="F76" s="6"/>
      <c r="G76" s="20"/>
      <c r="H76" s="17"/>
      <c r="I76" s="17"/>
      <c r="J76" s="18"/>
      <c r="K76" s="18"/>
      <c r="L76" s="18"/>
      <c r="M76" s="19"/>
      <c r="N76" s="19"/>
      <c r="O76" s="17"/>
      <c r="P76" s="18"/>
      <c r="Q76" s="5"/>
      <c r="R76" s="22"/>
      <c r="S76" s="6"/>
      <c r="T76" s="13"/>
      <c r="U76" s="13"/>
      <c r="V76" s="5"/>
      <c r="W76" s="5"/>
      <c r="X76" s="5"/>
      <c r="Y76" s="5"/>
      <c r="Z76" s="5"/>
      <c r="AA76" s="5" t="str">
        <f aca="false">IF($A76="","",IFERROR(INDEX(账户总表!$B:$B,MATCH($A76,账户总表!$A:$A,0))*INDEX(账户总表!$O:$O,MATCH($A76,账户总表!$A:$A,0)),0))</f>
        <v/>
      </c>
      <c r="AB76" s="33" t="str">
        <f aca="false">IF($A76="","",IFERROR(MAX(0,AA76-J76),0))</f>
        <v/>
      </c>
      <c r="AC76" s="5" t="str">
        <f aca="false">IF($A76="","",IF(I76&gt;0,IFERROR(FLOOR(AB76/I76,100),0),0))</f>
        <v/>
      </c>
      <c r="AD76" s="6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IF($A76="","",IF(AND(AG76="核心池",AD76="合规",AC76&gt;=100),"可评估加仓","不可加仓"))</f>
        <v/>
      </c>
    </row>
    <row r="77" customFormat="false" ht="15" hidden="false" customHeight="true" outlineLevel="0" collapsed="false">
      <c r="A77" s="9"/>
      <c r="B77" s="9"/>
      <c r="C77" s="9"/>
      <c r="D77" s="9"/>
      <c r="E77" s="26"/>
      <c r="F77" s="9"/>
      <c r="G77" s="27"/>
      <c r="H77" s="26"/>
      <c r="I77" s="26"/>
      <c r="J77" s="18"/>
      <c r="K77" s="18"/>
      <c r="L77" s="18"/>
      <c r="M77" s="19"/>
      <c r="N77" s="19"/>
      <c r="O77" s="26"/>
      <c r="P77" s="18"/>
      <c r="Q77" s="5"/>
      <c r="R77" s="28"/>
      <c r="S77" s="9"/>
      <c r="T77" s="14"/>
      <c r="U77" s="14"/>
      <c r="V77" s="5"/>
      <c r="W77" s="5"/>
      <c r="X77" s="5"/>
      <c r="Y77" s="5"/>
      <c r="Z77" s="5"/>
      <c r="AA77" s="5" t="str">
        <f aca="false">IF($A77="","",IFERROR(INDEX(账户总表!$B:$B,MATCH($A77,账户总表!$A:$A,0))*INDEX(账户总表!$O:$O,MATCH($A77,账户总表!$A:$A,0)),0))</f>
        <v/>
      </c>
      <c r="AB77" s="33" t="str">
        <f aca="false">IF($A77="","",IFERROR(MAX(0,AA77-J77),0))</f>
        <v/>
      </c>
      <c r="AC77" s="5" t="str">
        <f aca="false">IF($A77="","",IF(I77&gt;0,IFERROR(FLOOR(AB77/I77,100),0),0))</f>
        <v/>
      </c>
      <c r="AD77" s="9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IF($A77="","",IF(AND(AG77="核心池",AD77="合规",AC77&gt;=100),"可评估加仓","不可加仓"))</f>
        <v/>
      </c>
    </row>
    <row r="78" customFormat="false" ht="15" hidden="false" customHeight="true" outlineLevel="0" collapsed="false">
      <c r="A78" s="6"/>
      <c r="B78" s="6"/>
      <c r="C78" s="6"/>
      <c r="D78" s="6"/>
      <c r="E78" s="17"/>
      <c r="F78" s="6"/>
      <c r="G78" s="20"/>
      <c r="H78" s="17"/>
      <c r="I78" s="17"/>
      <c r="J78" s="18"/>
      <c r="K78" s="18"/>
      <c r="L78" s="18"/>
      <c r="M78" s="19"/>
      <c r="N78" s="19"/>
      <c r="O78" s="17"/>
      <c r="P78" s="18"/>
      <c r="Q78" s="5"/>
      <c r="R78" s="22"/>
      <c r="S78" s="6"/>
      <c r="T78" s="13"/>
      <c r="U78" s="13"/>
      <c r="V78" s="5"/>
      <c r="W78" s="5"/>
      <c r="X78" s="5"/>
      <c r="Y78" s="5"/>
      <c r="Z78" s="5"/>
      <c r="AA78" s="5" t="str">
        <f aca="false">IF($A78="","",IFERROR(INDEX(账户总表!$B:$B,MATCH($A78,账户总表!$A:$A,0))*INDEX(账户总表!$O:$O,MATCH($A78,账户总表!$A:$A,0)),0))</f>
        <v/>
      </c>
      <c r="AB78" s="33" t="str">
        <f aca="false">IF($A78="","",IFERROR(MAX(0,AA78-J78),0))</f>
        <v/>
      </c>
      <c r="AC78" s="5" t="str">
        <f aca="false">IF($A78="","",IF(I78&gt;0,IFERROR(FLOOR(AB78/I78,100),0),0))</f>
        <v/>
      </c>
      <c r="AD78" s="6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IF($A78="","",IF(AND(AG78="核心池",AD78="合规",AC78&gt;=100),"可评估加仓","不可加仓"))</f>
        <v/>
      </c>
    </row>
    <row r="79" customFormat="false" ht="15" hidden="false" customHeight="true" outlineLevel="0" collapsed="false">
      <c r="A79" s="9"/>
      <c r="B79" s="9"/>
      <c r="C79" s="9"/>
      <c r="D79" s="9"/>
      <c r="E79" s="26"/>
      <c r="F79" s="9"/>
      <c r="G79" s="27"/>
      <c r="H79" s="26"/>
      <c r="I79" s="26"/>
      <c r="J79" s="18"/>
      <c r="K79" s="18"/>
      <c r="L79" s="18"/>
      <c r="M79" s="19"/>
      <c r="N79" s="19"/>
      <c r="O79" s="26"/>
      <c r="P79" s="18"/>
      <c r="Q79" s="5"/>
      <c r="R79" s="28"/>
      <c r="S79" s="9"/>
      <c r="T79" s="14"/>
      <c r="U79" s="14"/>
      <c r="V79" s="5"/>
      <c r="W79" s="5"/>
      <c r="X79" s="5"/>
      <c r="Y79" s="5"/>
      <c r="Z79" s="5"/>
      <c r="AA79" s="5" t="str">
        <f aca="false">IF($A79="","",IFERROR(INDEX(账户总表!$B:$B,MATCH($A79,账户总表!$A:$A,0))*INDEX(账户总表!$O:$O,MATCH($A79,账户总表!$A:$A,0)),0))</f>
        <v/>
      </c>
      <c r="AB79" s="33" t="str">
        <f aca="false">IF($A79="","",IFERROR(MAX(0,AA79-J79),0))</f>
        <v/>
      </c>
      <c r="AC79" s="5" t="str">
        <f aca="false">IF($A79="","",IF(I79&gt;0,IFERROR(FLOOR(AB79/I79,100),0),0))</f>
        <v/>
      </c>
      <c r="AD79" s="9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IF($A79="","",IF(AND(AG79="核心池",AD79="合规",AC79&gt;=100),"可评估加仓","不可加仓"))</f>
        <v/>
      </c>
    </row>
    <row r="80" customFormat="false" ht="15" hidden="false" customHeight="true" outlineLevel="0" collapsed="false">
      <c r="A80" s="6"/>
      <c r="B80" s="6"/>
      <c r="C80" s="6"/>
      <c r="D80" s="6"/>
      <c r="E80" s="17"/>
      <c r="F80" s="6"/>
      <c r="G80" s="20"/>
      <c r="H80" s="17"/>
      <c r="I80" s="17"/>
      <c r="J80" s="18"/>
      <c r="K80" s="18"/>
      <c r="L80" s="18"/>
      <c r="M80" s="19"/>
      <c r="N80" s="19"/>
      <c r="O80" s="17"/>
      <c r="P80" s="18"/>
      <c r="Q80" s="5"/>
      <c r="R80" s="22"/>
      <c r="S80" s="6"/>
      <c r="T80" s="13"/>
      <c r="U80" s="13"/>
      <c r="V80" s="5"/>
      <c r="W80" s="5"/>
      <c r="X80" s="5"/>
      <c r="Y80" s="5"/>
      <c r="Z80" s="5"/>
      <c r="AA80" s="5" t="str">
        <f aca="false">IF($A80="","",IFERROR(INDEX(账户总表!$B:$B,MATCH($A80,账户总表!$A:$A,0))*INDEX(账户总表!$O:$O,MATCH($A80,账户总表!$A:$A,0)),0))</f>
        <v/>
      </c>
      <c r="AB80" s="33" t="str">
        <f aca="false">IF($A80="","",IFERROR(MAX(0,AA80-J80),0))</f>
        <v/>
      </c>
      <c r="AC80" s="5" t="str">
        <f aca="false">IF($A80="","",IF(I80&gt;0,IFERROR(FLOOR(AB80/I80,100),0),0))</f>
        <v/>
      </c>
      <c r="AD80" s="6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IF($A80="","",IF(AND(AG80="核心池",AD80="合规",AC80&gt;=100),"可评估加仓","不可加仓"))</f>
        <v/>
      </c>
    </row>
    <row r="81" customFormat="false" ht="15" hidden="false" customHeight="true" outlineLevel="0" collapsed="false">
      <c r="A81" s="9"/>
      <c r="B81" s="9"/>
      <c r="C81" s="9"/>
      <c r="D81" s="9"/>
      <c r="E81" s="26"/>
      <c r="F81" s="9"/>
      <c r="G81" s="27"/>
      <c r="H81" s="26"/>
      <c r="I81" s="26"/>
      <c r="J81" s="18"/>
      <c r="K81" s="18"/>
      <c r="L81" s="18"/>
      <c r="M81" s="19"/>
      <c r="N81" s="19"/>
      <c r="O81" s="26"/>
      <c r="P81" s="18"/>
      <c r="Q81" s="5"/>
      <c r="R81" s="28"/>
      <c r="S81" s="9"/>
      <c r="T81" s="14"/>
      <c r="U81" s="14"/>
      <c r="V81" s="5"/>
      <c r="W81" s="5"/>
      <c r="X81" s="5"/>
      <c r="Y81" s="5"/>
      <c r="Z81" s="5"/>
      <c r="AA81" s="5" t="str">
        <f aca="false">IF($A81="","",IFERROR(INDEX(账户总表!$B:$B,MATCH($A81,账户总表!$A:$A,0))*INDEX(账户总表!$O:$O,MATCH($A81,账户总表!$A:$A,0)),0))</f>
        <v/>
      </c>
      <c r="AB81" s="33" t="str">
        <f aca="false">IF($A81="","",IFERROR(MAX(0,AA81-J81),0))</f>
        <v/>
      </c>
      <c r="AC81" s="5" t="str">
        <f aca="false">IF($A81="","",IF(I81&gt;0,IFERROR(FLOOR(AB81/I81,100),0),0))</f>
        <v/>
      </c>
      <c r="AD81" s="9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IF($A81="","",IF(AND(AG81="核心池",AD81="合规",AC81&gt;=100),"可评估加仓","不可加仓"))</f>
        <v/>
      </c>
    </row>
    <row r="82" customFormat="false" ht="15" hidden="false" customHeight="true" outlineLevel="0" collapsed="false">
      <c r="A82" s="6"/>
      <c r="B82" s="6"/>
      <c r="C82" s="6"/>
      <c r="D82" s="6"/>
      <c r="E82" s="17"/>
      <c r="F82" s="6"/>
      <c r="G82" s="20"/>
      <c r="H82" s="17"/>
      <c r="I82" s="17"/>
      <c r="J82" s="18"/>
      <c r="K82" s="18"/>
      <c r="L82" s="18"/>
      <c r="M82" s="19"/>
      <c r="N82" s="19"/>
      <c r="O82" s="17"/>
      <c r="P82" s="18"/>
      <c r="Q82" s="5"/>
      <c r="R82" s="22"/>
      <c r="S82" s="6"/>
      <c r="T82" s="13"/>
      <c r="U82" s="13"/>
      <c r="V82" s="5"/>
      <c r="W82" s="5"/>
      <c r="X82" s="5"/>
      <c r="Y82" s="5"/>
      <c r="Z82" s="5"/>
      <c r="AA82" s="5" t="str">
        <f aca="false">IF($A82="","",IFERROR(INDEX(账户总表!$B:$B,MATCH($A82,账户总表!$A:$A,0))*INDEX(账户总表!$O:$O,MATCH($A82,账户总表!$A:$A,0)),0))</f>
        <v/>
      </c>
      <c r="AB82" s="33" t="str">
        <f aca="false">IF($A82="","",IFERROR(MAX(0,AA82-J82),0))</f>
        <v/>
      </c>
      <c r="AC82" s="5" t="str">
        <f aca="false">IF($A82="","",IF(I82&gt;0,IFERROR(FLOOR(AB82/I82,100),0),0))</f>
        <v/>
      </c>
      <c r="AD82" s="6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IF($A82="","",IF(AND(AG82="核心池",AD82="合规",AC82&gt;=100),"可评估加仓","不可加仓"))</f>
        <v/>
      </c>
    </row>
    <row r="83" customFormat="false" ht="15" hidden="false" customHeight="true" outlineLevel="0" collapsed="false">
      <c r="A83" s="9"/>
      <c r="B83" s="9"/>
      <c r="C83" s="9"/>
      <c r="D83" s="9"/>
      <c r="E83" s="26"/>
      <c r="F83" s="9"/>
      <c r="G83" s="27"/>
      <c r="H83" s="26"/>
      <c r="I83" s="26"/>
      <c r="J83" s="18"/>
      <c r="K83" s="18"/>
      <c r="L83" s="18"/>
      <c r="M83" s="19"/>
      <c r="N83" s="19"/>
      <c r="O83" s="26"/>
      <c r="P83" s="18"/>
      <c r="Q83" s="5"/>
      <c r="R83" s="28"/>
      <c r="S83" s="9"/>
      <c r="T83" s="14"/>
      <c r="U83" s="14"/>
      <c r="V83" s="5"/>
      <c r="W83" s="5"/>
      <c r="X83" s="5"/>
      <c r="Y83" s="5"/>
      <c r="Z83" s="5"/>
      <c r="AA83" s="5" t="str">
        <f aca="false">IF($A83="","",IFERROR(INDEX(账户总表!$B:$B,MATCH($A83,账户总表!$A:$A,0))*INDEX(账户总表!$O:$O,MATCH($A83,账户总表!$A:$A,0)),0))</f>
        <v/>
      </c>
      <c r="AB83" s="33" t="str">
        <f aca="false">IF($A83="","",IFERROR(MAX(0,AA83-J83),0))</f>
        <v/>
      </c>
      <c r="AC83" s="5" t="str">
        <f aca="false">IF($A83="","",IF(I83&gt;0,IFERROR(FLOOR(AB83/I83,100),0),0))</f>
        <v/>
      </c>
      <c r="AD83" s="9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IF($A83="","",IF(AND(AG83="核心池",AD83="合规",AC83&gt;=100),"可评估加仓","不可加仓"))</f>
        <v/>
      </c>
    </row>
    <row r="84" customFormat="false" ht="15" hidden="false" customHeight="true" outlineLevel="0" collapsed="false">
      <c r="A84" s="6"/>
      <c r="B84" s="6"/>
      <c r="C84" s="6"/>
      <c r="D84" s="6"/>
      <c r="E84" s="17"/>
      <c r="F84" s="6"/>
      <c r="G84" s="20"/>
      <c r="H84" s="17"/>
      <c r="I84" s="17"/>
      <c r="J84" s="18"/>
      <c r="K84" s="18"/>
      <c r="L84" s="18"/>
      <c r="M84" s="19"/>
      <c r="N84" s="19"/>
      <c r="O84" s="17"/>
      <c r="P84" s="18"/>
      <c r="Q84" s="5"/>
      <c r="R84" s="22"/>
      <c r="S84" s="6"/>
      <c r="T84" s="13"/>
      <c r="U84" s="13"/>
      <c r="V84" s="5"/>
      <c r="W84" s="5"/>
      <c r="X84" s="5"/>
      <c r="Y84" s="5"/>
      <c r="Z84" s="5"/>
      <c r="AA84" s="5" t="str">
        <f aca="false">IF($A84="","",IFERROR(INDEX(账户总表!$B:$B,MATCH($A84,账户总表!$A:$A,0))*INDEX(账户总表!$O:$O,MATCH($A84,账户总表!$A:$A,0)),0))</f>
        <v/>
      </c>
      <c r="AB84" s="33" t="str">
        <f aca="false">IF($A84="","",IFERROR(MAX(0,AA84-J84),0))</f>
        <v/>
      </c>
      <c r="AC84" s="5" t="str">
        <f aca="false">IF($A84="","",IF(I84&gt;0,IFERROR(FLOOR(AB84/I84,100),0),0))</f>
        <v/>
      </c>
      <c r="AD84" s="6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IF($A84="","",IF(AND(AG84="核心池",AD84="合规",AC84&gt;=100),"可评估加仓","不可加仓"))</f>
        <v/>
      </c>
    </row>
    <row r="85" customFormat="false" ht="15" hidden="false" customHeight="true" outlineLevel="0" collapsed="false">
      <c r="A85" s="9"/>
      <c r="B85" s="9"/>
      <c r="C85" s="9"/>
      <c r="D85" s="9"/>
      <c r="E85" s="26"/>
      <c r="F85" s="9"/>
      <c r="G85" s="27"/>
      <c r="H85" s="26"/>
      <c r="I85" s="26"/>
      <c r="J85" s="18"/>
      <c r="K85" s="18"/>
      <c r="L85" s="18"/>
      <c r="M85" s="19"/>
      <c r="N85" s="19"/>
      <c r="O85" s="26"/>
      <c r="P85" s="18"/>
      <c r="Q85" s="5"/>
      <c r="R85" s="28"/>
      <c r="S85" s="9"/>
      <c r="T85" s="14"/>
      <c r="U85" s="14"/>
      <c r="V85" s="5"/>
      <c r="W85" s="5"/>
      <c r="X85" s="5"/>
      <c r="Y85" s="5"/>
      <c r="Z85" s="5"/>
      <c r="AA85" s="5" t="str">
        <f aca="false">IF($A85="","",IFERROR(INDEX(账户总表!$B:$B,MATCH($A85,账户总表!$A:$A,0))*INDEX(账户总表!$O:$O,MATCH($A85,账户总表!$A:$A,0)),0))</f>
        <v/>
      </c>
      <c r="AB85" s="33" t="str">
        <f aca="false">IF($A85="","",IFERROR(MAX(0,AA85-J85),0))</f>
        <v/>
      </c>
      <c r="AC85" s="5" t="str">
        <f aca="false">IF($A85="","",IF(I85&gt;0,IFERROR(FLOOR(AB85/I85,100),0),0))</f>
        <v/>
      </c>
      <c r="AD85" s="9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IF($A85="","",IF(AND(AG85="核心池",AD85="合规",AC85&gt;=100),"可评估加仓","不可加仓"))</f>
        <v/>
      </c>
    </row>
    <row r="86" customFormat="false" ht="15" hidden="false" customHeight="true" outlineLevel="0" collapsed="false">
      <c r="A86" s="6"/>
      <c r="B86" s="6"/>
      <c r="C86" s="6"/>
      <c r="D86" s="6"/>
      <c r="E86" s="17"/>
      <c r="F86" s="6"/>
      <c r="G86" s="20"/>
      <c r="H86" s="17"/>
      <c r="I86" s="17"/>
      <c r="J86" s="18"/>
      <c r="K86" s="18"/>
      <c r="L86" s="18"/>
      <c r="M86" s="19"/>
      <c r="N86" s="19"/>
      <c r="O86" s="17"/>
      <c r="P86" s="18"/>
      <c r="Q86" s="5"/>
      <c r="R86" s="22"/>
      <c r="S86" s="6"/>
      <c r="T86" s="13"/>
      <c r="U86" s="13"/>
      <c r="V86" s="5"/>
      <c r="W86" s="5"/>
      <c r="X86" s="5"/>
      <c r="Y86" s="5"/>
      <c r="Z86" s="5"/>
      <c r="AA86" s="5" t="str">
        <f aca="false">IF($A86="","",IFERROR(INDEX(账户总表!$B:$B,MATCH($A86,账户总表!$A:$A,0))*INDEX(账户总表!$O:$O,MATCH($A86,账户总表!$A:$A,0)),0))</f>
        <v/>
      </c>
      <c r="AB86" s="33" t="str">
        <f aca="false">IF($A86="","",IFERROR(MAX(0,AA86-J86),0))</f>
        <v/>
      </c>
      <c r="AC86" s="5" t="str">
        <f aca="false">IF($A86="","",IF(I86&gt;0,IFERROR(FLOOR(AB86/I86,100),0),0))</f>
        <v/>
      </c>
      <c r="AD86" s="6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IF($A86="","",IF(AND(AG86="核心池",AD86="合规",AC86&gt;=100),"可评估加仓","不可加仓"))</f>
        <v/>
      </c>
    </row>
    <row r="87" customFormat="false" ht="15" hidden="false" customHeight="true" outlineLevel="0" collapsed="false">
      <c r="A87" s="9"/>
      <c r="B87" s="9"/>
      <c r="C87" s="9"/>
      <c r="D87" s="9"/>
      <c r="E87" s="26"/>
      <c r="F87" s="9"/>
      <c r="G87" s="27"/>
      <c r="H87" s="26"/>
      <c r="I87" s="26"/>
      <c r="J87" s="18"/>
      <c r="K87" s="18"/>
      <c r="L87" s="18"/>
      <c r="M87" s="19"/>
      <c r="N87" s="19"/>
      <c r="O87" s="26"/>
      <c r="P87" s="18"/>
      <c r="Q87" s="5"/>
      <c r="R87" s="28"/>
      <c r="S87" s="9"/>
      <c r="T87" s="14"/>
      <c r="U87" s="14"/>
      <c r="V87" s="5"/>
      <c r="W87" s="5"/>
      <c r="X87" s="5"/>
      <c r="Y87" s="5"/>
      <c r="Z87" s="5"/>
      <c r="AA87" s="5" t="str">
        <f aca="false">IF($A87="","",IFERROR(INDEX(账户总表!$B:$B,MATCH($A87,账户总表!$A:$A,0))*INDEX(账户总表!$O:$O,MATCH($A87,账户总表!$A:$A,0)),0))</f>
        <v/>
      </c>
      <c r="AB87" s="33" t="str">
        <f aca="false">IF($A87="","",IFERROR(MAX(0,AA87-J87),0))</f>
        <v/>
      </c>
      <c r="AC87" s="5" t="str">
        <f aca="false">IF($A87="","",IF(I87&gt;0,IFERROR(FLOOR(AB87/I87,100),0),0))</f>
        <v/>
      </c>
      <c r="AD87" s="9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IF($A87="","",IF(AND(AG87="核心池",AD87="合规",AC87&gt;=100),"可评估加仓","不可加仓"))</f>
        <v/>
      </c>
    </row>
    <row r="88" customFormat="false" ht="15" hidden="false" customHeight="true" outlineLevel="0" collapsed="false">
      <c r="A88" s="6"/>
      <c r="B88" s="6"/>
      <c r="C88" s="6"/>
      <c r="D88" s="6"/>
      <c r="E88" s="17"/>
      <c r="F88" s="6"/>
      <c r="G88" s="20"/>
      <c r="H88" s="17"/>
      <c r="I88" s="17"/>
      <c r="J88" s="18"/>
      <c r="K88" s="18"/>
      <c r="L88" s="18"/>
      <c r="M88" s="19"/>
      <c r="N88" s="19"/>
      <c r="O88" s="17"/>
      <c r="P88" s="18"/>
      <c r="Q88" s="5"/>
      <c r="R88" s="22"/>
      <c r="S88" s="6"/>
      <c r="T88" s="13"/>
      <c r="U88" s="13"/>
      <c r="V88" s="5"/>
      <c r="W88" s="5"/>
      <c r="X88" s="5"/>
      <c r="Y88" s="5"/>
      <c r="Z88" s="5"/>
      <c r="AA88" s="5" t="str">
        <f aca="false">IF($A88="","",IFERROR(INDEX(账户总表!$B:$B,MATCH($A88,账户总表!$A:$A,0))*INDEX(账户总表!$O:$O,MATCH($A88,账户总表!$A:$A,0)),0))</f>
        <v/>
      </c>
      <c r="AB88" s="33" t="str">
        <f aca="false">IF($A88="","",IFERROR(MAX(0,AA88-J88),0))</f>
        <v/>
      </c>
      <c r="AC88" s="5" t="str">
        <f aca="false">IF($A88="","",IF(I88&gt;0,IFERROR(FLOOR(AB88/I88,100),0),0))</f>
        <v/>
      </c>
      <c r="AD88" s="6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IF($A88="","",IF(AND(AG88="核心池",AD88="合规",AC88&gt;=100),"可评估加仓","不可加仓"))</f>
        <v/>
      </c>
    </row>
    <row r="89" customFormat="false" ht="15" hidden="false" customHeight="true" outlineLevel="0" collapsed="false">
      <c r="A89" s="9"/>
      <c r="B89" s="9"/>
      <c r="C89" s="9"/>
      <c r="D89" s="9"/>
      <c r="E89" s="26"/>
      <c r="F89" s="9"/>
      <c r="G89" s="27"/>
      <c r="H89" s="26"/>
      <c r="I89" s="26"/>
      <c r="J89" s="18"/>
      <c r="K89" s="18"/>
      <c r="L89" s="18"/>
      <c r="M89" s="19"/>
      <c r="N89" s="19"/>
      <c r="O89" s="26"/>
      <c r="P89" s="18"/>
      <c r="Q89" s="5"/>
      <c r="R89" s="28"/>
      <c r="S89" s="9"/>
      <c r="T89" s="14"/>
      <c r="U89" s="14"/>
      <c r="V89" s="5"/>
      <c r="W89" s="5"/>
      <c r="X89" s="5"/>
      <c r="Y89" s="5"/>
      <c r="Z89" s="5"/>
      <c r="AA89" s="5" t="str">
        <f aca="false">IF($A89="","",IFERROR(INDEX(账户总表!$B:$B,MATCH($A89,账户总表!$A:$A,0))*INDEX(账户总表!$O:$O,MATCH($A89,账户总表!$A:$A,0)),0))</f>
        <v/>
      </c>
      <c r="AB89" s="33" t="str">
        <f aca="false">IF($A89="","",IFERROR(MAX(0,AA89-J89),0))</f>
        <v/>
      </c>
      <c r="AC89" s="5" t="str">
        <f aca="false">IF($A89="","",IF(I89&gt;0,IFERROR(FLOOR(AB89/I89,100),0),0))</f>
        <v/>
      </c>
      <c r="AD89" s="9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IF($A89="","",IF(AND(AG89="核心池",AD89="合规",AC89&gt;=100),"可评估加仓","不可加仓"))</f>
        <v/>
      </c>
    </row>
    <row r="90" customFormat="false" ht="15" hidden="false" customHeight="true" outlineLevel="0" collapsed="false">
      <c r="A90" s="6"/>
      <c r="B90" s="6"/>
      <c r="C90" s="6"/>
      <c r="D90" s="6"/>
      <c r="E90" s="17"/>
      <c r="F90" s="6"/>
      <c r="G90" s="20"/>
      <c r="H90" s="17"/>
      <c r="I90" s="17"/>
      <c r="J90" s="18"/>
      <c r="K90" s="18"/>
      <c r="L90" s="18"/>
      <c r="M90" s="19"/>
      <c r="N90" s="19"/>
      <c r="O90" s="17"/>
      <c r="P90" s="18"/>
      <c r="Q90" s="5"/>
      <c r="R90" s="22"/>
      <c r="S90" s="6"/>
      <c r="T90" s="13"/>
      <c r="U90" s="13"/>
      <c r="V90" s="5"/>
      <c r="W90" s="5"/>
      <c r="X90" s="5"/>
      <c r="Y90" s="5"/>
      <c r="Z90" s="5"/>
      <c r="AA90" s="5" t="str">
        <f aca="false">IF($A90="","",IFERROR(INDEX(账户总表!$B:$B,MATCH($A90,账户总表!$A:$A,0))*INDEX(账户总表!$O:$O,MATCH($A90,账户总表!$A:$A,0)),0))</f>
        <v/>
      </c>
      <c r="AB90" s="33" t="str">
        <f aca="false">IF($A90="","",IFERROR(MAX(0,AA90-J90),0))</f>
        <v/>
      </c>
      <c r="AC90" s="5" t="str">
        <f aca="false">IF($A90="","",IF(I90&gt;0,IFERROR(FLOOR(AB90/I90,100),0),0))</f>
        <v/>
      </c>
      <c r="AD90" s="6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IF($A90="","",IF(AND(AG90="核心池",AD90="合规",AC90&gt;=100),"可评估加仓","不可加仓"))</f>
        <v/>
      </c>
    </row>
    <row r="91" customFormat="false" ht="15" hidden="false" customHeight="true" outlineLevel="0" collapsed="false">
      <c r="A91" s="9"/>
      <c r="B91" s="9"/>
      <c r="C91" s="9"/>
      <c r="D91" s="9"/>
      <c r="E91" s="26"/>
      <c r="F91" s="9"/>
      <c r="G91" s="27"/>
      <c r="H91" s="26"/>
      <c r="I91" s="26"/>
      <c r="J91" s="18"/>
      <c r="K91" s="18"/>
      <c r="L91" s="18"/>
      <c r="M91" s="19"/>
      <c r="N91" s="19"/>
      <c r="O91" s="26"/>
      <c r="P91" s="18"/>
      <c r="Q91" s="5"/>
      <c r="R91" s="28"/>
      <c r="S91" s="9"/>
      <c r="T91" s="14"/>
      <c r="U91" s="14"/>
      <c r="V91" s="5"/>
      <c r="W91" s="5"/>
      <c r="X91" s="5"/>
      <c r="Y91" s="5"/>
      <c r="Z91" s="5"/>
      <c r="AA91" s="5" t="str">
        <f aca="false">IF($A91="","",IFERROR(INDEX(账户总表!$B:$B,MATCH($A91,账户总表!$A:$A,0))*INDEX(账户总表!$O:$O,MATCH($A91,账户总表!$A:$A,0)),0))</f>
        <v/>
      </c>
      <c r="AB91" s="33" t="str">
        <f aca="false">IF($A91="","",IFERROR(MAX(0,AA91-J91),0))</f>
        <v/>
      </c>
      <c r="AC91" s="5" t="str">
        <f aca="false">IF($A91="","",IF(I91&gt;0,IFERROR(FLOOR(AB91/I91,100),0),0))</f>
        <v/>
      </c>
      <c r="AD91" s="9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IF($A91="","",IF(AND(AG91="核心池",AD91="合规",AC91&gt;=100),"可评估加仓","不可加仓"))</f>
        <v/>
      </c>
    </row>
    <row r="92" customFormat="false" ht="15" hidden="false" customHeight="true" outlineLevel="0" collapsed="false">
      <c r="A92" s="6"/>
      <c r="B92" s="6"/>
      <c r="C92" s="6"/>
      <c r="D92" s="6"/>
      <c r="E92" s="17"/>
      <c r="F92" s="6"/>
      <c r="G92" s="20"/>
      <c r="H92" s="17"/>
      <c r="I92" s="17"/>
      <c r="J92" s="18"/>
      <c r="K92" s="18"/>
      <c r="L92" s="18"/>
      <c r="M92" s="19"/>
      <c r="N92" s="19"/>
      <c r="O92" s="17"/>
      <c r="P92" s="18"/>
      <c r="Q92" s="5"/>
      <c r="R92" s="22"/>
      <c r="S92" s="6"/>
      <c r="T92" s="13"/>
      <c r="U92" s="13"/>
      <c r="V92" s="5"/>
      <c r="W92" s="5"/>
      <c r="X92" s="5"/>
      <c r="Y92" s="5"/>
      <c r="Z92" s="5"/>
      <c r="AA92" s="5" t="str">
        <f aca="false">IF($A92="","",IFERROR(INDEX(账户总表!$B:$B,MATCH($A92,账户总表!$A:$A,0))*INDEX(账户总表!$O:$O,MATCH($A92,账户总表!$A:$A,0)),0))</f>
        <v/>
      </c>
      <c r="AB92" s="33" t="str">
        <f aca="false">IF($A92="","",IFERROR(MAX(0,AA92-J92),0))</f>
        <v/>
      </c>
      <c r="AC92" s="5" t="str">
        <f aca="false">IF($A92="","",IF(I92&gt;0,IFERROR(FLOOR(AB92/I92,100),0),0))</f>
        <v/>
      </c>
      <c r="AD92" s="6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IF($A92="","",IF(AND(AG92="核心池",AD92="合规",AC92&gt;=100),"可评估加仓","不可加仓"))</f>
        <v/>
      </c>
    </row>
    <row r="93" customFormat="false" ht="15" hidden="false" customHeight="true" outlineLevel="0" collapsed="false">
      <c r="A93" s="9"/>
      <c r="B93" s="9"/>
      <c r="C93" s="9"/>
      <c r="D93" s="9"/>
      <c r="E93" s="26"/>
      <c r="F93" s="9"/>
      <c r="G93" s="27"/>
      <c r="H93" s="26"/>
      <c r="I93" s="26"/>
      <c r="J93" s="18"/>
      <c r="K93" s="18"/>
      <c r="L93" s="18"/>
      <c r="M93" s="19"/>
      <c r="N93" s="19"/>
      <c r="O93" s="26"/>
      <c r="P93" s="18"/>
      <c r="Q93" s="5"/>
      <c r="R93" s="28"/>
      <c r="S93" s="9"/>
      <c r="T93" s="14"/>
      <c r="U93" s="14"/>
      <c r="V93" s="5"/>
      <c r="W93" s="5"/>
      <c r="X93" s="5"/>
      <c r="Y93" s="5"/>
      <c r="Z93" s="5"/>
      <c r="AA93" s="5" t="str">
        <f aca="false">IF($A93="","",IFERROR(INDEX(账户总表!$B:$B,MATCH($A93,账户总表!$A:$A,0))*INDEX(账户总表!$O:$O,MATCH($A93,账户总表!$A:$A,0)),0))</f>
        <v/>
      </c>
      <c r="AB93" s="33" t="str">
        <f aca="false">IF($A93="","",IFERROR(MAX(0,AA93-J93),0))</f>
        <v/>
      </c>
      <c r="AC93" s="5" t="str">
        <f aca="false">IF($A93="","",IF(I93&gt;0,IFERROR(FLOOR(AB93/I93,100),0),0))</f>
        <v/>
      </c>
      <c r="AD93" s="9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IF($A93="","",IF(AND(AG93="核心池",AD93="合规",AC93&gt;=100),"可评估加仓","不可加仓"))</f>
        <v/>
      </c>
    </row>
    <row r="94" customFormat="false" ht="15" hidden="false" customHeight="true" outlineLevel="0" collapsed="false">
      <c r="A94" s="6"/>
      <c r="B94" s="6"/>
      <c r="C94" s="6"/>
      <c r="D94" s="6"/>
      <c r="E94" s="17"/>
      <c r="F94" s="6"/>
      <c r="G94" s="20"/>
      <c r="H94" s="17"/>
      <c r="I94" s="17"/>
      <c r="J94" s="18"/>
      <c r="K94" s="18"/>
      <c r="L94" s="18"/>
      <c r="M94" s="19"/>
      <c r="N94" s="19"/>
      <c r="O94" s="17"/>
      <c r="P94" s="18"/>
      <c r="Q94" s="5"/>
      <c r="R94" s="22"/>
      <c r="S94" s="6"/>
      <c r="T94" s="13"/>
      <c r="U94" s="13"/>
      <c r="V94" s="5"/>
      <c r="W94" s="5"/>
      <c r="X94" s="5"/>
      <c r="Y94" s="5"/>
      <c r="Z94" s="5"/>
      <c r="AA94" s="5" t="str">
        <f aca="false">IF($A94="","",IFERROR(INDEX(账户总表!$B:$B,MATCH($A94,账户总表!$A:$A,0))*INDEX(账户总表!$O:$O,MATCH($A94,账户总表!$A:$A,0)),0))</f>
        <v/>
      </c>
      <c r="AB94" s="33" t="str">
        <f aca="false">IF($A94="","",IFERROR(MAX(0,AA94-J94),0))</f>
        <v/>
      </c>
      <c r="AC94" s="5" t="str">
        <f aca="false">IF($A94="","",IF(I94&gt;0,IFERROR(FLOOR(AB94/I94,100),0),0))</f>
        <v/>
      </c>
      <c r="AD94" s="6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IF($A94="","",IF(AND(AG94="核心池",AD94="合规",AC94&gt;=100),"可评估加仓","不可加仓"))</f>
        <v/>
      </c>
    </row>
    <row r="95" customFormat="false" ht="15" hidden="false" customHeight="true" outlineLevel="0" collapsed="false">
      <c r="A95" s="9"/>
      <c r="B95" s="9"/>
      <c r="C95" s="9"/>
      <c r="D95" s="9"/>
      <c r="E95" s="26"/>
      <c r="F95" s="9"/>
      <c r="G95" s="27"/>
      <c r="H95" s="26"/>
      <c r="I95" s="26"/>
      <c r="J95" s="18"/>
      <c r="K95" s="18"/>
      <c r="L95" s="18"/>
      <c r="M95" s="19"/>
      <c r="N95" s="19"/>
      <c r="O95" s="26"/>
      <c r="P95" s="18"/>
      <c r="Q95" s="5"/>
      <c r="R95" s="28"/>
      <c r="S95" s="9"/>
      <c r="T95" s="14"/>
      <c r="U95" s="14"/>
      <c r="V95" s="5"/>
      <c r="W95" s="5"/>
      <c r="X95" s="5"/>
      <c r="Y95" s="5"/>
      <c r="Z95" s="5"/>
      <c r="AA95" s="5" t="str">
        <f aca="false">IF($A95="","",IFERROR(INDEX(账户总表!$B:$B,MATCH($A95,账户总表!$A:$A,0))*INDEX(账户总表!$O:$O,MATCH($A95,账户总表!$A:$A,0)),0))</f>
        <v/>
      </c>
      <c r="AB95" s="33" t="str">
        <f aca="false">IF($A95="","",IFERROR(MAX(0,AA95-J95),0))</f>
        <v/>
      </c>
      <c r="AC95" s="5" t="str">
        <f aca="false">IF($A95="","",IF(I95&gt;0,IFERROR(FLOOR(AB95/I95,100),0),0))</f>
        <v/>
      </c>
      <c r="AD95" s="9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IF($A95="","",IF(AND(AG95="核心池",AD95="合规",AC95&gt;=100),"可评估加仓","不可加仓"))</f>
        <v/>
      </c>
    </row>
    <row r="96" customFormat="false" ht="15" hidden="false" customHeight="true" outlineLevel="0" collapsed="false">
      <c r="A96" s="6"/>
      <c r="B96" s="6"/>
      <c r="C96" s="6"/>
      <c r="D96" s="6"/>
      <c r="E96" s="17"/>
      <c r="F96" s="6"/>
      <c r="G96" s="20"/>
      <c r="H96" s="17"/>
      <c r="I96" s="17"/>
      <c r="J96" s="18"/>
      <c r="K96" s="18"/>
      <c r="L96" s="18"/>
      <c r="M96" s="19"/>
      <c r="N96" s="19"/>
      <c r="O96" s="17"/>
      <c r="P96" s="18"/>
      <c r="Q96" s="5"/>
      <c r="R96" s="22"/>
      <c r="S96" s="6"/>
      <c r="T96" s="13"/>
      <c r="U96" s="13"/>
      <c r="V96" s="5"/>
      <c r="W96" s="5"/>
      <c r="X96" s="5"/>
      <c r="Y96" s="5"/>
      <c r="Z96" s="5"/>
      <c r="AA96" s="5" t="str">
        <f aca="false">IF($A96="","",IFERROR(INDEX(账户总表!$B:$B,MATCH($A96,账户总表!$A:$A,0))*INDEX(账户总表!$O:$O,MATCH($A96,账户总表!$A:$A,0)),0))</f>
        <v/>
      </c>
      <c r="AB96" s="33" t="str">
        <f aca="false">IF($A96="","",IFERROR(MAX(0,AA96-J96),0))</f>
        <v/>
      </c>
      <c r="AC96" s="5" t="str">
        <f aca="false">IF($A96="","",IF(I96&gt;0,IFERROR(FLOOR(AB96/I96,100),0),0))</f>
        <v/>
      </c>
      <c r="AD96" s="6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IF($A96="","",IF(AND(AG96="核心池",AD96="合规",AC96&gt;=100),"可评估加仓","不可加仓"))</f>
        <v/>
      </c>
    </row>
    <row r="97" customFormat="false" ht="15" hidden="false" customHeight="true" outlineLevel="0" collapsed="false">
      <c r="A97" s="9"/>
      <c r="B97" s="9"/>
      <c r="C97" s="9"/>
      <c r="D97" s="9"/>
      <c r="E97" s="26"/>
      <c r="F97" s="9"/>
      <c r="G97" s="27"/>
      <c r="H97" s="26"/>
      <c r="I97" s="26"/>
      <c r="J97" s="18"/>
      <c r="K97" s="18"/>
      <c r="L97" s="18"/>
      <c r="M97" s="19"/>
      <c r="N97" s="19"/>
      <c r="O97" s="26"/>
      <c r="P97" s="18"/>
      <c r="Q97" s="5"/>
      <c r="R97" s="28"/>
      <c r="S97" s="9"/>
      <c r="T97" s="14"/>
      <c r="U97" s="14"/>
      <c r="V97" s="5"/>
      <c r="W97" s="5"/>
      <c r="X97" s="5"/>
      <c r="Y97" s="5"/>
      <c r="Z97" s="5"/>
      <c r="AA97" s="5" t="str">
        <f aca="false">IF($A97="","",IFERROR(INDEX(账户总表!$B:$B,MATCH($A97,账户总表!$A:$A,0))*INDEX(账户总表!$O:$O,MATCH($A97,账户总表!$A:$A,0)),0))</f>
        <v/>
      </c>
      <c r="AB97" s="33" t="str">
        <f aca="false">IF($A97="","",IFERROR(MAX(0,AA97-J97),0))</f>
        <v/>
      </c>
      <c r="AC97" s="5" t="str">
        <f aca="false">IF($A97="","",IF(I97&gt;0,IFERROR(FLOOR(AB97/I97,100),0),0))</f>
        <v/>
      </c>
      <c r="AD97" s="9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IF($A97="","",IF(AND(AG97="核心池",AD97="合规",AC97&gt;=100),"可评估加仓","不可加仓"))</f>
        <v/>
      </c>
    </row>
    <row r="98" customFormat="false" ht="15" hidden="false" customHeight="true" outlineLevel="0" collapsed="false">
      <c r="A98" s="6"/>
      <c r="B98" s="6"/>
      <c r="C98" s="6"/>
      <c r="D98" s="6"/>
      <c r="E98" s="17"/>
      <c r="F98" s="6"/>
      <c r="G98" s="20"/>
      <c r="H98" s="17"/>
      <c r="I98" s="17"/>
      <c r="J98" s="18"/>
      <c r="K98" s="18"/>
      <c r="L98" s="18"/>
      <c r="M98" s="19"/>
      <c r="N98" s="19"/>
      <c r="O98" s="17"/>
      <c r="P98" s="18"/>
      <c r="Q98" s="5"/>
      <c r="R98" s="22"/>
      <c r="S98" s="6"/>
      <c r="T98" s="13"/>
      <c r="U98" s="13"/>
      <c r="V98" s="5"/>
      <c r="W98" s="5"/>
      <c r="X98" s="5"/>
      <c r="Y98" s="5"/>
      <c r="Z98" s="5"/>
      <c r="AA98" s="5" t="str">
        <f aca="false">IF($A98="","",IFERROR(INDEX(账户总表!$B:$B,MATCH($A98,账户总表!$A:$A,0))*INDEX(账户总表!$O:$O,MATCH($A98,账户总表!$A:$A,0)),0))</f>
        <v/>
      </c>
      <c r="AB98" s="33" t="str">
        <f aca="false">IF($A98="","",IFERROR(MAX(0,AA98-J98),0))</f>
        <v/>
      </c>
      <c r="AC98" s="5" t="str">
        <f aca="false">IF($A98="","",IF(I98&gt;0,IFERROR(FLOOR(AB98/I98,100),0),0))</f>
        <v/>
      </c>
      <c r="AD98" s="6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IF($A98="","",IF(AND(AG98="核心池",AD98="合规",AC98&gt;=100),"可评估加仓","不可加仓"))</f>
        <v/>
      </c>
    </row>
    <row r="99" customFormat="false" ht="15" hidden="false" customHeight="true" outlineLevel="0" collapsed="false">
      <c r="A99" s="9"/>
      <c r="B99" s="9"/>
      <c r="C99" s="9"/>
      <c r="D99" s="9"/>
      <c r="E99" s="26"/>
      <c r="F99" s="9"/>
      <c r="G99" s="27"/>
      <c r="H99" s="26"/>
      <c r="I99" s="26"/>
      <c r="J99" s="18"/>
      <c r="K99" s="18"/>
      <c r="L99" s="18"/>
      <c r="M99" s="19"/>
      <c r="N99" s="19"/>
      <c r="O99" s="26"/>
      <c r="P99" s="18"/>
      <c r="Q99" s="5"/>
      <c r="R99" s="28"/>
      <c r="S99" s="9"/>
      <c r="T99" s="14"/>
      <c r="U99" s="14"/>
      <c r="V99" s="5"/>
      <c r="W99" s="5"/>
      <c r="X99" s="5"/>
      <c r="Y99" s="5"/>
      <c r="Z99" s="5"/>
      <c r="AA99" s="5" t="str">
        <f aca="false">IF($A99="","",IFERROR(INDEX(账户总表!$B:$B,MATCH($A99,账户总表!$A:$A,0))*INDEX(账户总表!$O:$O,MATCH($A99,账户总表!$A:$A,0)),0))</f>
        <v/>
      </c>
      <c r="AB99" s="33" t="str">
        <f aca="false">IF($A99="","",IFERROR(MAX(0,AA99-J99),0))</f>
        <v/>
      </c>
      <c r="AC99" s="5" t="str">
        <f aca="false">IF($A99="","",IF(I99&gt;0,IFERROR(FLOOR(AB99/I99,100),0),0))</f>
        <v/>
      </c>
      <c r="AD99" s="9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IF($A99="","",IF(AND(AG99="核心池",AD99="合规",AC99&gt;=100),"可评估加仓","不可加仓"))</f>
        <v/>
      </c>
    </row>
    <row r="100" customFormat="false" ht="15" hidden="false" customHeight="true" outlineLevel="0" collapsed="false">
      <c r="A100" s="6"/>
      <c r="B100" s="6"/>
      <c r="C100" s="6"/>
      <c r="D100" s="6"/>
      <c r="E100" s="17"/>
      <c r="F100" s="6"/>
      <c r="G100" s="20"/>
      <c r="H100" s="17"/>
      <c r="I100" s="17"/>
      <c r="J100" s="18"/>
      <c r="K100" s="18"/>
      <c r="L100" s="18"/>
      <c r="M100" s="19"/>
      <c r="N100" s="19"/>
      <c r="O100" s="17"/>
      <c r="P100" s="18"/>
      <c r="Q100" s="5"/>
      <c r="R100" s="22"/>
      <c r="S100" s="6"/>
      <c r="T100" s="13"/>
      <c r="U100" s="13"/>
      <c r="V100" s="5"/>
      <c r="W100" s="5"/>
      <c r="X100" s="5"/>
      <c r="Y100" s="5"/>
      <c r="Z100" s="5"/>
      <c r="AA100" s="5" t="str">
        <f aca="false">IF($A100="","",IFERROR(INDEX(账户总表!$B:$B,MATCH($A100,账户总表!$A:$A,0))*INDEX(账户总表!$O:$O,MATCH($A100,账户总表!$A:$A,0)),0))</f>
        <v/>
      </c>
      <c r="AB100" s="33" t="str">
        <f aca="false">IF($A100="","",IFERROR(MAX(0,AA100-J100),0))</f>
        <v/>
      </c>
      <c r="AC100" s="5" t="str">
        <f aca="false">IF($A100="","",IF(I100&gt;0,IFERROR(FLOOR(AB100/I100,100),0),0))</f>
        <v/>
      </c>
      <c r="AD100" s="6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IF($A100="","",IF(AND(AG100="核心池",AD100="合规",AC100&gt;=100),"可评估加仓","不可加仓"))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26"/>
      <c r="F101" s="9"/>
      <c r="G101" s="27"/>
      <c r="H101" s="26"/>
      <c r="I101" s="26"/>
      <c r="J101" s="18"/>
      <c r="K101" s="18"/>
      <c r="L101" s="18"/>
      <c r="M101" s="19"/>
      <c r="N101" s="19"/>
      <c r="O101" s="26"/>
      <c r="P101" s="18"/>
      <c r="Q101" s="5"/>
      <c r="R101" s="28"/>
      <c r="S101" s="9"/>
      <c r="T101" s="14"/>
      <c r="U101" s="14"/>
      <c r="V101" s="5"/>
      <c r="W101" s="5"/>
      <c r="X101" s="5"/>
      <c r="Y101" s="5"/>
      <c r="Z101" s="5"/>
      <c r="AA101" s="5" t="str">
        <f aca="false">IF($A101="","",IFERROR(INDEX(账户总表!$B:$B,MATCH($A101,账户总表!$A:$A,0))*INDEX(账户总表!$O:$O,MATCH($A101,账户总表!$A:$A,0)),0))</f>
        <v/>
      </c>
      <c r="AB101" s="33" t="str">
        <f aca="false">IF($A101="","",IFERROR(MAX(0,AA101-J101),0))</f>
        <v/>
      </c>
      <c r="AC101" s="5" t="str">
        <f aca="false">IF($A101="","",IF(I101&gt;0,IFERROR(FLOOR(AB101/I101,100),0),0))</f>
        <v/>
      </c>
      <c r="AD101" s="9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IF($A101="","",IF(AND(AG101="核心池",AD101="合规",AC101&gt;=100),"可评估加仓","不可加仓"))</f>
        <v/>
      </c>
    </row>
    <row r="102" customFormat="false" ht="15" hidden="false" customHeight="true" outlineLevel="0" collapsed="false">
      <c r="A102" s="6"/>
      <c r="B102" s="6"/>
      <c r="C102" s="6"/>
      <c r="D102" s="6"/>
      <c r="E102" s="17"/>
      <c r="F102" s="6"/>
      <c r="G102" s="20"/>
      <c r="H102" s="17"/>
      <c r="I102" s="17"/>
      <c r="J102" s="18"/>
      <c r="K102" s="18"/>
      <c r="L102" s="18"/>
      <c r="M102" s="19"/>
      <c r="N102" s="19"/>
      <c r="O102" s="17"/>
      <c r="P102" s="18"/>
      <c r="Q102" s="5"/>
      <c r="R102" s="22"/>
      <c r="S102" s="6"/>
      <c r="T102" s="13"/>
      <c r="U102" s="13"/>
      <c r="V102" s="5"/>
      <c r="W102" s="5"/>
      <c r="X102" s="5"/>
      <c r="Y102" s="5"/>
      <c r="Z102" s="5"/>
      <c r="AA102" s="5" t="str">
        <f aca="false">IF($A102="","",IFERROR(INDEX(账户总表!$B:$B,MATCH($A102,账户总表!$A:$A,0))*INDEX(账户总表!$O:$O,MATCH($A102,账户总表!$A:$A,0)),0))</f>
        <v/>
      </c>
      <c r="AB102" s="33" t="str">
        <f aca="false">IF($A102="","",IFERROR(MAX(0,AA102-J102),0))</f>
        <v/>
      </c>
      <c r="AC102" s="5" t="str">
        <f aca="false">IF($A102="","",IF(I102&gt;0,IFERROR(FLOOR(AB102/I102,100),0),0))</f>
        <v/>
      </c>
      <c r="AD102" s="6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IF($A102="","",IF(AND(AG102="核心池",AD102="合规",AC102&gt;=100),"可评估加仓","不可加仓"))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26"/>
      <c r="F103" s="9"/>
      <c r="G103" s="27"/>
      <c r="H103" s="26"/>
      <c r="I103" s="26"/>
      <c r="J103" s="18"/>
      <c r="K103" s="18"/>
      <c r="L103" s="18"/>
      <c r="M103" s="19"/>
      <c r="N103" s="19"/>
      <c r="O103" s="26"/>
      <c r="P103" s="18"/>
      <c r="Q103" s="5"/>
      <c r="R103" s="28"/>
      <c r="S103" s="9"/>
      <c r="T103" s="14"/>
      <c r="U103" s="14"/>
      <c r="V103" s="5"/>
      <c r="W103" s="5"/>
      <c r="X103" s="5"/>
      <c r="Y103" s="5"/>
      <c r="Z103" s="5"/>
      <c r="AA103" s="5" t="str">
        <f aca="false">IF($A103="","",IFERROR(INDEX(账户总表!$B:$B,MATCH($A103,账户总表!$A:$A,0))*INDEX(账户总表!$O:$O,MATCH($A103,账户总表!$A:$A,0)),0))</f>
        <v/>
      </c>
      <c r="AB103" s="33" t="str">
        <f aca="false">IF($A103="","",IFERROR(MAX(0,AA103-J103),0))</f>
        <v/>
      </c>
      <c r="AC103" s="5" t="str">
        <f aca="false">IF($A103="","",IF(I103&gt;0,IFERROR(FLOOR(AB103/I103,100),0),0))</f>
        <v/>
      </c>
      <c r="AD103" s="9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IF($A103="","",IF(AND(AG103="核心池",AD103="合规",AC103&gt;=100),"可评估加仓","不可加仓"))</f>
        <v/>
      </c>
    </row>
    <row r="104" customFormat="false" ht="15" hidden="false" customHeight="true" outlineLevel="0" collapsed="false">
      <c r="A104" s="6"/>
      <c r="B104" s="6"/>
      <c r="C104" s="6"/>
      <c r="D104" s="6"/>
      <c r="E104" s="17"/>
      <c r="F104" s="6"/>
      <c r="G104" s="20"/>
      <c r="H104" s="17"/>
      <c r="I104" s="17"/>
      <c r="J104" s="18"/>
      <c r="K104" s="18"/>
      <c r="L104" s="18"/>
      <c r="M104" s="19"/>
      <c r="N104" s="19"/>
      <c r="O104" s="17"/>
      <c r="P104" s="18"/>
      <c r="Q104" s="5"/>
      <c r="R104" s="22"/>
      <c r="S104" s="6"/>
      <c r="T104" s="13"/>
      <c r="U104" s="13"/>
      <c r="V104" s="5"/>
      <c r="W104" s="5"/>
      <c r="X104" s="5"/>
      <c r="Y104" s="5"/>
      <c r="Z104" s="5"/>
      <c r="AA104" s="5" t="str">
        <f aca="false">IF($A104="","",IFERROR(INDEX(账户总表!$B:$B,MATCH($A104,账户总表!$A:$A,0))*INDEX(账户总表!$O:$O,MATCH($A104,账户总表!$A:$A,0)),0))</f>
        <v/>
      </c>
      <c r="AB104" s="33" t="str">
        <f aca="false">IF($A104="","",IFERROR(MAX(0,AA104-J104),0))</f>
        <v/>
      </c>
      <c r="AC104" s="5" t="str">
        <f aca="false">IF($A104="","",IF(I104&gt;0,IFERROR(FLOOR(AB104/I104,100),0),0))</f>
        <v/>
      </c>
      <c r="AD104" s="6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IF($A104="","",IF(AND(AG104="核心池",AD104="合规",AC104&gt;=100),"可评估加仓","不可加仓"))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26"/>
      <c r="F105" s="9"/>
      <c r="G105" s="27"/>
      <c r="H105" s="26"/>
      <c r="I105" s="26"/>
      <c r="J105" s="18"/>
      <c r="K105" s="18"/>
      <c r="L105" s="18"/>
      <c r="M105" s="19"/>
      <c r="N105" s="19"/>
      <c r="O105" s="26"/>
      <c r="P105" s="18"/>
      <c r="Q105" s="5"/>
      <c r="R105" s="28"/>
      <c r="S105" s="9"/>
      <c r="T105" s="14"/>
      <c r="U105" s="14"/>
      <c r="V105" s="5"/>
      <c r="W105" s="5"/>
      <c r="X105" s="5"/>
      <c r="Y105" s="5"/>
      <c r="Z105" s="5"/>
      <c r="AA105" s="5" t="str">
        <f aca="false">IF($A105="","",IFERROR(INDEX(账户总表!$B:$B,MATCH($A105,账户总表!$A:$A,0))*INDEX(账户总表!$O:$O,MATCH($A105,账户总表!$A:$A,0)),0))</f>
        <v/>
      </c>
      <c r="AB105" s="33" t="str">
        <f aca="false">IF($A105="","",IFERROR(MAX(0,AA105-J105),0))</f>
        <v/>
      </c>
      <c r="AC105" s="5" t="str">
        <f aca="false">IF($A105="","",IF(I105&gt;0,IFERROR(FLOOR(AB105/I105,100),0),0))</f>
        <v/>
      </c>
      <c r="AD105" s="9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IF($A105="","",IF(AND(AG105="核心池",AD105="合规",AC105&gt;=100),"可评估加仓","不可加仓"))</f>
        <v/>
      </c>
    </row>
    <row r="106" customFormat="false" ht="15" hidden="false" customHeight="true" outlineLevel="0" collapsed="false">
      <c r="A106" s="6"/>
      <c r="B106" s="6"/>
      <c r="C106" s="6"/>
      <c r="D106" s="6"/>
      <c r="E106" s="17"/>
      <c r="F106" s="6"/>
      <c r="G106" s="20"/>
      <c r="H106" s="17"/>
      <c r="I106" s="17"/>
      <c r="J106" s="18"/>
      <c r="K106" s="18"/>
      <c r="L106" s="18"/>
      <c r="M106" s="19"/>
      <c r="N106" s="19"/>
      <c r="O106" s="17"/>
      <c r="P106" s="18"/>
      <c r="Q106" s="5"/>
      <c r="R106" s="22"/>
      <c r="S106" s="6"/>
      <c r="T106" s="13"/>
      <c r="U106" s="13"/>
      <c r="V106" s="5"/>
      <c r="W106" s="5"/>
      <c r="X106" s="5"/>
      <c r="Y106" s="5"/>
      <c r="Z106" s="5"/>
      <c r="AA106" s="5" t="str">
        <f aca="false">IF($A106="","",IFERROR(INDEX(账户总表!$B:$B,MATCH($A106,账户总表!$A:$A,0))*INDEX(账户总表!$O:$O,MATCH($A106,账户总表!$A:$A,0)),0))</f>
        <v/>
      </c>
      <c r="AB106" s="33" t="str">
        <f aca="false">IF($A106="","",IFERROR(MAX(0,AA106-J106),0))</f>
        <v/>
      </c>
      <c r="AC106" s="5" t="str">
        <f aca="false">IF($A106="","",IF(I106&gt;0,IFERROR(FLOOR(AB106/I106,100),0),0))</f>
        <v/>
      </c>
      <c r="AD106" s="6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IF($A106="","",IF(AND(AG106="核心池",AD106="合规",AC106&gt;=100),"可评估加仓","不可加仓"))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26"/>
      <c r="F107" s="9"/>
      <c r="G107" s="27"/>
      <c r="H107" s="26"/>
      <c r="I107" s="26"/>
      <c r="J107" s="18"/>
      <c r="K107" s="18"/>
      <c r="L107" s="18"/>
      <c r="M107" s="19"/>
      <c r="N107" s="19"/>
      <c r="O107" s="26"/>
      <c r="P107" s="18"/>
      <c r="Q107" s="5"/>
      <c r="R107" s="28"/>
      <c r="S107" s="9"/>
      <c r="T107" s="14"/>
      <c r="U107" s="14"/>
      <c r="V107" s="5"/>
      <c r="W107" s="5"/>
      <c r="X107" s="5"/>
      <c r="Y107" s="5"/>
      <c r="Z107" s="5"/>
      <c r="AA107" s="5" t="str">
        <f aca="false">IF($A107="","",IFERROR(INDEX(账户总表!$B:$B,MATCH($A107,账户总表!$A:$A,0))*INDEX(账户总表!$O:$O,MATCH($A107,账户总表!$A:$A,0)),0))</f>
        <v/>
      </c>
      <c r="AB107" s="33" t="str">
        <f aca="false">IF($A107="","",IFERROR(MAX(0,AA107-J107),0))</f>
        <v/>
      </c>
      <c r="AC107" s="5" t="str">
        <f aca="false">IF($A107="","",IF(I107&gt;0,IFERROR(FLOOR(AB107/I107,100),0),0))</f>
        <v/>
      </c>
      <c r="AD107" s="9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IF($A107="","",IF(AND(AG107="核心池",AD107="合规",AC107&gt;=100),"可评估加仓","不可加仓"))</f>
        <v/>
      </c>
    </row>
    <row r="108" customFormat="false" ht="15" hidden="false" customHeight="true" outlineLevel="0" collapsed="false">
      <c r="A108" s="6"/>
      <c r="B108" s="6"/>
      <c r="C108" s="6"/>
      <c r="D108" s="6"/>
      <c r="E108" s="17"/>
      <c r="F108" s="6"/>
      <c r="G108" s="20"/>
      <c r="H108" s="17"/>
      <c r="I108" s="17"/>
      <c r="J108" s="18"/>
      <c r="K108" s="18"/>
      <c r="L108" s="18"/>
      <c r="M108" s="19"/>
      <c r="N108" s="19"/>
      <c r="O108" s="17"/>
      <c r="P108" s="18"/>
      <c r="Q108" s="5"/>
      <c r="R108" s="22"/>
      <c r="S108" s="6"/>
      <c r="T108" s="13"/>
      <c r="U108" s="13"/>
      <c r="V108" s="5"/>
      <c r="W108" s="5"/>
      <c r="X108" s="5"/>
      <c r="Y108" s="5"/>
      <c r="Z108" s="5"/>
      <c r="AA108" s="5" t="str">
        <f aca="false">IF($A108="","",IFERROR(INDEX(账户总表!$B:$B,MATCH($A108,账户总表!$A:$A,0))*INDEX(账户总表!$O:$O,MATCH($A108,账户总表!$A:$A,0)),0))</f>
        <v/>
      </c>
      <c r="AB108" s="33" t="str">
        <f aca="false">IF($A108="","",IFERROR(MAX(0,AA108-J108),0))</f>
        <v/>
      </c>
      <c r="AC108" s="5" t="str">
        <f aca="false">IF($A108="","",IF(I108&gt;0,IFERROR(FLOOR(AB108/I108,100),0),0))</f>
        <v/>
      </c>
      <c r="AD108" s="6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IF($A108="","",IF(AND(AG108="核心池",AD108="合规",AC108&gt;=100),"可评估加仓","不可加仓"))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26"/>
      <c r="F109" s="9"/>
      <c r="G109" s="27"/>
      <c r="H109" s="26"/>
      <c r="I109" s="26"/>
      <c r="J109" s="18"/>
      <c r="K109" s="18"/>
      <c r="L109" s="18"/>
      <c r="M109" s="19"/>
      <c r="N109" s="19"/>
      <c r="O109" s="26"/>
      <c r="P109" s="18"/>
      <c r="Q109" s="5"/>
      <c r="R109" s="28"/>
      <c r="S109" s="9"/>
      <c r="T109" s="14"/>
      <c r="U109" s="14"/>
      <c r="V109" s="5"/>
      <c r="W109" s="5"/>
      <c r="X109" s="5"/>
      <c r="Y109" s="5"/>
      <c r="Z109" s="5"/>
      <c r="AA109" s="5" t="str">
        <f aca="false">IF($A109="","",IFERROR(INDEX(账户总表!$B:$B,MATCH($A109,账户总表!$A:$A,0))*INDEX(账户总表!$O:$O,MATCH($A109,账户总表!$A:$A,0)),0))</f>
        <v/>
      </c>
      <c r="AB109" s="33" t="str">
        <f aca="false">IF($A109="","",IFERROR(MAX(0,AA109-J109),0))</f>
        <v/>
      </c>
      <c r="AC109" s="5" t="str">
        <f aca="false">IF($A109="","",IF(I109&gt;0,IFERROR(FLOOR(AB109/I109,100),0),0))</f>
        <v/>
      </c>
      <c r="AD109" s="9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IF($A109="","",IF(AND(AG109="核心池",AD109="合规",AC109&gt;=100),"可评估加仓","不可加仓"))</f>
        <v/>
      </c>
    </row>
    <row r="110" customFormat="false" ht="15" hidden="false" customHeight="true" outlineLevel="0" collapsed="false">
      <c r="A110" s="6"/>
      <c r="B110" s="6"/>
      <c r="C110" s="6"/>
      <c r="D110" s="6"/>
      <c r="E110" s="17"/>
      <c r="F110" s="6"/>
      <c r="G110" s="20"/>
      <c r="H110" s="17"/>
      <c r="I110" s="17"/>
      <c r="J110" s="18"/>
      <c r="K110" s="18"/>
      <c r="L110" s="18"/>
      <c r="M110" s="19"/>
      <c r="N110" s="19"/>
      <c r="O110" s="17"/>
      <c r="P110" s="18"/>
      <c r="Q110" s="5"/>
      <c r="R110" s="22"/>
      <c r="S110" s="6"/>
      <c r="T110" s="13"/>
      <c r="U110" s="13"/>
      <c r="V110" s="5"/>
      <c r="W110" s="5"/>
      <c r="X110" s="5"/>
      <c r="Y110" s="5"/>
      <c r="Z110" s="5"/>
      <c r="AA110" s="5" t="str">
        <f aca="false">IF($A110="","",IFERROR(INDEX(账户总表!$B:$B,MATCH($A110,账户总表!$A:$A,0))*INDEX(账户总表!$O:$O,MATCH($A110,账户总表!$A:$A,0)),0))</f>
        <v/>
      </c>
      <c r="AB110" s="33" t="str">
        <f aca="false">IF($A110="","",IFERROR(MAX(0,AA110-J110),0))</f>
        <v/>
      </c>
      <c r="AC110" s="5" t="str">
        <f aca="false">IF($A110="","",IF(I110&gt;0,IFERROR(FLOOR(AB110/I110,100),0),0))</f>
        <v/>
      </c>
      <c r="AD110" s="6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IF($A110="","",IF(AND(AG110="核心池",AD110="合规",AC110&gt;=100),"可评估加仓","不可加仓"))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26"/>
      <c r="F111" s="9"/>
      <c r="G111" s="27"/>
      <c r="H111" s="26"/>
      <c r="I111" s="26"/>
      <c r="J111" s="18"/>
      <c r="K111" s="18"/>
      <c r="L111" s="18"/>
      <c r="M111" s="19"/>
      <c r="N111" s="19"/>
      <c r="O111" s="26"/>
      <c r="P111" s="18"/>
      <c r="Q111" s="5"/>
      <c r="R111" s="28"/>
      <c r="S111" s="9"/>
      <c r="T111" s="14"/>
      <c r="U111" s="14"/>
      <c r="V111" s="5"/>
      <c r="W111" s="5"/>
      <c r="X111" s="5"/>
      <c r="Y111" s="5"/>
      <c r="Z111" s="5"/>
      <c r="AA111" s="5" t="str">
        <f aca="false">IF($A111="","",IFERROR(INDEX(账户总表!$B:$B,MATCH($A111,账户总表!$A:$A,0))*INDEX(账户总表!$O:$O,MATCH($A111,账户总表!$A:$A,0)),0))</f>
        <v/>
      </c>
      <c r="AB111" s="33" t="str">
        <f aca="false">IF($A111="","",IFERROR(MAX(0,AA111-J111),0))</f>
        <v/>
      </c>
      <c r="AC111" s="5" t="str">
        <f aca="false">IF($A111="","",IF(I111&gt;0,IFERROR(FLOOR(AB111/I111,100),0),0))</f>
        <v/>
      </c>
      <c r="AD111" s="9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IF($A111="","",IF(AND(AG111="核心池",AD111="合规",AC111&gt;=100),"可评估加仓","不可加仓"))</f>
        <v/>
      </c>
    </row>
    <row r="112" customFormat="false" ht="15" hidden="false" customHeight="true" outlineLevel="0" collapsed="false">
      <c r="A112" s="6"/>
      <c r="B112" s="6"/>
      <c r="C112" s="6"/>
      <c r="D112" s="6"/>
      <c r="E112" s="17"/>
      <c r="F112" s="6"/>
      <c r="G112" s="20"/>
      <c r="H112" s="17"/>
      <c r="I112" s="17"/>
      <c r="J112" s="18"/>
      <c r="K112" s="18"/>
      <c r="L112" s="18"/>
      <c r="M112" s="19"/>
      <c r="N112" s="19"/>
      <c r="O112" s="17"/>
      <c r="P112" s="18"/>
      <c r="Q112" s="5"/>
      <c r="R112" s="22"/>
      <c r="S112" s="6"/>
      <c r="T112" s="13"/>
      <c r="U112" s="13"/>
      <c r="V112" s="5"/>
      <c r="W112" s="5"/>
      <c r="X112" s="5"/>
      <c r="Y112" s="5"/>
      <c r="Z112" s="5"/>
      <c r="AA112" s="5" t="str">
        <f aca="false">IF($A112="","",IFERROR(INDEX(账户总表!$B:$B,MATCH($A112,账户总表!$A:$A,0))*INDEX(账户总表!$O:$O,MATCH($A112,账户总表!$A:$A,0)),0))</f>
        <v/>
      </c>
      <c r="AB112" s="33" t="str">
        <f aca="false">IF($A112="","",IFERROR(MAX(0,AA112-J112),0))</f>
        <v/>
      </c>
      <c r="AC112" s="5" t="str">
        <f aca="false">IF($A112="","",IF(I112&gt;0,IFERROR(FLOOR(AB112/I112,100),0),0))</f>
        <v/>
      </c>
      <c r="AD112" s="6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IF($A112="","",IF(AND(AG112="核心池",AD112="合规",AC112&gt;=100),"可评估加仓","不可加仓"))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26"/>
      <c r="F113" s="9"/>
      <c r="G113" s="27"/>
      <c r="H113" s="26"/>
      <c r="I113" s="26"/>
      <c r="J113" s="18"/>
      <c r="K113" s="18"/>
      <c r="L113" s="18"/>
      <c r="M113" s="19"/>
      <c r="N113" s="19"/>
      <c r="O113" s="26"/>
      <c r="P113" s="18"/>
      <c r="Q113" s="5"/>
      <c r="R113" s="28"/>
      <c r="S113" s="9"/>
      <c r="T113" s="14"/>
      <c r="U113" s="14"/>
      <c r="V113" s="5"/>
      <c r="W113" s="5"/>
      <c r="X113" s="5"/>
      <c r="Y113" s="5"/>
      <c r="Z113" s="5"/>
      <c r="AA113" s="5" t="str">
        <f aca="false">IF($A113="","",IFERROR(INDEX(账户总表!$B:$B,MATCH($A113,账户总表!$A:$A,0))*INDEX(账户总表!$O:$O,MATCH($A113,账户总表!$A:$A,0)),0))</f>
        <v/>
      </c>
      <c r="AB113" s="33" t="str">
        <f aca="false">IF($A113="","",IFERROR(MAX(0,AA113-J113),0))</f>
        <v/>
      </c>
      <c r="AC113" s="5" t="str">
        <f aca="false">IF($A113="","",IF(I113&gt;0,IFERROR(FLOOR(AB113/I113,100),0),0))</f>
        <v/>
      </c>
      <c r="AD113" s="9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IF($A113="","",IF(AND(AG113="核心池",AD113="合规",AC113&gt;=100),"可评估加仓","不可加仓"))</f>
        <v/>
      </c>
    </row>
    <row r="114" customFormat="false" ht="15" hidden="false" customHeight="true" outlineLevel="0" collapsed="false">
      <c r="A114" s="6"/>
      <c r="B114" s="6"/>
      <c r="C114" s="6"/>
      <c r="D114" s="6"/>
      <c r="E114" s="17"/>
      <c r="F114" s="6"/>
      <c r="G114" s="20"/>
      <c r="H114" s="17"/>
      <c r="I114" s="17"/>
      <c r="J114" s="18"/>
      <c r="K114" s="18"/>
      <c r="L114" s="18"/>
      <c r="M114" s="19"/>
      <c r="N114" s="19"/>
      <c r="O114" s="17"/>
      <c r="P114" s="18"/>
      <c r="Q114" s="5"/>
      <c r="R114" s="22"/>
      <c r="S114" s="6"/>
      <c r="T114" s="13"/>
      <c r="U114" s="13"/>
      <c r="V114" s="5"/>
      <c r="W114" s="5"/>
      <c r="X114" s="5"/>
      <c r="Y114" s="5"/>
      <c r="Z114" s="5"/>
      <c r="AA114" s="5" t="str">
        <f aca="false">IF($A114="","",IFERROR(INDEX(账户总表!$B:$B,MATCH($A114,账户总表!$A:$A,0))*INDEX(账户总表!$O:$O,MATCH($A114,账户总表!$A:$A,0)),0))</f>
        <v/>
      </c>
      <c r="AB114" s="33" t="str">
        <f aca="false">IF($A114="","",IFERROR(MAX(0,AA114-J114),0))</f>
        <v/>
      </c>
      <c r="AC114" s="5" t="str">
        <f aca="false">IF($A114="","",IF(I114&gt;0,IFERROR(FLOOR(AB114/I114,100),0),0))</f>
        <v/>
      </c>
      <c r="AD114" s="6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IF($A114="","",IF(AND(AG114="核心池",AD114="合规",AC114&gt;=100),"可评估加仓","不可加仓"))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26"/>
      <c r="F115" s="9"/>
      <c r="G115" s="27"/>
      <c r="H115" s="26"/>
      <c r="I115" s="26"/>
      <c r="J115" s="18"/>
      <c r="K115" s="18"/>
      <c r="L115" s="18"/>
      <c r="M115" s="19"/>
      <c r="N115" s="19"/>
      <c r="O115" s="26"/>
      <c r="P115" s="18"/>
      <c r="Q115" s="5"/>
      <c r="R115" s="28"/>
      <c r="S115" s="9"/>
      <c r="T115" s="14"/>
      <c r="U115" s="14"/>
      <c r="V115" s="5"/>
      <c r="W115" s="5"/>
      <c r="X115" s="5"/>
      <c r="Y115" s="5"/>
      <c r="Z115" s="5"/>
      <c r="AA115" s="5" t="str">
        <f aca="false">IF($A115="","",IFERROR(INDEX(账户总表!$B:$B,MATCH($A115,账户总表!$A:$A,0))*INDEX(账户总表!$O:$O,MATCH($A115,账户总表!$A:$A,0)),0))</f>
        <v/>
      </c>
      <c r="AB115" s="33" t="str">
        <f aca="false">IF($A115="","",IFERROR(MAX(0,AA115-J115),0))</f>
        <v/>
      </c>
      <c r="AC115" s="5" t="str">
        <f aca="false">IF($A115="","",IF(I115&gt;0,IFERROR(FLOOR(AB115/I115,100),0),0))</f>
        <v/>
      </c>
      <c r="AD115" s="9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IF($A115="","",IF(AND(AG115="核心池",AD115="合规",AC115&gt;=100),"可评估加仓","不可加仓"))</f>
        <v/>
      </c>
    </row>
    <row r="116" customFormat="false" ht="15" hidden="false" customHeight="true" outlineLevel="0" collapsed="false">
      <c r="A116" s="6"/>
      <c r="B116" s="6"/>
      <c r="C116" s="6"/>
      <c r="D116" s="6"/>
      <c r="E116" s="17"/>
      <c r="F116" s="6"/>
      <c r="G116" s="20"/>
      <c r="H116" s="17"/>
      <c r="I116" s="17"/>
      <c r="J116" s="18"/>
      <c r="K116" s="18"/>
      <c r="L116" s="18"/>
      <c r="M116" s="19"/>
      <c r="N116" s="19"/>
      <c r="O116" s="17"/>
      <c r="P116" s="18"/>
      <c r="Q116" s="5"/>
      <c r="R116" s="22"/>
      <c r="S116" s="6"/>
      <c r="T116" s="13"/>
      <c r="U116" s="13"/>
      <c r="V116" s="5"/>
      <c r="W116" s="5"/>
      <c r="X116" s="5"/>
      <c r="Y116" s="5"/>
      <c r="Z116" s="5"/>
      <c r="AA116" s="5" t="str">
        <f aca="false">IF($A116="","",IFERROR(INDEX(账户总表!$B:$B,MATCH($A116,账户总表!$A:$A,0))*INDEX(账户总表!$O:$O,MATCH($A116,账户总表!$A:$A,0)),0))</f>
        <v/>
      </c>
      <c r="AB116" s="33" t="str">
        <f aca="false">IF($A116="","",IFERROR(MAX(0,AA116-J116),0))</f>
        <v/>
      </c>
      <c r="AC116" s="5" t="str">
        <f aca="false">IF($A116="","",IF(I116&gt;0,IFERROR(FLOOR(AB116/I116,100),0),0))</f>
        <v/>
      </c>
      <c r="AD116" s="6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IF($A116="","",IF(AND(AG116="核心池",AD116="合规",AC116&gt;=100),"可评估加仓","不可加仓"))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26"/>
      <c r="F117" s="9"/>
      <c r="G117" s="27"/>
      <c r="H117" s="26"/>
      <c r="I117" s="26"/>
      <c r="J117" s="18"/>
      <c r="K117" s="18"/>
      <c r="L117" s="18"/>
      <c r="M117" s="19"/>
      <c r="N117" s="19"/>
      <c r="O117" s="26"/>
      <c r="P117" s="18"/>
      <c r="Q117" s="5"/>
      <c r="R117" s="28"/>
      <c r="S117" s="9"/>
      <c r="T117" s="14"/>
      <c r="U117" s="14"/>
      <c r="V117" s="5"/>
      <c r="W117" s="5"/>
      <c r="X117" s="5"/>
      <c r="Y117" s="5"/>
      <c r="Z117" s="5"/>
      <c r="AA117" s="5" t="str">
        <f aca="false">IF($A117="","",IFERROR(INDEX(账户总表!$B:$B,MATCH($A117,账户总表!$A:$A,0))*INDEX(账户总表!$O:$O,MATCH($A117,账户总表!$A:$A,0)),0))</f>
        <v/>
      </c>
      <c r="AB117" s="33" t="str">
        <f aca="false">IF($A117="","",IFERROR(MAX(0,AA117-J117),0))</f>
        <v/>
      </c>
      <c r="AC117" s="5" t="str">
        <f aca="false">IF($A117="","",IF(I117&gt;0,IFERROR(FLOOR(AB117/I117,100),0),0))</f>
        <v/>
      </c>
      <c r="AD117" s="9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IF($A117="","",IF(AND(AG117="核心池",AD117="合规",AC117&gt;=100),"可评估加仓","不可加仓"))</f>
        <v/>
      </c>
    </row>
    <row r="118" customFormat="false" ht="15" hidden="false" customHeight="true" outlineLevel="0" collapsed="false">
      <c r="A118" s="6"/>
      <c r="B118" s="6"/>
      <c r="C118" s="6"/>
      <c r="D118" s="6"/>
      <c r="E118" s="17"/>
      <c r="F118" s="6"/>
      <c r="G118" s="20"/>
      <c r="H118" s="17"/>
      <c r="I118" s="17"/>
      <c r="J118" s="18"/>
      <c r="K118" s="18"/>
      <c r="L118" s="18"/>
      <c r="M118" s="19"/>
      <c r="N118" s="19"/>
      <c r="O118" s="17"/>
      <c r="P118" s="18"/>
      <c r="Q118" s="5"/>
      <c r="R118" s="22"/>
      <c r="S118" s="6"/>
      <c r="T118" s="13"/>
      <c r="U118" s="13"/>
      <c r="V118" s="5"/>
      <c r="W118" s="5"/>
      <c r="X118" s="5"/>
      <c r="Y118" s="5"/>
      <c r="Z118" s="5"/>
      <c r="AA118" s="5" t="str">
        <f aca="false">IF($A118="","",IFERROR(INDEX(账户总表!$B:$B,MATCH($A118,账户总表!$A:$A,0))*INDEX(账户总表!$O:$O,MATCH($A118,账户总表!$A:$A,0)),0))</f>
        <v/>
      </c>
      <c r="AB118" s="33" t="str">
        <f aca="false">IF($A118="","",IFERROR(MAX(0,AA118-J118),0))</f>
        <v/>
      </c>
      <c r="AC118" s="5" t="str">
        <f aca="false">IF($A118="","",IF(I118&gt;0,IFERROR(FLOOR(AB118/I118,100),0),0))</f>
        <v/>
      </c>
      <c r="AD118" s="6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IF($A118="","",IF(AND(AG118="核心池",AD118="合规",AC118&gt;=100),"可评估加仓","不可加仓"))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26"/>
      <c r="F119" s="9"/>
      <c r="G119" s="27"/>
      <c r="H119" s="26"/>
      <c r="I119" s="26"/>
      <c r="J119" s="18"/>
      <c r="K119" s="18"/>
      <c r="L119" s="18"/>
      <c r="M119" s="19"/>
      <c r="N119" s="19"/>
      <c r="O119" s="26"/>
      <c r="P119" s="18"/>
      <c r="Q119" s="5"/>
      <c r="R119" s="28"/>
      <c r="S119" s="9"/>
      <c r="T119" s="14"/>
      <c r="U119" s="14"/>
      <c r="V119" s="5"/>
      <c r="W119" s="5"/>
      <c r="X119" s="5"/>
      <c r="Y119" s="5"/>
      <c r="Z119" s="5"/>
      <c r="AA119" s="5" t="str">
        <f aca="false">IF($A119="","",IFERROR(INDEX(账户总表!$B:$B,MATCH($A119,账户总表!$A:$A,0))*INDEX(账户总表!$O:$O,MATCH($A119,账户总表!$A:$A,0)),0))</f>
        <v/>
      </c>
      <c r="AB119" s="33" t="str">
        <f aca="false">IF($A119="","",IFERROR(MAX(0,AA119-J119),0))</f>
        <v/>
      </c>
      <c r="AC119" s="5" t="str">
        <f aca="false">IF($A119="","",IF(I119&gt;0,IFERROR(FLOOR(AB119/I119,100),0),0))</f>
        <v/>
      </c>
      <c r="AD119" s="9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IF($A119="","",IF(AND(AG119="核心池",AD119="合规",AC119&gt;=100),"可评估加仓","不可加仓"))</f>
        <v/>
      </c>
    </row>
    <row r="120" customFormat="false" ht="15" hidden="false" customHeight="true" outlineLevel="0" collapsed="false">
      <c r="A120" s="6"/>
      <c r="B120" s="6"/>
      <c r="C120" s="6"/>
      <c r="D120" s="6"/>
      <c r="E120" s="17"/>
      <c r="F120" s="6"/>
      <c r="G120" s="20"/>
      <c r="H120" s="17"/>
      <c r="I120" s="17"/>
      <c r="J120" s="18"/>
      <c r="K120" s="18"/>
      <c r="L120" s="18"/>
      <c r="M120" s="19"/>
      <c r="N120" s="19"/>
      <c r="O120" s="17"/>
      <c r="P120" s="18"/>
      <c r="Q120" s="5"/>
      <c r="R120" s="22"/>
      <c r="S120" s="6"/>
      <c r="T120" s="13"/>
      <c r="U120" s="13"/>
      <c r="V120" s="5"/>
      <c r="W120" s="5"/>
      <c r="X120" s="5"/>
      <c r="Y120" s="5"/>
      <c r="Z120" s="5"/>
      <c r="AA120" s="5" t="str">
        <f aca="false">IF($A120="","",IFERROR(INDEX(账户总表!$B:$B,MATCH($A120,账户总表!$A:$A,0))*INDEX(账户总表!$O:$O,MATCH($A120,账户总表!$A:$A,0)),0))</f>
        <v/>
      </c>
      <c r="AB120" s="33" t="str">
        <f aca="false">IF($A120="","",IFERROR(MAX(0,AA120-J120),0))</f>
        <v/>
      </c>
      <c r="AC120" s="5" t="str">
        <f aca="false">IF($A120="","",IF(I120&gt;0,IFERROR(FLOOR(AB120/I120,100),0),0))</f>
        <v/>
      </c>
      <c r="AD120" s="6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IF($A120="","",IF(AND(AG120="核心池",AD120="合规",AC120&gt;=100),"可评估加仓","不可加仓"))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26"/>
      <c r="F121" s="9"/>
      <c r="G121" s="27"/>
      <c r="H121" s="26"/>
      <c r="I121" s="26"/>
      <c r="J121" s="18"/>
      <c r="K121" s="18"/>
      <c r="L121" s="18"/>
      <c r="M121" s="19"/>
      <c r="N121" s="19"/>
      <c r="O121" s="26"/>
      <c r="P121" s="18"/>
      <c r="Q121" s="5"/>
      <c r="R121" s="28"/>
      <c r="S121" s="9"/>
      <c r="T121" s="14"/>
      <c r="U121" s="14"/>
      <c r="V121" s="5"/>
      <c r="W121" s="5"/>
      <c r="X121" s="5"/>
      <c r="Y121" s="5"/>
      <c r="Z121" s="5"/>
      <c r="AA121" s="5" t="str">
        <f aca="false">IF($A121="","",IFERROR(INDEX(账户总表!$B:$B,MATCH($A121,账户总表!$A:$A,0))*INDEX(账户总表!$O:$O,MATCH($A121,账户总表!$A:$A,0)),0))</f>
        <v/>
      </c>
      <c r="AB121" s="33" t="str">
        <f aca="false">IF($A121="","",IFERROR(MAX(0,AA121-J121),0))</f>
        <v/>
      </c>
      <c r="AC121" s="5" t="str">
        <f aca="false">IF($A121="","",IF(I121&gt;0,IFERROR(FLOOR(AB121/I121,100),0),0))</f>
        <v/>
      </c>
      <c r="AD121" s="9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IF($A121="","",IF(AND(AG121="核心池",AD121="合规",AC121&gt;=100),"可评估加仓","不可加仓"))</f>
        <v/>
      </c>
    </row>
    <row r="122" customFormat="false" ht="15" hidden="false" customHeight="true" outlineLevel="0" collapsed="false">
      <c r="A122" s="6"/>
      <c r="B122" s="6"/>
      <c r="C122" s="6"/>
      <c r="D122" s="6"/>
      <c r="E122" s="17"/>
      <c r="F122" s="6"/>
      <c r="G122" s="20"/>
      <c r="H122" s="17"/>
      <c r="I122" s="17"/>
      <c r="J122" s="18"/>
      <c r="K122" s="18"/>
      <c r="L122" s="18"/>
      <c r="M122" s="19"/>
      <c r="N122" s="19"/>
      <c r="O122" s="17"/>
      <c r="P122" s="18"/>
      <c r="Q122" s="5"/>
      <c r="R122" s="22"/>
      <c r="S122" s="6"/>
      <c r="T122" s="13"/>
      <c r="U122" s="13"/>
      <c r="V122" s="5"/>
      <c r="W122" s="5"/>
      <c r="X122" s="5"/>
      <c r="Y122" s="5"/>
      <c r="Z122" s="5"/>
      <c r="AA122" s="5" t="str">
        <f aca="false">IF($A122="","",IFERROR(INDEX(账户总表!$B:$B,MATCH($A122,账户总表!$A:$A,0))*INDEX(账户总表!$O:$O,MATCH($A122,账户总表!$A:$A,0)),0))</f>
        <v/>
      </c>
      <c r="AB122" s="33" t="str">
        <f aca="false">IF($A122="","",IFERROR(MAX(0,AA122-J122),0))</f>
        <v/>
      </c>
      <c r="AC122" s="5" t="str">
        <f aca="false">IF($A122="","",IF(I122&gt;0,IFERROR(FLOOR(AB122/I122,100),0),0))</f>
        <v/>
      </c>
      <c r="AD122" s="6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IF($A122="","",IF(AND(AG122="核心池",AD122="合规",AC122&gt;=100),"可评估加仓","不可加仓"))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26"/>
      <c r="F123" s="9"/>
      <c r="G123" s="27"/>
      <c r="H123" s="26"/>
      <c r="I123" s="26"/>
      <c r="J123" s="18"/>
      <c r="K123" s="18"/>
      <c r="L123" s="18"/>
      <c r="M123" s="19"/>
      <c r="N123" s="19"/>
      <c r="O123" s="26"/>
      <c r="P123" s="18"/>
      <c r="Q123" s="5"/>
      <c r="R123" s="28"/>
      <c r="S123" s="9"/>
      <c r="T123" s="14"/>
      <c r="U123" s="14"/>
      <c r="V123" s="5"/>
      <c r="W123" s="5"/>
      <c r="X123" s="5"/>
      <c r="Y123" s="5"/>
      <c r="Z123" s="5"/>
      <c r="AA123" s="5" t="str">
        <f aca="false">IF($A123="","",IFERROR(INDEX(账户总表!$B:$B,MATCH($A123,账户总表!$A:$A,0))*INDEX(账户总表!$O:$O,MATCH($A123,账户总表!$A:$A,0)),0))</f>
        <v/>
      </c>
      <c r="AB123" s="33" t="str">
        <f aca="false">IF($A123="","",IFERROR(MAX(0,AA123-J123),0))</f>
        <v/>
      </c>
      <c r="AC123" s="5" t="str">
        <f aca="false">IF($A123="","",IF(I123&gt;0,IFERROR(FLOOR(AB123/I123,100),0),0))</f>
        <v/>
      </c>
      <c r="AD123" s="9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IF($A123="","",IF(AND(AG123="核心池",AD123="合规",AC123&gt;=100),"可评估加仓","不可加仓"))</f>
        <v/>
      </c>
    </row>
    <row r="124" customFormat="false" ht="15" hidden="false" customHeight="true" outlineLevel="0" collapsed="false">
      <c r="A124" s="6"/>
      <c r="B124" s="6"/>
      <c r="C124" s="6"/>
      <c r="D124" s="6"/>
      <c r="E124" s="17"/>
      <c r="F124" s="6"/>
      <c r="G124" s="20"/>
      <c r="H124" s="17"/>
      <c r="I124" s="17"/>
      <c r="J124" s="18"/>
      <c r="K124" s="18"/>
      <c r="L124" s="18"/>
      <c r="M124" s="19"/>
      <c r="N124" s="19"/>
      <c r="O124" s="17"/>
      <c r="P124" s="18"/>
      <c r="Q124" s="5"/>
      <c r="R124" s="22"/>
      <c r="S124" s="6"/>
      <c r="T124" s="13"/>
      <c r="U124" s="13"/>
      <c r="V124" s="5"/>
      <c r="W124" s="5"/>
      <c r="X124" s="5"/>
      <c r="Y124" s="5"/>
      <c r="Z124" s="5"/>
      <c r="AA124" s="5" t="str">
        <f aca="false">IF($A124="","",IFERROR(INDEX(账户总表!$B:$B,MATCH($A124,账户总表!$A:$A,0))*INDEX(账户总表!$O:$O,MATCH($A124,账户总表!$A:$A,0)),0))</f>
        <v/>
      </c>
      <c r="AB124" s="33" t="str">
        <f aca="false">IF($A124="","",IFERROR(MAX(0,AA124-J124),0))</f>
        <v/>
      </c>
      <c r="AC124" s="5" t="str">
        <f aca="false">IF($A124="","",IF(I124&gt;0,IFERROR(FLOOR(AB124/I124,100),0),0))</f>
        <v/>
      </c>
      <c r="AD124" s="6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IF($A124="","",IF(AND(AG124="核心池",AD124="合规",AC124&gt;=100),"可评估加仓","不可加仓"))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26"/>
      <c r="F125" s="9"/>
      <c r="G125" s="27"/>
      <c r="H125" s="26"/>
      <c r="I125" s="26"/>
      <c r="J125" s="18"/>
      <c r="K125" s="18"/>
      <c r="L125" s="18"/>
      <c r="M125" s="19"/>
      <c r="N125" s="19"/>
      <c r="O125" s="26"/>
      <c r="P125" s="18"/>
      <c r="Q125" s="5"/>
      <c r="R125" s="28"/>
      <c r="S125" s="9"/>
      <c r="T125" s="14"/>
      <c r="U125" s="14"/>
      <c r="V125" s="5"/>
      <c r="W125" s="5"/>
      <c r="X125" s="5"/>
      <c r="Y125" s="5"/>
      <c r="Z125" s="5"/>
      <c r="AA125" s="5" t="str">
        <f aca="false">IF($A125="","",IFERROR(INDEX(账户总表!$B:$B,MATCH($A125,账户总表!$A:$A,0))*INDEX(账户总表!$O:$O,MATCH($A125,账户总表!$A:$A,0)),0))</f>
        <v/>
      </c>
      <c r="AB125" s="33" t="str">
        <f aca="false">IF($A125="","",IFERROR(MAX(0,AA125-J125),0))</f>
        <v/>
      </c>
      <c r="AC125" s="5" t="str">
        <f aca="false">IF($A125="","",IF(I125&gt;0,IFERROR(FLOOR(AB125/I125,100),0),0))</f>
        <v/>
      </c>
      <c r="AD125" s="9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IF($A125="","",IF(AND(AG125="核心池",AD125="合规",AC125&gt;=100),"可评估加仓","不可加仓"))</f>
        <v/>
      </c>
    </row>
    <row r="126" customFormat="false" ht="15" hidden="false" customHeight="true" outlineLevel="0" collapsed="false">
      <c r="A126" s="6"/>
      <c r="B126" s="6"/>
      <c r="C126" s="6"/>
      <c r="D126" s="6"/>
      <c r="E126" s="17"/>
      <c r="F126" s="6"/>
      <c r="G126" s="20"/>
      <c r="H126" s="17"/>
      <c r="I126" s="17"/>
      <c r="J126" s="18"/>
      <c r="K126" s="18"/>
      <c r="L126" s="18"/>
      <c r="M126" s="19"/>
      <c r="N126" s="19"/>
      <c r="O126" s="17"/>
      <c r="P126" s="18"/>
      <c r="Q126" s="5"/>
      <c r="R126" s="22"/>
      <c r="S126" s="6"/>
      <c r="T126" s="13"/>
      <c r="U126" s="13"/>
      <c r="V126" s="5"/>
      <c r="W126" s="5"/>
      <c r="X126" s="5"/>
      <c r="Y126" s="5"/>
      <c r="Z126" s="5"/>
      <c r="AA126" s="5" t="str">
        <f aca="false">IF($A126="","",IFERROR(INDEX(账户总表!$B:$B,MATCH($A126,账户总表!$A:$A,0))*INDEX(账户总表!$O:$O,MATCH($A126,账户总表!$A:$A,0)),0))</f>
        <v/>
      </c>
      <c r="AB126" s="33" t="str">
        <f aca="false">IF($A126="","",IFERROR(MAX(0,AA126-J126),0))</f>
        <v/>
      </c>
      <c r="AC126" s="5" t="str">
        <f aca="false">IF($A126="","",IF(I126&gt;0,IFERROR(FLOOR(AB126/I126,100),0),0))</f>
        <v/>
      </c>
      <c r="AD126" s="6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IF($A126="","",IF(AND(AG126="核心池",AD126="合规",AC126&gt;=100),"可评估加仓","不可加仓"))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26"/>
      <c r="F127" s="9"/>
      <c r="G127" s="27"/>
      <c r="H127" s="26"/>
      <c r="I127" s="26"/>
      <c r="J127" s="18"/>
      <c r="K127" s="18"/>
      <c r="L127" s="18"/>
      <c r="M127" s="19"/>
      <c r="N127" s="19"/>
      <c r="O127" s="26"/>
      <c r="P127" s="18"/>
      <c r="Q127" s="5"/>
      <c r="R127" s="28"/>
      <c r="S127" s="9"/>
      <c r="T127" s="14"/>
      <c r="U127" s="14"/>
      <c r="V127" s="5"/>
      <c r="W127" s="5"/>
      <c r="X127" s="5"/>
      <c r="Y127" s="5"/>
      <c r="Z127" s="5"/>
      <c r="AA127" s="5" t="str">
        <f aca="false">IF($A127="","",IFERROR(INDEX(账户总表!$B:$B,MATCH($A127,账户总表!$A:$A,0))*INDEX(账户总表!$O:$O,MATCH($A127,账户总表!$A:$A,0)),0))</f>
        <v/>
      </c>
      <c r="AB127" s="33" t="str">
        <f aca="false">IF($A127="","",IFERROR(MAX(0,AA127-J127),0))</f>
        <v/>
      </c>
      <c r="AC127" s="5" t="str">
        <f aca="false">IF($A127="","",IF(I127&gt;0,IFERROR(FLOOR(AB127/I127,100),0),0))</f>
        <v/>
      </c>
      <c r="AD127" s="9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IF($A127="","",IF(AND(AG127="核心池",AD127="合规",AC127&gt;=100),"可评估加仓","不可加仓"))</f>
        <v/>
      </c>
    </row>
    <row r="128" customFormat="false" ht="15" hidden="false" customHeight="true" outlineLevel="0" collapsed="false">
      <c r="A128" s="6"/>
      <c r="B128" s="6"/>
      <c r="C128" s="6"/>
      <c r="D128" s="6"/>
      <c r="E128" s="17"/>
      <c r="F128" s="6"/>
      <c r="G128" s="20"/>
      <c r="H128" s="17"/>
      <c r="I128" s="17"/>
      <c r="J128" s="18"/>
      <c r="K128" s="18"/>
      <c r="L128" s="18"/>
      <c r="M128" s="19"/>
      <c r="N128" s="19"/>
      <c r="O128" s="17"/>
      <c r="P128" s="18"/>
      <c r="Q128" s="5"/>
      <c r="R128" s="22"/>
      <c r="S128" s="6"/>
      <c r="T128" s="13"/>
      <c r="U128" s="13"/>
      <c r="V128" s="5"/>
      <c r="W128" s="5"/>
      <c r="X128" s="5"/>
      <c r="Y128" s="5"/>
      <c r="Z128" s="5"/>
      <c r="AA128" s="5" t="str">
        <f aca="false">IF($A128="","",IFERROR(INDEX(账户总表!$B:$B,MATCH($A128,账户总表!$A:$A,0))*INDEX(账户总表!$O:$O,MATCH($A128,账户总表!$A:$A,0)),0))</f>
        <v/>
      </c>
      <c r="AB128" s="33" t="str">
        <f aca="false">IF($A128="","",IFERROR(MAX(0,AA128-J128),0))</f>
        <v/>
      </c>
      <c r="AC128" s="5" t="str">
        <f aca="false">IF($A128="","",IF(I128&gt;0,IFERROR(FLOOR(AB128/I128,100),0),0))</f>
        <v/>
      </c>
      <c r="AD128" s="6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IF($A128="","",IF(AND(AG128="核心池",AD128="合规",AC128&gt;=100),"可评估加仓","不可加仓"))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26"/>
      <c r="F129" s="9"/>
      <c r="G129" s="27"/>
      <c r="H129" s="26"/>
      <c r="I129" s="26"/>
      <c r="J129" s="18"/>
      <c r="K129" s="18"/>
      <c r="L129" s="18"/>
      <c r="M129" s="19"/>
      <c r="N129" s="19"/>
      <c r="O129" s="26"/>
      <c r="P129" s="18"/>
      <c r="Q129" s="5"/>
      <c r="R129" s="28"/>
      <c r="S129" s="9"/>
      <c r="T129" s="14"/>
      <c r="U129" s="14"/>
      <c r="V129" s="5"/>
      <c r="W129" s="5"/>
      <c r="X129" s="5"/>
      <c r="Y129" s="5"/>
      <c r="Z129" s="5"/>
      <c r="AA129" s="5" t="str">
        <f aca="false">IF($A129="","",IFERROR(INDEX(账户总表!$B:$B,MATCH($A129,账户总表!$A:$A,0))*INDEX(账户总表!$O:$O,MATCH($A129,账户总表!$A:$A,0)),0))</f>
        <v/>
      </c>
      <c r="AB129" s="33" t="str">
        <f aca="false">IF($A129="","",IFERROR(MAX(0,AA129-J129),0))</f>
        <v/>
      </c>
      <c r="AC129" s="5" t="str">
        <f aca="false">IF($A129="","",IF(I129&gt;0,IFERROR(FLOOR(AB129/I129,100),0),0))</f>
        <v/>
      </c>
      <c r="AD129" s="9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IF($A129="","",IF(AND(AG129="核心池",AD129="合规",AC129&gt;=100),"可评估加仓","不可加仓"))</f>
        <v/>
      </c>
    </row>
    <row r="130" customFormat="false" ht="15" hidden="false" customHeight="true" outlineLevel="0" collapsed="false">
      <c r="A130" s="6"/>
      <c r="B130" s="6"/>
      <c r="C130" s="6"/>
      <c r="D130" s="6"/>
      <c r="E130" s="17"/>
      <c r="F130" s="6"/>
      <c r="G130" s="20"/>
      <c r="H130" s="17"/>
      <c r="I130" s="17"/>
      <c r="J130" s="18"/>
      <c r="K130" s="18"/>
      <c r="L130" s="18"/>
      <c r="M130" s="19"/>
      <c r="N130" s="19"/>
      <c r="O130" s="17"/>
      <c r="P130" s="18"/>
      <c r="Q130" s="5"/>
      <c r="R130" s="22"/>
      <c r="S130" s="6"/>
      <c r="T130" s="13"/>
      <c r="U130" s="13"/>
      <c r="V130" s="5"/>
      <c r="W130" s="5"/>
      <c r="X130" s="5"/>
      <c r="Y130" s="5"/>
      <c r="Z130" s="5"/>
      <c r="AA130" s="5" t="str">
        <f aca="false">IF($A130="","",IFERROR(INDEX(账户总表!$B:$B,MATCH($A130,账户总表!$A:$A,0))*INDEX(账户总表!$O:$O,MATCH($A130,账户总表!$A:$A,0)),0))</f>
        <v/>
      </c>
      <c r="AB130" s="33" t="str">
        <f aca="false">IF($A130="","",IFERROR(MAX(0,AA130-J130),0))</f>
        <v/>
      </c>
      <c r="AC130" s="5" t="str">
        <f aca="false">IF($A130="","",IF(I130&gt;0,IFERROR(FLOOR(AB130/I130,100),0),0))</f>
        <v/>
      </c>
      <c r="AD130" s="6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IF($A130="","",IF(AND(AG130="核心池",AD130="合规",AC130&gt;=100),"可评估加仓","不可加仓"))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26"/>
      <c r="F131" s="9"/>
      <c r="G131" s="27"/>
      <c r="H131" s="26"/>
      <c r="I131" s="26"/>
      <c r="J131" s="18"/>
      <c r="K131" s="18"/>
      <c r="L131" s="18"/>
      <c r="M131" s="19"/>
      <c r="N131" s="19"/>
      <c r="O131" s="26"/>
      <c r="P131" s="18"/>
      <c r="Q131" s="5"/>
      <c r="R131" s="28"/>
      <c r="S131" s="9"/>
      <c r="T131" s="14"/>
      <c r="U131" s="14"/>
      <c r="V131" s="5"/>
      <c r="W131" s="5"/>
      <c r="X131" s="5"/>
      <c r="Y131" s="5"/>
      <c r="Z131" s="5"/>
      <c r="AA131" s="5" t="str">
        <f aca="false">IF($A131="","",IFERROR(INDEX(账户总表!$B:$B,MATCH($A131,账户总表!$A:$A,0))*INDEX(账户总表!$O:$O,MATCH($A131,账户总表!$A:$A,0)),0))</f>
        <v/>
      </c>
      <c r="AB131" s="33" t="str">
        <f aca="false">IF($A131="","",IFERROR(MAX(0,AA131-J131),0))</f>
        <v/>
      </c>
      <c r="AC131" s="5" t="str">
        <f aca="false">IF($A131="","",IF(I131&gt;0,IFERROR(FLOOR(AB131/I131,100),0),0))</f>
        <v/>
      </c>
      <c r="AD131" s="9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IF($A131="","",IF(AND(AG131="核心池",AD131="合规",AC131&gt;=100),"可评估加仓","不可加仓"))</f>
        <v/>
      </c>
    </row>
    <row r="132" customFormat="false" ht="15" hidden="false" customHeight="true" outlineLevel="0" collapsed="false">
      <c r="A132" s="6"/>
      <c r="B132" s="6"/>
      <c r="C132" s="6"/>
      <c r="D132" s="6"/>
      <c r="E132" s="17"/>
      <c r="F132" s="6"/>
      <c r="G132" s="20"/>
      <c r="H132" s="17"/>
      <c r="I132" s="17"/>
      <c r="J132" s="18"/>
      <c r="K132" s="18"/>
      <c r="L132" s="18"/>
      <c r="M132" s="19"/>
      <c r="N132" s="19"/>
      <c r="O132" s="17"/>
      <c r="P132" s="18"/>
      <c r="Q132" s="5"/>
      <c r="R132" s="22"/>
      <c r="S132" s="6"/>
      <c r="T132" s="13"/>
      <c r="U132" s="13"/>
      <c r="V132" s="5"/>
      <c r="W132" s="5"/>
      <c r="X132" s="5"/>
      <c r="Y132" s="5"/>
      <c r="Z132" s="5"/>
      <c r="AA132" s="5" t="str">
        <f aca="false">IF($A132="","",IFERROR(INDEX(账户总表!$B:$B,MATCH($A132,账户总表!$A:$A,0))*INDEX(账户总表!$O:$O,MATCH($A132,账户总表!$A:$A,0)),0))</f>
        <v/>
      </c>
      <c r="AB132" s="33" t="str">
        <f aca="false">IF($A132="","",IFERROR(MAX(0,AA132-J132),0))</f>
        <v/>
      </c>
      <c r="AC132" s="5" t="str">
        <f aca="false">IF($A132="","",IF(I132&gt;0,IFERROR(FLOOR(AB132/I132,100),0),0))</f>
        <v/>
      </c>
      <c r="AD132" s="6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IF($A132="","",IF(AND(AG132="核心池",AD132="合规",AC132&gt;=100),"可评估加仓","不可加仓"))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26"/>
      <c r="F133" s="9"/>
      <c r="G133" s="27"/>
      <c r="H133" s="26"/>
      <c r="I133" s="26"/>
      <c r="J133" s="18"/>
      <c r="K133" s="18"/>
      <c r="L133" s="18"/>
      <c r="M133" s="19"/>
      <c r="N133" s="19"/>
      <c r="O133" s="26"/>
      <c r="P133" s="18"/>
      <c r="Q133" s="5"/>
      <c r="R133" s="28"/>
      <c r="S133" s="9"/>
      <c r="T133" s="14"/>
      <c r="U133" s="14"/>
      <c r="V133" s="5"/>
      <c r="W133" s="5"/>
      <c r="X133" s="5"/>
      <c r="Y133" s="5"/>
      <c r="Z133" s="5"/>
      <c r="AA133" s="5" t="str">
        <f aca="false">IF($A133="","",IFERROR(INDEX(账户总表!$B:$B,MATCH($A133,账户总表!$A:$A,0))*INDEX(账户总表!$O:$O,MATCH($A133,账户总表!$A:$A,0)),0))</f>
        <v/>
      </c>
      <c r="AB133" s="33" t="str">
        <f aca="false">IF($A133="","",IFERROR(MAX(0,AA133-J133),0))</f>
        <v/>
      </c>
      <c r="AC133" s="5" t="str">
        <f aca="false">IF($A133="","",IF(I133&gt;0,IFERROR(FLOOR(AB133/I133,100),0),0))</f>
        <v/>
      </c>
      <c r="AD133" s="9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IF($A133="","",IF(AND(AG133="核心池",AD133="合规",AC133&gt;=100),"可评估加仓","不可加仓"))</f>
        <v/>
      </c>
    </row>
    <row r="134" customFormat="false" ht="15" hidden="false" customHeight="true" outlineLevel="0" collapsed="false">
      <c r="A134" s="6"/>
      <c r="B134" s="6"/>
      <c r="C134" s="6"/>
      <c r="D134" s="6"/>
      <c r="E134" s="17"/>
      <c r="F134" s="6"/>
      <c r="G134" s="20"/>
      <c r="H134" s="17"/>
      <c r="I134" s="17"/>
      <c r="J134" s="18"/>
      <c r="K134" s="18"/>
      <c r="L134" s="18"/>
      <c r="M134" s="19"/>
      <c r="N134" s="19"/>
      <c r="O134" s="17"/>
      <c r="P134" s="18"/>
      <c r="Q134" s="5"/>
      <c r="R134" s="22"/>
      <c r="S134" s="6"/>
      <c r="T134" s="13"/>
      <c r="U134" s="13"/>
      <c r="V134" s="5"/>
      <c r="W134" s="5"/>
      <c r="X134" s="5"/>
      <c r="Y134" s="5"/>
      <c r="Z134" s="5"/>
      <c r="AA134" s="5" t="str">
        <f aca="false">IF($A134="","",IFERROR(INDEX(账户总表!$B:$B,MATCH($A134,账户总表!$A:$A,0))*INDEX(账户总表!$O:$O,MATCH($A134,账户总表!$A:$A,0)),0))</f>
        <v/>
      </c>
      <c r="AB134" s="33" t="str">
        <f aca="false">IF($A134="","",IFERROR(MAX(0,AA134-J134),0))</f>
        <v/>
      </c>
      <c r="AC134" s="5" t="str">
        <f aca="false">IF($A134="","",IF(I134&gt;0,IFERROR(FLOOR(AB134/I134,100),0),0))</f>
        <v/>
      </c>
      <c r="AD134" s="6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IF($A134="","",IF(AND(AG134="核心池",AD134="合规",AC134&gt;=100),"可评估加仓","不可加仓"))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26"/>
      <c r="F135" s="9"/>
      <c r="G135" s="27"/>
      <c r="H135" s="26"/>
      <c r="I135" s="26"/>
      <c r="J135" s="18"/>
      <c r="K135" s="18"/>
      <c r="L135" s="18"/>
      <c r="M135" s="19"/>
      <c r="N135" s="19"/>
      <c r="O135" s="26"/>
      <c r="P135" s="18"/>
      <c r="Q135" s="5"/>
      <c r="R135" s="28"/>
      <c r="S135" s="9"/>
      <c r="T135" s="14"/>
      <c r="U135" s="14"/>
      <c r="V135" s="5"/>
      <c r="W135" s="5"/>
      <c r="X135" s="5"/>
      <c r="Y135" s="5"/>
      <c r="Z135" s="5"/>
      <c r="AA135" s="5" t="str">
        <f aca="false">IF($A135="","",IFERROR(INDEX(账户总表!$B:$B,MATCH($A135,账户总表!$A:$A,0))*INDEX(账户总表!$O:$O,MATCH($A135,账户总表!$A:$A,0)),0))</f>
        <v/>
      </c>
      <c r="AB135" s="33" t="str">
        <f aca="false">IF($A135="","",IFERROR(MAX(0,AA135-J135),0))</f>
        <v/>
      </c>
      <c r="AC135" s="5" t="str">
        <f aca="false">IF($A135="","",IF(I135&gt;0,IFERROR(FLOOR(AB135/I135,100),0),0))</f>
        <v/>
      </c>
      <c r="AD135" s="9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IF($A135="","",IF(AND(AG135="核心池",AD135="合规",AC135&gt;=100),"可评估加仓","不可加仓"))</f>
        <v/>
      </c>
    </row>
    <row r="136" customFormat="false" ht="15" hidden="false" customHeight="true" outlineLevel="0" collapsed="false">
      <c r="A136" s="6"/>
      <c r="B136" s="6"/>
      <c r="C136" s="6"/>
      <c r="D136" s="6"/>
      <c r="E136" s="17"/>
      <c r="F136" s="6"/>
      <c r="G136" s="20"/>
      <c r="H136" s="17"/>
      <c r="I136" s="17"/>
      <c r="J136" s="18"/>
      <c r="K136" s="18"/>
      <c r="L136" s="18"/>
      <c r="M136" s="19"/>
      <c r="N136" s="19"/>
      <c r="O136" s="17"/>
      <c r="P136" s="18"/>
      <c r="Q136" s="5"/>
      <c r="R136" s="22"/>
      <c r="S136" s="6"/>
      <c r="T136" s="13"/>
      <c r="U136" s="13"/>
      <c r="V136" s="5"/>
      <c r="W136" s="5"/>
      <c r="X136" s="5"/>
      <c r="Y136" s="5"/>
      <c r="Z136" s="5"/>
      <c r="AA136" s="5" t="str">
        <f aca="false">IF($A136="","",IFERROR(INDEX(账户总表!$B:$B,MATCH($A136,账户总表!$A:$A,0))*INDEX(账户总表!$O:$O,MATCH($A136,账户总表!$A:$A,0)),0))</f>
        <v/>
      </c>
      <c r="AB136" s="33" t="str">
        <f aca="false">IF($A136="","",IFERROR(MAX(0,AA136-J136),0))</f>
        <v/>
      </c>
      <c r="AC136" s="5" t="str">
        <f aca="false">IF($A136="","",IF(I136&gt;0,IFERROR(FLOOR(AB136/I136,100),0),0))</f>
        <v/>
      </c>
      <c r="AD136" s="6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IF($A136="","",IF(AND(AG136="核心池",AD136="合规",AC136&gt;=100),"可评估加仓","不可加仓"))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26"/>
      <c r="F137" s="9"/>
      <c r="G137" s="27"/>
      <c r="H137" s="26"/>
      <c r="I137" s="26"/>
      <c r="J137" s="18"/>
      <c r="K137" s="18"/>
      <c r="L137" s="18"/>
      <c r="M137" s="19"/>
      <c r="N137" s="19"/>
      <c r="O137" s="26"/>
      <c r="P137" s="18"/>
      <c r="Q137" s="5"/>
      <c r="R137" s="28"/>
      <c r="S137" s="9"/>
      <c r="T137" s="14"/>
      <c r="U137" s="14"/>
      <c r="V137" s="5"/>
      <c r="W137" s="5"/>
      <c r="X137" s="5"/>
      <c r="Y137" s="5"/>
      <c r="Z137" s="5"/>
      <c r="AA137" s="5" t="str">
        <f aca="false">IF($A137="","",IFERROR(INDEX(账户总表!$B:$B,MATCH($A137,账户总表!$A:$A,0))*INDEX(账户总表!$O:$O,MATCH($A137,账户总表!$A:$A,0)),0))</f>
        <v/>
      </c>
      <c r="AB137" s="33" t="str">
        <f aca="false">IF($A137="","",IFERROR(MAX(0,AA137-J137),0))</f>
        <v/>
      </c>
      <c r="AC137" s="5" t="str">
        <f aca="false">IF($A137="","",IF(I137&gt;0,IFERROR(FLOOR(AB137/I137,100),0),0))</f>
        <v/>
      </c>
      <c r="AD137" s="9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IF($A137="","",IF(AND(AG137="核心池",AD137="合规",AC137&gt;=100),"可评估加仓","不可加仓"))</f>
        <v/>
      </c>
    </row>
    <row r="138" customFormat="false" ht="15" hidden="false" customHeight="true" outlineLevel="0" collapsed="false">
      <c r="A138" s="6"/>
      <c r="B138" s="6"/>
      <c r="C138" s="6"/>
      <c r="D138" s="6"/>
      <c r="E138" s="17"/>
      <c r="F138" s="6"/>
      <c r="G138" s="20"/>
      <c r="H138" s="17"/>
      <c r="I138" s="17"/>
      <c r="J138" s="18"/>
      <c r="K138" s="18"/>
      <c r="L138" s="18"/>
      <c r="M138" s="19"/>
      <c r="N138" s="19"/>
      <c r="O138" s="17"/>
      <c r="P138" s="18"/>
      <c r="Q138" s="5"/>
      <c r="R138" s="22"/>
      <c r="S138" s="6"/>
      <c r="T138" s="13"/>
      <c r="U138" s="13"/>
      <c r="V138" s="5"/>
      <c r="W138" s="5"/>
      <c r="X138" s="5"/>
      <c r="Y138" s="5"/>
      <c r="Z138" s="5"/>
      <c r="AA138" s="5" t="str">
        <f aca="false">IF($A138="","",IFERROR(INDEX(账户总表!$B:$B,MATCH($A138,账户总表!$A:$A,0))*INDEX(账户总表!$O:$O,MATCH($A138,账户总表!$A:$A,0)),0))</f>
        <v/>
      </c>
      <c r="AB138" s="33" t="str">
        <f aca="false">IF($A138="","",IFERROR(MAX(0,AA138-J138),0))</f>
        <v/>
      </c>
      <c r="AC138" s="5" t="str">
        <f aca="false">IF($A138="","",IF(I138&gt;0,IFERROR(FLOOR(AB138/I138,100),0),0))</f>
        <v/>
      </c>
      <c r="AD138" s="6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IF($A138="","",IF(AND(AG138="核心池",AD138="合规",AC138&gt;=100),"可评估加仓","不可加仓"))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26"/>
      <c r="F139" s="9"/>
      <c r="G139" s="27"/>
      <c r="H139" s="26"/>
      <c r="I139" s="26"/>
      <c r="J139" s="18"/>
      <c r="K139" s="18"/>
      <c r="L139" s="18"/>
      <c r="M139" s="19"/>
      <c r="N139" s="19"/>
      <c r="O139" s="26"/>
      <c r="P139" s="18"/>
      <c r="Q139" s="5"/>
      <c r="R139" s="28"/>
      <c r="S139" s="9"/>
      <c r="T139" s="14"/>
      <c r="U139" s="14"/>
      <c r="V139" s="5"/>
      <c r="W139" s="5"/>
      <c r="X139" s="5"/>
      <c r="Y139" s="5"/>
      <c r="Z139" s="5"/>
      <c r="AA139" s="5" t="str">
        <f aca="false">IF($A139="","",IFERROR(INDEX(账户总表!$B:$B,MATCH($A139,账户总表!$A:$A,0))*INDEX(账户总表!$O:$O,MATCH($A139,账户总表!$A:$A,0)),0))</f>
        <v/>
      </c>
      <c r="AB139" s="33" t="str">
        <f aca="false">IF($A139="","",IFERROR(MAX(0,AA139-J139),0))</f>
        <v/>
      </c>
      <c r="AC139" s="5" t="str">
        <f aca="false">IF($A139="","",IF(I139&gt;0,IFERROR(FLOOR(AB139/I139,100),0),0))</f>
        <v/>
      </c>
      <c r="AD139" s="9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IF($A139="","",IF(AND(AG139="核心池",AD139="合规",AC139&gt;=100),"可评估加仓","不可加仓"))</f>
        <v/>
      </c>
    </row>
    <row r="140" customFormat="false" ht="15" hidden="false" customHeight="true" outlineLevel="0" collapsed="false">
      <c r="A140" s="6"/>
      <c r="B140" s="6"/>
      <c r="C140" s="6"/>
      <c r="D140" s="6"/>
      <c r="E140" s="17"/>
      <c r="F140" s="6"/>
      <c r="G140" s="20"/>
      <c r="H140" s="17"/>
      <c r="I140" s="17"/>
      <c r="J140" s="18"/>
      <c r="K140" s="18"/>
      <c r="L140" s="18"/>
      <c r="M140" s="19"/>
      <c r="N140" s="19"/>
      <c r="O140" s="17"/>
      <c r="P140" s="18"/>
      <c r="Q140" s="5"/>
      <c r="R140" s="22"/>
      <c r="S140" s="6"/>
      <c r="T140" s="13"/>
      <c r="U140" s="13"/>
      <c r="V140" s="5"/>
      <c r="W140" s="5"/>
      <c r="X140" s="5"/>
      <c r="Y140" s="5"/>
      <c r="Z140" s="5"/>
      <c r="AA140" s="5" t="str">
        <f aca="false">IF($A140="","",IFERROR(INDEX(账户总表!$B:$B,MATCH($A140,账户总表!$A:$A,0))*INDEX(账户总表!$O:$O,MATCH($A140,账户总表!$A:$A,0)),0))</f>
        <v/>
      </c>
      <c r="AB140" s="33" t="str">
        <f aca="false">IF($A140="","",IFERROR(MAX(0,AA140-J140),0))</f>
        <v/>
      </c>
      <c r="AC140" s="5" t="str">
        <f aca="false">IF($A140="","",IF(I140&gt;0,IFERROR(FLOOR(AB140/I140,100),0),0))</f>
        <v/>
      </c>
      <c r="AD140" s="6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IF($A140="","",IF(AND(AG140="核心池",AD140="合规",AC140&gt;=100),"可评估加仓","不可加仓"))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26"/>
      <c r="F141" s="9"/>
      <c r="G141" s="27"/>
      <c r="H141" s="26"/>
      <c r="I141" s="26"/>
      <c r="J141" s="18"/>
      <c r="K141" s="18"/>
      <c r="L141" s="18"/>
      <c r="M141" s="19"/>
      <c r="N141" s="19"/>
      <c r="O141" s="26"/>
      <c r="P141" s="18"/>
      <c r="Q141" s="5"/>
      <c r="R141" s="28"/>
      <c r="S141" s="9"/>
      <c r="T141" s="14"/>
      <c r="U141" s="14"/>
      <c r="V141" s="5"/>
      <c r="W141" s="5"/>
      <c r="X141" s="5"/>
      <c r="Y141" s="5"/>
      <c r="Z141" s="5"/>
      <c r="AA141" s="5" t="str">
        <f aca="false">IF($A141="","",IFERROR(INDEX(账户总表!$B:$B,MATCH($A141,账户总表!$A:$A,0))*INDEX(账户总表!$O:$O,MATCH($A141,账户总表!$A:$A,0)),0))</f>
        <v/>
      </c>
      <c r="AB141" s="33" t="str">
        <f aca="false">IF($A141="","",IFERROR(MAX(0,AA141-J141),0))</f>
        <v/>
      </c>
      <c r="AC141" s="5" t="str">
        <f aca="false">IF($A141="","",IF(I141&gt;0,IFERROR(FLOOR(AB141/I141,100),0),0))</f>
        <v/>
      </c>
      <c r="AD141" s="9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IF($A141="","",IF(AND(AG141="核心池",AD141="合规",AC141&gt;=100),"可评估加仓","不可加仓"))</f>
        <v/>
      </c>
    </row>
    <row r="142" customFormat="false" ht="15" hidden="false" customHeight="true" outlineLevel="0" collapsed="false">
      <c r="A142" s="6"/>
      <c r="B142" s="6"/>
      <c r="C142" s="6"/>
      <c r="D142" s="6"/>
      <c r="E142" s="17"/>
      <c r="F142" s="6"/>
      <c r="G142" s="20"/>
      <c r="H142" s="17"/>
      <c r="I142" s="17"/>
      <c r="J142" s="18"/>
      <c r="K142" s="18"/>
      <c r="L142" s="18"/>
      <c r="M142" s="19"/>
      <c r="N142" s="19"/>
      <c r="O142" s="17"/>
      <c r="P142" s="18"/>
      <c r="Q142" s="5"/>
      <c r="R142" s="22"/>
      <c r="S142" s="6"/>
      <c r="T142" s="13"/>
      <c r="U142" s="13"/>
      <c r="V142" s="5"/>
      <c r="W142" s="5"/>
      <c r="X142" s="5"/>
      <c r="Y142" s="5"/>
      <c r="Z142" s="5"/>
      <c r="AA142" s="5" t="str">
        <f aca="false">IF($A142="","",IFERROR(INDEX(账户总表!$B:$B,MATCH($A142,账户总表!$A:$A,0))*INDEX(账户总表!$O:$O,MATCH($A142,账户总表!$A:$A,0)),0))</f>
        <v/>
      </c>
      <c r="AB142" s="33" t="str">
        <f aca="false">IF($A142="","",IFERROR(MAX(0,AA142-J142),0))</f>
        <v/>
      </c>
      <c r="AC142" s="5" t="str">
        <f aca="false">IF($A142="","",IF(I142&gt;0,IFERROR(FLOOR(AB142/I142,100),0),0))</f>
        <v/>
      </c>
      <c r="AD142" s="6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IF($A142="","",IF(AND(AG142="核心池",AD142="合规",AC142&gt;=100),"可评估加仓","不可加仓"))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26"/>
      <c r="F143" s="9"/>
      <c r="G143" s="27"/>
      <c r="H143" s="26"/>
      <c r="I143" s="26"/>
      <c r="J143" s="18"/>
      <c r="K143" s="18"/>
      <c r="L143" s="18"/>
      <c r="M143" s="19"/>
      <c r="N143" s="19"/>
      <c r="O143" s="26"/>
      <c r="P143" s="18"/>
      <c r="Q143" s="5"/>
      <c r="R143" s="28"/>
      <c r="S143" s="9"/>
      <c r="T143" s="14"/>
      <c r="U143" s="14"/>
      <c r="V143" s="5"/>
      <c r="W143" s="5"/>
      <c r="X143" s="5"/>
      <c r="Y143" s="5"/>
      <c r="Z143" s="5"/>
      <c r="AA143" s="5" t="str">
        <f aca="false">IF($A143="","",IFERROR(INDEX(账户总表!$B:$B,MATCH($A143,账户总表!$A:$A,0))*INDEX(账户总表!$O:$O,MATCH($A143,账户总表!$A:$A,0)),0))</f>
        <v/>
      </c>
      <c r="AB143" s="33" t="str">
        <f aca="false">IF($A143="","",IFERROR(MAX(0,AA143-J143),0))</f>
        <v/>
      </c>
      <c r="AC143" s="5" t="str">
        <f aca="false">IF($A143="","",IF(I143&gt;0,IFERROR(FLOOR(AB143/I143,100),0),0))</f>
        <v/>
      </c>
      <c r="AD143" s="9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IF($A143="","",IF(AND(AG143="核心池",AD143="合规",AC143&gt;=100),"可评估加仓","不可加仓"))</f>
        <v/>
      </c>
    </row>
    <row r="144" customFormat="false" ht="15" hidden="false" customHeight="true" outlineLevel="0" collapsed="false">
      <c r="A144" s="6"/>
      <c r="B144" s="6"/>
      <c r="C144" s="6"/>
      <c r="D144" s="6"/>
      <c r="E144" s="17"/>
      <c r="F144" s="6"/>
      <c r="G144" s="20"/>
      <c r="H144" s="17"/>
      <c r="I144" s="17"/>
      <c r="J144" s="18"/>
      <c r="K144" s="18"/>
      <c r="L144" s="18"/>
      <c r="M144" s="19"/>
      <c r="N144" s="19"/>
      <c r="O144" s="17"/>
      <c r="P144" s="18"/>
      <c r="Q144" s="5"/>
      <c r="R144" s="22"/>
      <c r="S144" s="6"/>
      <c r="T144" s="13"/>
      <c r="U144" s="13"/>
      <c r="V144" s="5"/>
      <c r="W144" s="5"/>
      <c r="X144" s="5"/>
      <c r="Y144" s="5"/>
      <c r="Z144" s="5"/>
      <c r="AA144" s="5" t="str">
        <f aca="false">IF($A144="","",IFERROR(INDEX(账户总表!$B:$B,MATCH($A144,账户总表!$A:$A,0))*INDEX(账户总表!$O:$O,MATCH($A144,账户总表!$A:$A,0)),0))</f>
        <v/>
      </c>
      <c r="AB144" s="33" t="str">
        <f aca="false">IF($A144="","",IFERROR(MAX(0,AA144-J144),0))</f>
        <v/>
      </c>
      <c r="AC144" s="5" t="str">
        <f aca="false">IF($A144="","",IF(I144&gt;0,IFERROR(FLOOR(AB144/I144,100),0),0))</f>
        <v/>
      </c>
      <c r="AD144" s="6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IF($A144="","",IF(AND(AG144="核心池",AD144="合规",AC144&gt;=100),"可评估加仓","不可加仓"))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26"/>
      <c r="F145" s="9"/>
      <c r="G145" s="27"/>
      <c r="H145" s="26"/>
      <c r="I145" s="26"/>
      <c r="J145" s="18"/>
      <c r="K145" s="18"/>
      <c r="L145" s="18"/>
      <c r="M145" s="19"/>
      <c r="N145" s="19"/>
      <c r="O145" s="26"/>
      <c r="P145" s="18"/>
      <c r="Q145" s="5"/>
      <c r="R145" s="28"/>
      <c r="S145" s="9"/>
      <c r="T145" s="14"/>
      <c r="U145" s="14"/>
      <c r="V145" s="5"/>
      <c r="W145" s="5"/>
      <c r="X145" s="5"/>
      <c r="Y145" s="5"/>
      <c r="Z145" s="5"/>
      <c r="AA145" s="5" t="str">
        <f aca="false">IF($A145="","",IFERROR(INDEX(账户总表!$B:$B,MATCH($A145,账户总表!$A:$A,0))*INDEX(账户总表!$O:$O,MATCH($A145,账户总表!$A:$A,0)),0))</f>
        <v/>
      </c>
      <c r="AB145" s="33" t="str">
        <f aca="false">IF($A145="","",IFERROR(MAX(0,AA145-J145),0))</f>
        <v/>
      </c>
      <c r="AC145" s="5" t="str">
        <f aca="false">IF($A145="","",IF(I145&gt;0,IFERROR(FLOOR(AB145/I145,100),0),0))</f>
        <v/>
      </c>
      <c r="AD145" s="9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IF($A145="","",IF(AND(AG145="核心池",AD145="合规",AC145&gt;=100),"可评估加仓","不可加仓"))</f>
        <v/>
      </c>
    </row>
    <row r="146" customFormat="false" ht="15" hidden="false" customHeight="true" outlineLevel="0" collapsed="false">
      <c r="A146" s="6"/>
      <c r="B146" s="6"/>
      <c r="C146" s="6"/>
      <c r="D146" s="6"/>
      <c r="E146" s="17"/>
      <c r="F146" s="6"/>
      <c r="G146" s="20"/>
      <c r="H146" s="17"/>
      <c r="I146" s="17"/>
      <c r="J146" s="18"/>
      <c r="K146" s="18"/>
      <c r="L146" s="18"/>
      <c r="M146" s="19"/>
      <c r="N146" s="19"/>
      <c r="O146" s="17"/>
      <c r="P146" s="18"/>
      <c r="Q146" s="5"/>
      <c r="R146" s="22"/>
      <c r="S146" s="6"/>
      <c r="T146" s="13"/>
      <c r="U146" s="13"/>
      <c r="V146" s="5"/>
      <c r="W146" s="5"/>
      <c r="X146" s="5"/>
      <c r="Y146" s="5"/>
      <c r="Z146" s="5"/>
      <c r="AA146" s="5" t="str">
        <f aca="false">IF($A146="","",IFERROR(INDEX(账户总表!$B:$B,MATCH($A146,账户总表!$A:$A,0))*INDEX(账户总表!$O:$O,MATCH($A146,账户总表!$A:$A,0)),0))</f>
        <v/>
      </c>
      <c r="AB146" s="33" t="str">
        <f aca="false">IF($A146="","",IFERROR(MAX(0,AA146-J146),0))</f>
        <v/>
      </c>
      <c r="AC146" s="5" t="str">
        <f aca="false">IF($A146="","",IF(I146&gt;0,IFERROR(FLOOR(AB146/I146,100),0),0))</f>
        <v/>
      </c>
      <c r="AD146" s="6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IF($A146="","",IF(AND(AG146="核心池",AD146="合规",AC146&gt;=100),"可评估加仓","不可加仓"))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26"/>
      <c r="F147" s="9"/>
      <c r="G147" s="27"/>
      <c r="H147" s="26"/>
      <c r="I147" s="26"/>
      <c r="J147" s="18"/>
      <c r="K147" s="18"/>
      <c r="L147" s="18"/>
      <c r="M147" s="19"/>
      <c r="N147" s="19"/>
      <c r="O147" s="26"/>
      <c r="P147" s="18"/>
      <c r="Q147" s="5"/>
      <c r="R147" s="28"/>
      <c r="S147" s="9"/>
      <c r="T147" s="14"/>
      <c r="U147" s="14"/>
      <c r="V147" s="5"/>
      <c r="W147" s="5"/>
      <c r="X147" s="5"/>
      <c r="Y147" s="5"/>
      <c r="Z147" s="5"/>
      <c r="AA147" s="5" t="str">
        <f aca="false">IF($A147="","",IFERROR(INDEX(账户总表!$B:$B,MATCH($A147,账户总表!$A:$A,0))*INDEX(账户总表!$O:$O,MATCH($A147,账户总表!$A:$A,0)),0))</f>
        <v/>
      </c>
      <c r="AB147" s="33" t="str">
        <f aca="false">IF($A147="","",IFERROR(MAX(0,AA147-J147),0))</f>
        <v/>
      </c>
      <c r="AC147" s="5" t="str">
        <f aca="false">IF($A147="","",IF(I147&gt;0,IFERROR(FLOOR(AB147/I147,100),0),0))</f>
        <v/>
      </c>
      <c r="AD147" s="9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IF($A147="","",IF(AND(AG147="核心池",AD147="合规",AC147&gt;=100),"可评估加仓","不可加仓"))</f>
        <v/>
      </c>
    </row>
    <row r="148" customFormat="false" ht="15" hidden="false" customHeight="true" outlineLevel="0" collapsed="false">
      <c r="A148" s="6"/>
      <c r="B148" s="6"/>
      <c r="C148" s="6"/>
      <c r="D148" s="6"/>
      <c r="E148" s="17"/>
      <c r="F148" s="6"/>
      <c r="G148" s="20"/>
      <c r="H148" s="17"/>
      <c r="I148" s="17"/>
      <c r="J148" s="18"/>
      <c r="K148" s="18"/>
      <c r="L148" s="18"/>
      <c r="M148" s="19"/>
      <c r="N148" s="19"/>
      <c r="O148" s="17"/>
      <c r="P148" s="18"/>
      <c r="Q148" s="5"/>
      <c r="R148" s="22"/>
      <c r="S148" s="6"/>
      <c r="T148" s="13"/>
      <c r="U148" s="13"/>
      <c r="V148" s="5"/>
      <c r="W148" s="5"/>
      <c r="X148" s="5"/>
      <c r="Y148" s="5"/>
      <c r="Z148" s="5"/>
      <c r="AA148" s="5" t="str">
        <f aca="false">IF($A148="","",IFERROR(INDEX(账户总表!$B:$B,MATCH($A148,账户总表!$A:$A,0))*INDEX(账户总表!$O:$O,MATCH($A148,账户总表!$A:$A,0)),0))</f>
        <v/>
      </c>
      <c r="AB148" s="33" t="str">
        <f aca="false">IF($A148="","",IFERROR(MAX(0,AA148-J148),0))</f>
        <v/>
      </c>
      <c r="AC148" s="5" t="str">
        <f aca="false">IF($A148="","",IF(I148&gt;0,IFERROR(FLOOR(AB148/I148,100),0),0))</f>
        <v/>
      </c>
      <c r="AD148" s="6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IF($A148="","",IF(AND(AG148="核心池",AD148="合规",AC148&gt;=100),"可评估加仓","不可加仓"))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26"/>
      <c r="F149" s="9"/>
      <c r="G149" s="27"/>
      <c r="H149" s="26"/>
      <c r="I149" s="26"/>
      <c r="J149" s="18"/>
      <c r="K149" s="18"/>
      <c r="L149" s="18"/>
      <c r="M149" s="19"/>
      <c r="N149" s="19"/>
      <c r="O149" s="26"/>
      <c r="P149" s="18"/>
      <c r="Q149" s="5"/>
      <c r="R149" s="28"/>
      <c r="S149" s="9"/>
      <c r="T149" s="14"/>
      <c r="U149" s="14"/>
      <c r="V149" s="5"/>
      <c r="W149" s="5"/>
      <c r="X149" s="5"/>
      <c r="Y149" s="5"/>
      <c r="Z149" s="5"/>
      <c r="AA149" s="5" t="str">
        <f aca="false">IF($A149="","",IFERROR(INDEX(账户总表!$B:$B,MATCH($A149,账户总表!$A:$A,0))*INDEX(账户总表!$O:$O,MATCH($A149,账户总表!$A:$A,0)),0))</f>
        <v/>
      </c>
      <c r="AB149" s="33" t="str">
        <f aca="false">IF($A149="","",IFERROR(MAX(0,AA149-J149),0))</f>
        <v/>
      </c>
      <c r="AC149" s="5" t="str">
        <f aca="false">IF($A149="","",IF(I149&gt;0,IFERROR(FLOOR(AB149/I149,100),0),0))</f>
        <v/>
      </c>
      <c r="AD149" s="9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IF($A149="","",IF(AND(AG149="核心池",AD149="合规",AC149&gt;=100),"可评估加仓","不可加仓"))</f>
        <v/>
      </c>
    </row>
    <row r="150" customFormat="false" ht="15" hidden="false" customHeight="true" outlineLevel="0" collapsed="false">
      <c r="A150" s="6"/>
      <c r="B150" s="6"/>
      <c r="C150" s="6"/>
      <c r="D150" s="6"/>
      <c r="E150" s="17"/>
      <c r="F150" s="6"/>
      <c r="G150" s="20"/>
      <c r="H150" s="17"/>
      <c r="I150" s="17"/>
      <c r="J150" s="18"/>
      <c r="K150" s="18"/>
      <c r="L150" s="18"/>
      <c r="M150" s="19"/>
      <c r="N150" s="19"/>
      <c r="O150" s="17"/>
      <c r="P150" s="18"/>
      <c r="Q150" s="5"/>
      <c r="R150" s="22"/>
      <c r="S150" s="6"/>
      <c r="T150" s="13"/>
      <c r="U150" s="13"/>
      <c r="V150" s="5"/>
      <c r="W150" s="5"/>
      <c r="X150" s="5"/>
      <c r="Y150" s="5"/>
      <c r="Z150" s="5"/>
      <c r="AA150" s="5" t="str">
        <f aca="false">IF($A150="","",IFERROR(INDEX(账户总表!$B:$B,MATCH($A150,账户总表!$A:$A,0))*INDEX(账户总表!$O:$O,MATCH($A150,账户总表!$A:$A,0)),0))</f>
        <v/>
      </c>
      <c r="AB150" s="33" t="str">
        <f aca="false">IF($A150="","",IFERROR(MAX(0,AA150-J150),0))</f>
        <v/>
      </c>
      <c r="AC150" s="5" t="str">
        <f aca="false">IF($A150="","",IF(I150&gt;0,IFERROR(FLOOR(AB150/I150,100),0),0))</f>
        <v/>
      </c>
      <c r="AD150" s="6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IF($A150="","",IF(AND(AG150="核心池",AD150="合规",AC150&gt;=100),"可评估加仓","不可加仓"))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26"/>
      <c r="F151" s="9"/>
      <c r="G151" s="27"/>
      <c r="H151" s="26"/>
      <c r="I151" s="26"/>
      <c r="J151" s="18"/>
      <c r="K151" s="18"/>
      <c r="L151" s="18"/>
      <c r="M151" s="19"/>
      <c r="N151" s="19"/>
      <c r="O151" s="26"/>
      <c r="P151" s="18"/>
      <c r="Q151" s="5"/>
      <c r="R151" s="28"/>
      <c r="S151" s="9"/>
      <c r="T151" s="14"/>
      <c r="U151" s="14"/>
      <c r="V151" s="5"/>
      <c r="W151" s="5"/>
      <c r="X151" s="5"/>
      <c r="Y151" s="5"/>
      <c r="Z151" s="5"/>
      <c r="AA151" s="5" t="str">
        <f aca="false">IF($A151="","",IFERROR(INDEX(账户总表!$B:$B,MATCH($A151,账户总表!$A:$A,0))*INDEX(账户总表!$O:$O,MATCH($A151,账户总表!$A:$A,0)),0))</f>
        <v/>
      </c>
      <c r="AB151" s="33" t="str">
        <f aca="false">IF($A151="","",IFERROR(MAX(0,AA151-J151),0))</f>
        <v/>
      </c>
      <c r="AC151" s="5" t="str">
        <f aca="false">IF($A151="","",IF(I151&gt;0,IFERROR(FLOOR(AB151/I151,100),0),0))</f>
        <v/>
      </c>
      <c r="AD151" s="9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IF($A151="","",IF(AND(AG151="核心池",AD151="合规",AC151&gt;=100),"可评估加仓","不可加仓"))</f>
        <v/>
      </c>
    </row>
    <row r="152" customFormat="false" ht="15" hidden="false" customHeight="true" outlineLevel="0" collapsed="false">
      <c r="A152" s="6"/>
      <c r="B152" s="6"/>
      <c r="C152" s="6"/>
      <c r="D152" s="6"/>
      <c r="E152" s="17"/>
      <c r="F152" s="6"/>
      <c r="G152" s="20"/>
      <c r="H152" s="17"/>
      <c r="I152" s="17"/>
      <c r="J152" s="18"/>
      <c r="K152" s="18"/>
      <c r="L152" s="18"/>
      <c r="M152" s="19"/>
      <c r="N152" s="19"/>
      <c r="O152" s="17"/>
      <c r="P152" s="18"/>
      <c r="Q152" s="5"/>
      <c r="R152" s="22"/>
      <c r="S152" s="6"/>
      <c r="T152" s="13"/>
      <c r="U152" s="13"/>
      <c r="V152" s="5"/>
      <c r="W152" s="5"/>
      <c r="X152" s="5"/>
      <c r="Y152" s="5"/>
      <c r="Z152" s="5"/>
      <c r="AA152" s="5" t="str">
        <f aca="false">IF($A152="","",IFERROR(INDEX(账户总表!$B:$B,MATCH($A152,账户总表!$A:$A,0))*INDEX(账户总表!$O:$O,MATCH($A152,账户总表!$A:$A,0)),0))</f>
        <v/>
      </c>
      <c r="AB152" s="33" t="str">
        <f aca="false">IF($A152="","",IFERROR(MAX(0,AA152-J152),0))</f>
        <v/>
      </c>
      <c r="AC152" s="5" t="str">
        <f aca="false">IF($A152="","",IF(I152&gt;0,IFERROR(FLOOR(AB152/I152,100),0),0))</f>
        <v/>
      </c>
      <c r="AD152" s="6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IF($A152="","",IF(AND(AG152="核心池",AD152="合规",AC152&gt;=100),"可评估加仓","不可加仓"))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26"/>
      <c r="F153" s="9"/>
      <c r="G153" s="27"/>
      <c r="H153" s="26"/>
      <c r="I153" s="26"/>
      <c r="J153" s="18"/>
      <c r="K153" s="18"/>
      <c r="L153" s="18"/>
      <c r="M153" s="19"/>
      <c r="N153" s="19"/>
      <c r="O153" s="26"/>
      <c r="P153" s="18"/>
      <c r="Q153" s="5"/>
      <c r="R153" s="28"/>
      <c r="S153" s="9"/>
      <c r="T153" s="14"/>
      <c r="U153" s="14"/>
      <c r="V153" s="5"/>
      <c r="W153" s="5"/>
      <c r="X153" s="5"/>
      <c r="Y153" s="5"/>
      <c r="Z153" s="5"/>
      <c r="AA153" s="5" t="str">
        <f aca="false">IF($A153="","",IFERROR(INDEX(账户总表!$B:$B,MATCH($A153,账户总表!$A:$A,0))*INDEX(账户总表!$O:$O,MATCH($A153,账户总表!$A:$A,0)),0))</f>
        <v/>
      </c>
      <c r="AB153" s="33" t="str">
        <f aca="false">IF($A153="","",IFERROR(MAX(0,AA153-J153),0))</f>
        <v/>
      </c>
      <c r="AC153" s="5" t="str">
        <f aca="false">IF($A153="","",IF(I153&gt;0,IFERROR(FLOOR(AB153/I153,100),0),0))</f>
        <v/>
      </c>
      <c r="AD153" s="9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IF($A153="","",IF(AND(AG153="核心池",AD153="合规",AC153&gt;=100),"可评估加仓","不可加仓"))</f>
        <v/>
      </c>
    </row>
    <row r="154" customFormat="false" ht="15" hidden="false" customHeight="true" outlineLevel="0" collapsed="false">
      <c r="A154" s="6"/>
      <c r="B154" s="6"/>
      <c r="C154" s="6"/>
      <c r="D154" s="6"/>
      <c r="E154" s="17"/>
      <c r="F154" s="6"/>
      <c r="G154" s="20"/>
      <c r="H154" s="17"/>
      <c r="I154" s="17"/>
      <c r="J154" s="18"/>
      <c r="K154" s="18"/>
      <c r="L154" s="18"/>
      <c r="M154" s="19"/>
      <c r="N154" s="19"/>
      <c r="O154" s="17"/>
      <c r="P154" s="18"/>
      <c r="Q154" s="5"/>
      <c r="R154" s="22"/>
      <c r="S154" s="6"/>
      <c r="T154" s="13"/>
      <c r="U154" s="13"/>
      <c r="V154" s="5"/>
      <c r="W154" s="5"/>
      <c r="X154" s="5"/>
      <c r="Y154" s="5"/>
      <c r="Z154" s="5"/>
      <c r="AA154" s="5" t="str">
        <f aca="false">IF($A154="","",IFERROR(INDEX(账户总表!$B:$B,MATCH($A154,账户总表!$A:$A,0))*INDEX(账户总表!$O:$O,MATCH($A154,账户总表!$A:$A,0)),0))</f>
        <v/>
      </c>
      <c r="AB154" s="33" t="str">
        <f aca="false">IF($A154="","",IFERROR(MAX(0,AA154-J154),0))</f>
        <v/>
      </c>
      <c r="AC154" s="5" t="str">
        <f aca="false">IF($A154="","",IF(I154&gt;0,IFERROR(FLOOR(AB154/I154,100),0),0))</f>
        <v/>
      </c>
      <c r="AD154" s="6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IF($A154="","",IF(AND(AG154="核心池",AD154="合规",AC154&gt;=100),"可评估加仓","不可加仓"))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26"/>
      <c r="F155" s="9"/>
      <c r="G155" s="27"/>
      <c r="H155" s="26"/>
      <c r="I155" s="26"/>
      <c r="J155" s="18"/>
      <c r="K155" s="18"/>
      <c r="L155" s="18"/>
      <c r="M155" s="19"/>
      <c r="N155" s="19"/>
      <c r="O155" s="26"/>
      <c r="P155" s="18"/>
      <c r="Q155" s="5"/>
      <c r="R155" s="28"/>
      <c r="S155" s="9"/>
      <c r="T155" s="14"/>
      <c r="U155" s="14"/>
      <c r="V155" s="5"/>
      <c r="W155" s="5"/>
      <c r="X155" s="5"/>
      <c r="Y155" s="5"/>
      <c r="Z155" s="5"/>
      <c r="AA155" s="5" t="str">
        <f aca="false">IF($A155="","",IFERROR(INDEX(账户总表!$B:$B,MATCH($A155,账户总表!$A:$A,0))*INDEX(账户总表!$O:$O,MATCH($A155,账户总表!$A:$A,0)),0))</f>
        <v/>
      </c>
      <c r="AB155" s="33" t="str">
        <f aca="false">IF($A155="","",IFERROR(MAX(0,AA155-J155),0))</f>
        <v/>
      </c>
      <c r="AC155" s="5" t="str">
        <f aca="false">IF($A155="","",IF(I155&gt;0,IFERROR(FLOOR(AB155/I155,100),0),0))</f>
        <v/>
      </c>
      <c r="AD155" s="9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IF($A155="","",IF(AND(AG155="核心池",AD155="合规",AC155&gt;=100),"可评估加仓","不可加仓"))</f>
        <v/>
      </c>
    </row>
    <row r="156" customFormat="false" ht="15" hidden="false" customHeight="true" outlineLevel="0" collapsed="false">
      <c r="A156" s="6"/>
      <c r="B156" s="6"/>
      <c r="C156" s="6"/>
      <c r="D156" s="6"/>
      <c r="E156" s="17"/>
      <c r="F156" s="6"/>
      <c r="G156" s="20"/>
      <c r="H156" s="17"/>
      <c r="I156" s="17"/>
      <c r="J156" s="18"/>
      <c r="K156" s="18"/>
      <c r="L156" s="18"/>
      <c r="M156" s="19"/>
      <c r="N156" s="19"/>
      <c r="O156" s="17"/>
      <c r="P156" s="18"/>
      <c r="Q156" s="5"/>
      <c r="R156" s="22"/>
      <c r="S156" s="6"/>
      <c r="T156" s="13"/>
      <c r="U156" s="13"/>
      <c r="V156" s="5"/>
      <c r="W156" s="5"/>
      <c r="X156" s="5"/>
      <c r="Y156" s="5"/>
      <c r="Z156" s="5"/>
      <c r="AA156" s="5" t="str">
        <f aca="false">IF($A156="","",IFERROR(INDEX(账户总表!$B:$B,MATCH($A156,账户总表!$A:$A,0))*INDEX(账户总表!$O:$O,MATCH($A156,账户总表!$A:$A,0)),0))</f>
        <v/>
      </c>
      <c r="AB156" s="33" t="str">
        <f aca="false">IF($A156="","",IFERROR(MAX(0,AA156-J156),0))</f>
        <v/>
      </c>
      <c r="AC156" s="5" t="str">
        <f aca="false">IF($A156="","",IF(I156&gt;0,IFERROR(FLOOR(AB156/I156,100),0),0))</f>
        <v/>
      </c>
      <c r="AD156" s="6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IF($A156="","",IF(AND(AG156="核心池",AD156="合规",AC156&gt;=100),"可评估加仓","不可加仓"))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26"/>
      <c r="F157" s="9"/>
      <c r="G157" s="27"/>
      <c r="H157" s="26"/>
      <c r="I157" s="26"/>
      <c r="J157" s="18"/>
      <c r="K157" s="18"/>
      <c r="L157" s="18"/>
      <c r="M157" s="19"/>
      <c r="N157" s="19"/>
      <c r="O157" s="26"/>
      <c r="P157" s="18"/>
      <c r="Q157" s="5"/>
      <c r="R157" s="28"/>
      <c r="S157" s="9"/>
      <c r="T157" s="14"/>
      <c r="U157" s="14"/>
      <c r="V157" s="5"/>
      <c r="W157" s="5"/>
      <c r="X157" s="5"/>
      <c r="Y157" s="5"/>
      <c r="Z157" s="5"/>
      <c r="AA157" s="5" t="str">
        <f aca="false">IF($A157="","",IFERROR(INDEX(账户总表!$B:$B,MATCH($A157,账户总表!$A:$A,0))*INDEX(账户总表!$O:$O,MATCH($A157,账户总表!$A:$A,0)),0))</f>
        <v/>
      </c>
      <c r="AB157" s="33" t="str">
        <f aca="false">IF($A157="","",IFERROR(MAX(0,AA157-J157),0))</f>
        <v/>
      </c>
      <c r="AC157" s="5" t="str">
        <f aca="false">IF($A157="","",IF(I157&gt;0,IFERROR(FLOOR(AB157/I157,100),0),0))</f>
        <v/>
      </c>
      <c r="AD157" s="9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IF($A157="","",IF(AND(AG157="核心池",AD157="合规",AC157&gt;=100),"可评估加仓","不可加仓"))</f>
        <v/>
      </c>
    </row>
    <row r="158" customFormat="false" ht="15" hidden="false" customHeight="true" outlineLevel="0" collapsed="false">
      <c r="A158" s="6"/>
      <c r="B158" s="6"/>
      <c r="C158" s="6"/>
      <c r="D158" s="6"/>
      <c r="E158" s="17"/>
      <c r="F158" s="6"/>
      <c r="G158" s="20"/>
      <c r="H158" s="17"/>
      <c r="I158" s="17"/>
      <c r="J158" s="18"/>
      <c r="K158" s="18"/>
      <c r="L158" s="18"/>
      <c r="M158" s="19"/>
      <c r="N158" s="19"/>
      <c r="O158" s="17"/>
      <c r="P158" s="18"/>
      <c r="Q158" s="5"/>
      <c r="R158" s="22"/>
      <c r="S158" s="6"/>
      <c r="T158" s="13"/>
      <c r="U158" s="13"/>
      <c r="V158" s="5"/>
      <c r="W158" s="5"/>
      <c r="X158" s="5"/>
      <c r="Y158" s="5"/>
      <c r="Z158" s="5"/>
      <c r="AA158" s="5" t="str">
        <f aca="false">IF($A158="","",IFERROR(INDEX(账户总表!$B:$B,MATCH($A158,账户总表!$A:$A,0))*INDEX(账户总表!$O:$O,MATCH($A158,账户总表!$A:$A,0)),0))</f>
        <v/>
      </c>
      <c r="AB158" s="33" t="str">
        <f aca="false">IF($A158="","",IFERROR(MAX(0,AA158-J158),0))</f>
        <v/>
      </c>
      <c r="AC158" s="5" t="str">
        <f aca="false">IF($A158="","",IF(I158&gt;0,IFERROR(FLOOR(AB158/I158,100),0),0))</f>
        <v/>
      </c>
      <c r="AD158" s="6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IF($A158="","",IF(AND(AG158="核心池",AD158="合规",AC158&gt;=100),"可评估加仓","不可加仓"))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26"/>
      <c r="F159" s="9"/>
      <c r="G159" s="27"/>
      <c r="H159" s="26"/>
      <c r="I159" s="26"/>
      <c r="J159" s="18"/>
      <c r="K159" s="18"/>
      <c r="L159" s="18"/>
      <c r="M159" s="19"/>
      <c r="N159" s="19"/>
      <c r="O159" s="26"/>
      <c r="P159" s="18"/>
      <c r="Q159" s="5"/>
      <c r="R159" s="28"/>
      <c r="S159" s="9"/>
      <c r="T159" s="14"/>
      <c r="U159" s="14"/>
      <c r="V159" s="5"/>
      <c r="W159" s="5"/>
      <c r="X159" s="5"/>
      <c r="Y159" s="5"/>
      <c r="Z159" s="5"/>
      <c r="AA159" s="5" t="str">
        <f aca="false">IF($A159="","",IFERROR(INDEX(账户总表!$B:$B,MATCH($A159,账户总表!$A:$A,0))*INDEX(账户总表!$O:$O,MATCH($A159,账户总表!$A:$A,0)),0))</f>
        <v/>
      </c>
      <c r="AB159" s="33" t="str">
        <f aca="false">IF($A159="","",IFERROR(MAX(0,AA159-J159),0))</f>
        <v/>
      </c>
      <c r="AC159" s="5" t="str">
        <f aca="false">IF($A159="","",IF(I159&gt;0,IFERROR(FLOOR(AB159/I159,100),0),0))</f>
        <v/>
      </c>
      <c r="AD159" s="9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IF($A159="","",IF(AND(AG159="核心池",AD159="合规",AC159&gt;=100),"可评估加仓","不可加仓"))</f>
        <v/>
      </c>
    </row>
    <row r="160" customFormat="false" ht="15" hidden="false" customHeight="true" outlineLevel="0" collapsed="false">
      <c r="A160" s="6"/>
      <c r="B160" s="6"/>
      <c r="C160" s="6"/>
      <c r="D160" s="6"/>
      <c r="E160" s="17"/>
      <c r="F160" s="6"/>
      <c r="G160" s="20"/>
      <c r="H160" s="17"/>
      <c r="I160" s="17"/>
      <c r="J160" s="18"/>
      <c r="K160" s="18"/>
      <c r="L160" s="18"/>
      <c r="M160" s="19"/>
      <c r="N160" s="19"/>
      <c r="O160" s="17"/>
      <c r="P160" s="18"/>
      <c r="Q160" s="5"/>
      <c r="R160" s="22"/>
      <c r="S160" s="6"/>
      <c r="T160" s="13"/>
      <c r="U160" s="13"/>
      <c r="V160" s="5"/>
      <c r="W160" s="5"/>
      <c r="X160" s="5"/>
      <c r="Y160" s="5"/>
      <c r="Z160" s="5"/>
      <c r="AA160" s="5" t="str">
        <f aca="false">IF($A160="","",IFERROR(INDEX(账户总表!$B:$B,MATCH($A160,账户总表!$A:$A,0))*INDEX(账户总表!$O:$O,MATCH($A160,账户总表!$A:$A,0)),0))</f>
        <v/>
      </c>
      <c r="AB160" s="33" t="str">
        <f aca="false">IF($A160="","",IFERROR(MAX(0,AA160-J160),0))</f>
        <v/>
      </c>
      <c r="AC160" s="5" t="str">
        <f aca="false">IF($A160="","",IF(I160&gt;0,IFERROR(FLOOR(AB160/I160,100),0),0))</f>
        <v/>
      </c>
      <c r="AD160" s="6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IF($A160="","",IF(AND(AG160="核心池",AD160="合规",AC160&gt;=100),"可评估加仓","不可加仓"))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26"/>
      <c r="F161" s="9"/>
      <c r="G161" s="27"/>
      <c r="H161" s="26"/>
      <c r="I161" s="26"/>
      <c r="J161" s="18"/>
      <c r="K161" s="18"/>
      <c r="L161" s="18"/>
      <c r="M161" s="19"/>
      <c r="N161" s="19"/>
      <c r="O161" s="26"/>
      <c r="P161" s="18"/>
      <c r="Q161" s="5"/>
      <c r="R161" s="28"/>
      <c r="S161" s="9"/>
      <c r="T161" s="14"/>
      <c r="U161" s="14"/>
      <c r="V161" s="5"/>
      <c r="W161" s="5"/>
      <c r="X161" s="5"/>
      <c r="Y161" s="5"/>
      <c r="Z161" s="5"/>
      <c r="AA161" s="5" t="str">
        <f aca="false">IF($A161="","",IFERROR(INDEX(账户总表!$B:$B,MATCH($A161,账户总表!$A:$A,0))*INDEX(账户总表!$O:$O,MATCH($A161,账户总表!$A:$A,0)),0))</f>
        <v/>
      </c>
      <c r="AB161" s="33" t="str">
        <f aca="false">IF($A161="","",IFERROR(MAX(0,AA161-J161),0))</f>
        <v/>
      </c>
      <c r="AC161" s="5" t="str">
        <f aca="false">IF($A161="","",IF(I161&gt;0,IFERROR(FLOOR(AB161/I161,100),0),0))</f>
        <v/>
      </c>
      <c r="AD161" s="9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IF($A161="","",IF(AND(AG161="核心池",AD161="合规",AC161&gt;=100),"可评估加仓","不可加仓"))</f>
        <v/>
      </c>
    </row>
    <row r="162" customFormat="false" ht="15" hidden="false" customHeight="true" outlineLevel="0" collapsed="false">
      <c r="A162" s="6"/>
      <c r="B162" s="6"/>
      <c r="C162" s="6"/>
      <c r="D162" s="6"/>
      <c r="E162" s="17"/>
      <c r="F162" s="6"/>
      <c r="G162" s="20"/>
      <c r="H162" s="17"/>
      <c r="I162" s="17"/>
      <c r="J162" s="18"/>
      <c r="K162" s="18"/>
      <c r="L162" s="18"/>
      <c r="M162" s="19"/>
      <c r="N162" s="19"/>
      <c r="O162" s="17"/>
      <c r="P162" s="18"/>
      <c r="Q162" s="5"/>
      <c r="R162" s="22"/>
      <c r="S162" s="6"/>
      <c r="T162" s="13"/>
      <c r="U162" s="13"/>
      <c r="V162" s="5"/>
      <c r="W162" s="5"/>
      <c r="X162" s="5"/>
      <c r="Y162" s="5"/>
      <c r="Z162" s="5"/>
      <c r="AA162" s="5" t="str">
        <f aca="false">IF($A162="","",IFERROR(INDEX(账户总表!$B:$B,MATCH($A162,账户总表!$A:$A,0))*INDEX(账户总表!$O:$O,MATCH($A162,账户总表!$A:$A,0)),0))</f>
        <v/>
      </c>
      <c r="AB162" s="33" t="str">
        <f aca="false">IF($A162="","",IFERROR(MAX(0,AA162-J162),0))</f>
        <v/>
      </c>
      <c r="AC162" s="5" t="str">
        <f aca="false">IF($A162="","",IF(I162&gt;0,IFERROR(FLOOR(AB162/I162,100),0),0))</f>
        <v/>
      </c>
      <c r="AD162" s="6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IF($A162="","",IF(AND(AG162="核心池",AD162="合规",AC162&gt;=100),"可评估加仓","不可加仓"))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26"/>
      <c r="F163" s="9"/>
      <c r="G163" s="27"/>
      <c r="H163" s="26"/>
      <c r="I163" s="26"/>
      <c r="J163" s="18"/>
      <c r="K163" s="18"/>
      <c r="L163" s="18"/>
      <c r="M163" s="19"/>
      <c r="N163" s="19"/>
      <c r="O163" s="26"/>
      <c r="P163" s="18"/>
      <c r="Q163" s="5"/>
      <c r="R163" s="28"/>
      <c r="S163" s="9"/>
      <c r="T163" s="14"/>
      <c r="U163" s="14"/>
      <c r="V163" s="5"/>
      <c r="W163" s="5"/>
      <c r="X163" s="5"/>
      <c r="Y163" s="5"/>
      <c r="Z163" s="5"/>
      <c r="AA163" s="5" t="str">
        <f aca="false">IF($A163="","",IFERROR(INDEX(账户总表!$B:$B,MATCH($A163,账户总表!$A:$A,0))*INDEX(账户总表!$O:$O,MATCH($A163,账户总表!$A:$A,0)),0))</f>
        <v/>
      </c>
      <c r="AB163" s="33" t="str">
        <f aca="false">IF($A163="","",IFERROR(MAX(0,AA163-J163),0))</f>
        <v/>
      </c>
      <c r="AC163" s="5" t="str">
        <f aca="false">IF($A163="","",IF(I163&gt;0,IFERROR(FLOOR(AB163/I163,100),0),0))</f>
        <v/>
      </c>
      <c r="AD163" s="9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IF($A163="","",IF(AND(AG163="核心池",AD163="合规",AC163&gt;=100),"可评估加仓","不可加仓"))</f>
        <v/>
      </c>
    </row>
    <row r="164" customFormat="false" ht="15" hidden="false" customHeight="true" outlineLevel="0" collapsed="false">
      <c r="A164" s="6"/>
      <c r="B164" s="6"/>
      <c r="C164" s="6"/>
      <c r="D164" s="6"/>
      <c r="E164" s="17"/>
      <c r="F164" s="6"/>
      <c r="G164" s="20"/>
      <c r="H164" s="17"/>
      <c r="I164" s="17"/>
      <c r="J164" s="18"/>
      <c r="K164" s="18"/>
      <c r="L164" s="18"/>
      <c r="M164" s="19"/>
      <c r="N164" s="19"/>
      <c r="O164" s="17"/>
      <c r="P164" s="18"/>
      <c r="Q164" s="5"/>
      <c r="R164" s="22"/>
      <c r="S164" s="6"/>
      <c r="T164" s="13"/>
      <c r="U164" s="13"/>
      <c r="V164" s="5"/>
      <c r="W164" s="5"/>
      <c r="X164" s="5"/>
      <c r="Y164" s="5"/>
      <c r="Z164" s="5"/>
      <c r="AA164" s="5" t="str">
        <f aca="false">IF($A164="","",IFERROR(INDEX(账户总表!$B:$B,MATCH($A164,账户总表!$A:$A,0))*INDEX(账户总表!$O:$O,MATCH($A164,账户总表!$A:$A,0)),0))</f>
        <v/>
      </c>
      <c r="AB164" s="33" t="str">
        <f aca="false">IF($A164="","",IFERROR(MAX(0,AA164-J164),0))</f>
        <v/>
      </c>
      <c r="AC164" s="5" t="str">
        <f aca="false">IF($A164="","",IF(I164&gt;0,IFERROR(FLOOR(AB164/I164,100),0),0))</f>
        <v/>
      </c>
      <c r="AD164" s="6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IF($A164="","",IF(AND(AG164="核心池",AD164="合规",AC164&gt;=100),"可评估加仓","不可加仓"))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26"/>
      <c r="F165" s="9"/>
      <c r="G165" s="27"/>
      <c r="H165" s="26"/>
      <c r="I165" s="26"/>
      <c r="J165" s="18"/>
      <c r="K165" s="18"/>
      <c r="L165" s="18"/>
      <c r="M165" s="19"/>
      <c r="N165" s="19"/>
      <c r="O165" s="26"/>
      <c r="P165" s="18"/>
      <c r="Q165" s="5"/>
      <c r="R165" s="28"/>
      <c r="S165" s="9"/>
      <c r="T165" s="14"/>
      <c r="U165" s="14"/>
      <c r="V165" s="5"/>
      <c r="W165" s="5"/>
      <c r="X165" s="5"/>
      <c r="Y165" s="5"/>
      <c r="Z165" s="5"/>
      <c r="AA165" s="5" t="str">
        <f aca="false">IF($A165="","",IFERROR(INDEX(账户总表!$B:$B,MATCH($A165,账户总表!$A:$A,0))*INDEX(账户总表!$O:$O,MATCH($A165,账户总表!$A:$A,0)),0))</f>
        <v/>
      </c>
      <c r="AB165" s="33" t="str">
        <f aca="false">IF($A165="","",IFERROR(MAX(0,AA165-J165),0))</f>
        <v/>
      </c>
      <c r="AC165" s="5" t="str">
        <f aca="false">IF($A165="","",IF(I165&gt;0,IFERROR(FLOOR(AB165/I165,100),0),0))</f>
        <v/>
      </c>
      <c r="AD165" s="9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IF($A165="","",IF(AND(AG165="核心池",AD165="合规",AC165&gt;=100),"可评估加仓","不可加仓"))</f>
        <v/>
      </c>
    </row>
    <row r="166" customFormat="false" ht="15" hidden="false" customHeight="true" outlineLevel="0" collapsed="false">
      <c r="A166" s="6"/>
      <c r="B166" s="6"/>
      <c r="C166" s="6"/>
      <c r="D166" s="6"/>
      <c r="E166" s="17"/>
      <c r="F166" s="6"/>
      <c r="G166" s="20"/>
      <c r="H166" s="17"/>
      <c r="I166" s="17"/>
      <c r="J166" s="18"/>
      <c r="K166" s="18"/>
      <c r="L166" s="18"/>
      <c r="M166" s="19"/>
      <c r="N166" s="19"/>
      <c r="O166" s="17"/>
      <c r="P166" s="18"/>
      <c r="Q166" s="5"/>
      <c r="R166" s="22"/>
      <c r="S166" s="6"/>
      <c r="T166" s="13"/>
      <c r="U166" s="13"/>
      <c r="V166" s="5"/>
      <c r="W166" s="5"/>
      <c r="X166" s="5"/>
      <c r="Y166" s="5"/>
      <c r="Z166" s="5"/>
      <c r="AA166" s="5" t="str">
        <f aca="false">IF($A166="","",IFERROR(INDEX(账户总表!$B:$B,MATCH($A166,账户总表!$A:$A,0))*INDEX(账户总表!$O:$O,MATCH($A166,账户总表!$A:$A,0)),0))</f>
        <v/>
      </c>
      <c r="AB166" s="33" t="str">
        <f aca="false">IF($A166="","",IFERROR(MAX(0,AA166-J166),0))</f>
        <v/>
      </c>
      <c r="AC166" s="5" t="str">
        <f aca="false">IF($A166="","",IF(I166&gt;0,IFERROR(FLOOR(AB166/I166,100),0),0))</f>
        <v/>
      </c>
      <c r="AD166" s="6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IF($A166="","",IF(AND(AG166="核心池",AD166="合规",AC166&gt;=100),"可评估加仓","不可加仓"))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26"/>
      <c r="F167" s="9"/>
      <c r="G167" s="27"/>
      <c r="H167" s="26"/>
      <c r="I167" s="26"/>
      <c r="J167" s="18"/>
      <c r="K167" s="18"/>
      <c r="L167" s="18"/>
      <c r="M167" s="19"/>
      <c r="N167" s="19"/>
      <c r="O167" s="26"/>
      <c r="P167" s="18"/>
      <c r="Q167" s="5"/>
      <c r="R167" s="28"/>
      <c r="S167" s="9"/>
      <c r="T167" s="14"/>
      <c r="U167" s="14"/>
      <c r="V167" s="5"/>
      <c r="W167" s="5"/>
      <c r="X167" s="5"/>
      <c r="Y167" s="5"/>
      <c r="Z167" s="5"/>
      <c r="AA167" s="5" t="str">
        <f aca="false">IF($A167="","",IFERROR(INDEX(账户总表!$B:$B,MATCH($A167,账户总表!$A:$A,0))*INDEX(账户总表!$O:$O,MATCH($A167,账户总表!$A:$A,0)),0))</f>
        <v/>
      </c>
      <c r="AB167" s="33" t="str">
        <f aca="false">IF($A167="","",IFERROR(MAX(0,AA167-J167),0))</f>
        <v/>
      </c>
      <c r="AC167" s="5" t="str">
        <f aca="false">IF($A167="","",IF(I167&gt;0,IFERROR(FLOOR(AB167/I167,100),0),0))</f>
        <v/>
      </c>
      <c r="AD167" s="9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IF($A167="","",IF(AND(AG167="核心池",AD167="合规",AC167&gt;=100),"可评估加仓","不可加仓"))</f>
        <v/>
      </c>
    </row>
    <row r="168" customFormat="false" ht="15" hidden="false" customHeight="true" outlineLevel="0" collapsed="false">
      <c r="A168" s="6"/>
      <c r="B168" s="6"/>
      <c r="C168" s="6"/>
      <c r="D168" s="6"/>
      <c r="E168" s="17"/>
      <c r="F168" s="6"/>
      <c r="G168" s="20"/>
      <c r="H168" s="17"/>
      <c r="I168" s="17"/>
      <c r="J168" s="18"/>
      <c r="K168" s="18"/>
      <c r="L168" s="18"/>
      <c r="M168" s="19"/>
      <c r="N168" s="19"/>
      <c r="O168" s="17"/>
      <c r="P168" s="18"/>
      <c r="Q168" s="5"/>
      <c r="R168" s="22"/>
      <c r="S168" s="6"/>
      <c r="T168" s="13"/>
      <c r="U168" s="13"/>
      <c r="V168" s="5"/>
      <c r="W168" s="5"/>
      <c r="X168" s="5"/>
      <c r="Y168" s="5"/>
      <c r="Z168" s="5"/>
      <c r="AA168" s="5" t="str">
        <f aca="false">IF($A168="","",IFERROR(INDEX(账户总表!$B:$B,MATCH($A168,账户总表!$A:$A,0))*INDEX(账户总表!$O:$O,MATCH($A168,账户总表!$A:$A,0)),0))</f>
        <v/>
      </c>
      <c r="AB168" s="33" t="str">
        <f aca="false">IF($A168="","",IFERROR(MAX(0,AA168-J168),0))</f>
        <v/>
      </c>
      <c r="AC168" s="5" t="str">
        <f aca="false">IF($A168="","",IF(I168&gt;0,IFERROR(FLOOR(AB168/I168,100),0),0))</f>
        <v/>
      </c>
      <c r="AD168" s="6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IF($A168="","",IF(AND(AG168="核心池",AD168="合规",AC168&gt;=100),"可评估加仓","不可加仓"))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26"/>
      <c r="F169" s="9"/>
      <c r="G169" s="27"/>
      <c r="H169" s="26"/>
      <c r="I169" s="26"/>
      <c r="J169" s="18"/>
      <c r="K169" s="18"/>
      <c r="L169" s="18"/>
      <c r="M169" s="19"/>
      <c r="N169" s="19"/>
      <c r="O169" s="26"/>
      <c r="P169" s="18"/>
      <c r="Q169" s="5"/>
      <c r="R169" s="28"/>
      <c r="S169" s="9"/>
      <c r="T169" s="14"/>
      <c r="U169" s="14"/>
      <c r="V169" s="5"/>
      <c r="W169" s="5"/>
      <c r="X169" s="5"/>
      <c r="Y169" s="5"/>
      <c r="Z169" s="5"/>
      <c r="AA169" s="5" t="str">
        <f aca="false">IF($A169="","",IFERROR(INDEX(账户总表!$B:$B,MATCH($A169,账户总表!$A:$A,0))*INDEX(账户总表!$O:$O,MATCH($A169,账户总表!$A:$A,0)),0))</f>
        <v/>
      </c>
      <c r="AB169" s="33" t="str">
        <f aca="false">IF($A169="","",IFERROR(MAX(0,AA169-J169),0))</f>
        <v/>
      </c>
      <c r="AC169" s="5" t="str">
        <f aca="false">IF($A169="","",IF(I169&gt;0,IFERROR(FLOOR(AB169/I169,100),0),0))</f>
        <v/>
      </c>
      <c r="AD169" s="9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IF($A169="","",IF(AND(AG169="核心池",AD169="合规",AC169&gt;=100),"可评估加仓","不可加仓"))</f>
        <v/>
      </c>
    </row>
    <row r="170" customFormat="false" ht="15" hidden="false" customHeight="true" outlineLevel="0" collapsed="false">
      <c r="A170" s="6"/>
      <c r="B170" s="6"/>
      <c r="C170" s="6"/>
      <c r="D170" s="6"/>
      <c r="E170" s="17"/>
      <c r="F170" s="6"/>
      <c r="G170" s="20"/>
      <c r="H170" s="17"/>
      <c r="I170" s="17"/>
      <c r="J170" s="18"/>
      <c r="K170" s="18"/>
      <c r="L170" s="18"/>
      <c r="M170" s="19"/>
      <c r="N170" s="19"/>
      <c r="O170" s="17"/>
      <c r="P170" s="18"/>
      <c r="Q170" s="5"/>
      <c r="R170" s="22"/>
      <c r="S170" s="6"/>
      <c r="T170" s="13"/>
      <c r="U170" s="13"/>
      <c r="V170" s="5"/>
      <c r="W170" s="5"/>
      <c r="X170" s="5"/>
      <c r="Y170" s="5"/>
      <c r="Z170" s="5"/>
      <c r="AA170" s="5" t="str">
        <f aca="false">IF($A170="","",IFERROR(INDEX(账户总表!$B:$B,MATCH($A170,账户总表!$A:$A,0))*INDEX(账户总表!$O:$O,MATCH($A170,账户总表!$A:$A,0)),0))</f>
        <v/>
      </c>
      <c r="AB170" s="33" t="str">
        <f aca="false">IF($A170="","",IFERROR(MAX(0,AA170-J170),0))</f>
        <v/>
      </c>
      <c r="AC170" s="5" t="str">
        <f aca="false">IF($A170="","",IF(I170&gt;0,IFERROR(FLOOR(AB170/I170,100),0),0))</f>
        <v/>
      </c>
      <c r="AD170" s="6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IF($A170="","",IF(AND(AG170="核心池",AD170="合规",AC170&gt;=100),"可评估加仓","不可加仓"))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26"/>
      <c r="F171" s="9"/>
      <c r="G171" s="27"/>
      <c r="H171" s="26"/>
      <c r="I171" s="26"/>
      <c r="J171" s="18"/>
      <c r="K171" s="18"/>
      <c r="L171" s="18"/>
      <c r="M171" s="19"/>
      <c r="N171" s="19"/>
      <c r="O171" s="26"/>
      <c r="P171" s="18"/>
      <c r="Q171" s="5"/>
      <c r="R171" s="28"/>
      <c r="S171" s="9"/>
      <c r="T171" s="14"/>
      <c r="U171" s="14"/>
      <c r="V171" s="5"/>
      <c r="W171" s="5"/>
      <c r="X171" s="5"/>
      <c r="Y171" s="5"/>
      <c r="Z171" s="5"/>
      <c r="AA171" s="5" t="str">
        <f aca="false">IF($A171="","",IFERROR(INDEX(账户总表!$B:$B,MATCH($A171,账户总表!$A:$A,0))*INDEX(账户总表!$O:$O,MATCH($A171,账户总表!$A:$A,0)),0))</f>
        <v/>
      </c>
      <c r="AB171" s="33" t="str">
        <f aca="false">IF($A171="","",IFERROR(MAX(0,AA171-J171),0))</f>
        <v/>
      </c>
      <c r="AC171" s="5" t="str">
        <f aca="false">IF($A171="","",IF(I171&gt;0,IFERROR(FLOOR(AB171/I171,100),0),0))</f>
        <v/>
      </c>
      <c r="AD171" s="9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IF($A171="","",IF(AND(AG171="核心池",AD171="合规",AC171&gt;=100),"可评估加仓","不可加仓"))</f>
        <v/>
      </c>
    </row>
    <row r="172" customFormat="false" ht="15" hidden="false" customHeight="true" outlineLevel="0" collapsed="false">
      <c r="A172" s="6"/>
      <c r="B172" s="6"/>
      <c r="C172" s="6"/>
      <c r="D172" s="6"/>
      <c r="E172" s="17"/>
      <c r="F172" s="6"/>
      <c r="G172" s="20"/>
      <c r="H172" s="17"/>
      <c r="I172" s="17"/>
      <c r="J172" s="18"/>
      <c r="K172" s="18"/>
      <c r="L172" s="18"/>
      <c r="M172" s="19"/>
      <c r="N172" s="19"/>
      <c r="O172" s="17"/>
      <c r="P172" s="18"/>
      <c r="Q172" s="5"/>
      <c r="R172" s="22"/>
      <c r="S172" s="6"/>
      <c r="T172" s="13"/>
      <c r="U172" s="13"/>
      <c r="V172" s="5"/>
      <c r="W172" s="5"/>
      <c r="X172" s="5"/>
      <c r="Y172" s="5"/>
      <c r="Z172" s="5"/>
      <c r="AA172" s="5" t="str">
        <f aca="false">IF($A172="","",IFERROR(INDEX(账户总表!$B:$B,MATCH($A172,账户总表!$A:$A,0))*INDEX(账户总表!$O:$O,MATCH($A172,账户总表!$A:$A,0)),0))</f>
        <v/>
      </c>
      <c r="AB172" s="33" t="str">
        <f aca="false">IF($A172="","",IFERROR(MAX(0,AA172-J172),0))</f>
        <v/>
      </c>
      <c r="AC172" s="5" t="str">
        <f aca="false">IF($A172="","",IF(I172&gt;0,IFERROR(FLOOR(AB172/I172,100),0),0))</f>
        <v/>
      </c>
      <c r="AD172" s="6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IF($A172="","",IF(AND(AG172="核心池",AD172="合规",AC172&gt;=100),"可评估加仓","不可加仓"))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26"/>
      <c r="F173" s="9"/>
      <c r="G173" s="27"/>
      <c r="H173" s="26"/>
      <c r="I173" s="26"/>
      <c r="J173" s="18"/>
      <c r="K173" s="18"/>
      <c r="L173" s="18"/>
      <c r="M173" s="19"/>
      <c r="N173" s="19"/>
      <c r="O173" s="26"/>
      <c r="P173" s="18"/>
      <c r="Q173" s="5"/>
      <c r="R173" s="28"/>
      <c r="S173" s="9"/>
      <c r="T173" s="14"/>
      <c r="U173" s="14"/>
      <c r="V173" s="5"/>
      <c r="W173" s="5"/>
      <c r="X173" s="5"/>
      <c r="Y173" s="5"/>
      <c r="Z173" s="5"/>
      <c r="AA173" s="5" t="str">
        <f aca="false">IF($A173="","",IFERROR(INDEX(账户总表!$B:$B,MATCH($A173,账户总表!$A:$A,0))*INDEX(账户总表!$O:$O,MATCH($A173,账户总表!$A:$A,0)),0))</f>
        <v/>
      </c>
      <c r="AB173" s="33" t="str">
        <f aca="false">IF($A173="","",IFERROR(MAX(0,AA173-J173),0))</f>
        <v/>
      </c>
      <c r="AC173" s="5" t="str">
        <f aca="false">IF($A173="","",IF(I173&gt;0,IFERROR(FLOOR(AB173/I173,100),0),0))</f>
        <v/>
      </c>
      <c r="AD173" s="9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IF($A173="","",IF(AND(AG173="核心池",AD173="合规",AC173&gt;=100),"可评估加仓","不可加仓"))</f>
        <v/>
      </c>
    </row>
    <row r="174" customFormat="false" ht="15" hidden="false" customHeight="true" outlineLevel="0" collapsed="false">
      <c r="A174" s="6"/>
      <c r="B174" s="6"/>
      <c r="C174" s="6"/>
      <c r="D174" s="6"/>
      <c r="E174" s="17"/>
      <c r="F174" s="6"/>
      <c r="G174" s="20"/>
      <c r="H174" s="17"/>
      <c r="I174" s="17"/>
      <c r="J174" s="18"/>
      <c r="K174" s="18"/>
      <c r="L174" s="18"/>
      <c r="M174" s="19"/>
      <c r="N174" s="19"/>
      <c r="O174" s="17"/>
      <c r="P174" s="18"/>
      <c r="Q174" s="5"/>
      <c r="R174" s="22"/>
      <c r="S174" s="6"/>
      <c r="T174" s="13"/>
      <c r="U174" s="13"/>
      <c r="V174" s="5"/>
      <c r="W174" s="5"/>
      <c r="X174" s="5"/>
      <c r="Y174" s="5"/>
      <c r="Z174" s="5"/>
      <c r="AA174" s="5" t="str">
        <f aca="false">IF($A174="","",IFERROR(INDEX(账户总表!$B:$B,MATCH($A174,账户总表!$A:$A,0))*INDEX(账户总表!$O:$O,MATCH($A174,账户总表!$A:$A,0)),0))</f>
        <v/>
      </c>
      <c r="AB174" s="33" t="str">
        <f aca="false">IF($A174="","",IFERROR(MAX(0,AA174-J174),0))</f>
        <v/>
      </c>
      <c r="AC174" s="5" t="str">
        <f aca="false">IF($A174="","",IF(I174&gt;0,IFERROR(FLOOR(AB174/I174,100),0),0))</f>
        <v/>
      </c>
      <c r="AD174" s="6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IF($A174="","",IF(AND(AG174="核心池",AD174="合规",AC174&gt;=100),"可评估加仓","不可加仓"))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26"/>
      <c r="F175" s="9"/>
      <c r="G175" s="27"/>
      <c r="H175" s="26"/>
      <c r="I175" s="26"/>
      <c r="J175" s="18"/>
      <c r="K175" s="18"/>
      <c r="L175" s="18"/>
      <c r="M175" s="19"/>
      <c r="N175" s="19"/>
      <c r="O175" s="26"/>
      <c r="P175" s="18"/>
      <c r="Q175" s="5"/>
      <c r="R175" s="28"/>
      <c r="S175" s="9"/>
      <c r="T175" s="14"/>
      <c r="U175" s="14"/>
      <c r="V175" s="5"/>
      <c r="W175" s="5"/>
      <c r="X175" s="5"/>
      <c r="Y175" s="5"/>
      <c r="Z175" s="5"/>
      <c r="AA175" s="5" t="str">
        <f aca="false">IF($A175="","",IFERROR(INDEX(账户总表!$B:$B,MATCH($A175,账户总表!$A:$A,0))*INDEX(账户总表!$O:$O,MATCH($A175,账户总表!$A:$A,0)),0))</f>
        <v/>
      </c>
      <c r="AB175" s="33" t="str">
        <f aca="false">IF($A175="","",IFERROR(MAX(0,AA175-J175),0))</f>
        <v/>
      </c>
      <c r="AC175" s="5" t="str">
        <f aca="false">IF($A175="","",IF(I175&gt;0,IFERROR(FLOOR(AB175/I175,100),0),0))</f>
        <v/>
      </c>
      <c r="AD175" s="9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IF($A175="","",IF(AND(AG175="核心池",AD175="合规",AC175&gt;=100),"可评估加仓","不可加仓"))</f>
        <v/>
      </c>
    </row>
    <row r="176" customFormat="false" ht="15" hidden="false" customHeight="true" outlineLevel="0" collapsed="false">
      <c r="A176" s="6"/>
      <c r="B176" s="6"/>
      <c r="C176" s="6"/>
      <c r="D176" s="6"/>
      <c r="E176" s="17"/>
      <c r="F176" s="6"/>
      <c r="G176" s="20"/>
      <c r="H176" s="17"/>
      <c r="I176" s="17"/>
      <c r="J176" s="18"/>
      <c r="K176" s="18"/>
      <c r="L176" s="18"/>
      <c r="M176" s="19"/>
      <c r="N176" s="19"/>
      <c r="O176" s="17"/>
      <c r="P176" s="18"/>
      <c r="Q176" s="5"/>
      <c r="R176" s="22"/>
      <c r="S176" s="6"/>
      <c r="T176" s="13"/>
      <c r="U176" s="13"/>
      <c r="V176" s="5"/>
      <c r="W176" s="5"/>
      <c r="X176" s="5"/>
      <c r="Y176" s="5"/>
      <c r="Z176" s="5"/>
      <c r="AA176" s="5" t="str">
        <f aca="false">IF($A176="","",IFERROR(INDEX(账户总表!$B:$B,MATCH($A176,账户总表!$A:$A,0))*INDEX(账户总表!$O:$O,MATCH($A176,账户总表!$A:$A,0)),0))</f>
        <v/>
      </c>
      <c r="AB176" s="33" t="str">
        <f aca="false">IF($A176="","",IFERROR(MAX(0,AA176-J176),0))</f>
        <v/>
      </c>
      <c r="AC176" s="5" t="str">
        <f aca="false">IF($A176="","",IF(I176&gt;0,IFERROR(FLOOR(AB176/I176,100),0),0))</f>
        <v/>
      </c>
      <c r="AD176" s="6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IF($A176="","",IF(AND(AG176="核心池",AD176="合规",AC176&gt;=100),"可评估加仓","不可加仓"))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26"/>
      <c r="F177" s="9"/>
      <c r="G177" s="27"/>
      <c r="H177" s="26"/>
      <c r="I177" s="26"/>
      <c r="J177" s="18"/>
      <c r="K177" s="18"/>
      <c r="L177" s="18"/>
      <c r="M177" s="19"/>
      <c r="N177" s="19"/>
      <c r="O177" s="26"/>
      <c r="P177" s="18"/>
      <c r="Q177" s="5"/>
      <c r="R177" s="28"/>
      <c r="S177" s="9"/>
      <c r="T177" s="14"/>
      <c r="U177" s="14"/>
      <c r="V177" s="5"/>
      <c r="W177" s="5"/>
      <c r="X177" s="5"/>
      <c r="Y177" s="5"/>
      <c r="Z177" s="5"/>
      <c r="AA177" s="5" t="str">
        <f aca="false">IF($A177="","",IFERROR(INDEX(账户总表!$B:$B,MATCH($A177,账户总表!$A:$A,0))*INDEX(账户总表!$O:$O,MATCH($A177,账户总表!$A:$A,0)),0))</f>
        <v/>
      </c>
      <c r="AB177" s="33" t="str">
        <f aca="false">IF($A177="","",IFERROR(MAX(0,AA177-J177),0))</f>
        <v/>
      </c>
      <c r="AC177" s="5" t="str">
        <f aca="false">IF($A177="","",IF(I177&gt;0,IFERROR(FLOOR(AB177/I177,100),0),0))</f>
        <v/>
      </c>
      <c r="AD177" s="9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IF($A177="","",IF(AND(AG177="核心池",AD177="合规",AC177&gt;=100),"可评估加仓","不可加仓"))</f>
        <v/>
      </c>
    </row>
    <row r="178" customFormat="false" ht="15" hidden="false" customHeight="true" outlineLevel="0" collapsed="false">
      <c r="A178" s="6"/>
      <c r="B178" s="6"/>
      <c r="C178" s="6"/>
      <c r="D178" s="6"/>
      <c r="E178" s="17"/>
      <c r="F178" s="6"/>
      <c r="G178" s="20"/>
      <c r="H178" s="17"/>
      <c r="I178" s="17"/>
      <c r="J178" s="18"/>
      <c r="K178" s="18"/>
      <c r="L178" s="18"/>
      <c r="M178" s="19"/>
      <c r="N178" s="19"/>
      <c r="O178" s="17"/>
      <c r="P178" s="18"/>
      <c r="Q178" s="5"/>
      <c r="R178" s="22"/>
      <c r="S178" s="6"/>
      <c r="T178" s="13"/>
      <c r="U178" s="13"/>
      <c r="V178" s="5"/>
      <c r="W178" s="5"/>
      <c r="X178" s="5"/>
      <c r="Y178" s="5"/>
      <c r="Z178" s="5"/>
      <c r="AA178" s="5" t="str">
        <f aca="false">IF($A178="","",IFERROR(INDEX(账户总表!$B:$B,MATCH($A178,账户总表!$A:$A,0))*INDEX(账户总表!$O:$O,MATCH($A178,账户总表!$A:$A,0)),0))</f>
        <v/>
      </c>
      <c r="AB178" s="33" t="str">
        <f aca="false">IF($A178="","",IFERROR(MAX(0,AA178-J178),0))</f>
        <v/>
      </c>
      <c r="AC178" s="5" t="str">
        <f aca="false">IF($A178="","",IF(I178&gt;0,IFERROR(FLOOR(AB178/I178,100),0),0))</f>
        <v/>
      </c>
      <c r="AD178" s="6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IF($A178="","",IF(AND(AG178="核心池",AD178="合规",AC178&gt;=100),"可评估加仓","不可加仓"))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26"/>
      <c r="F179" s="9"/>
      <c r="G179" s="27"/>
      <c r="H179" s="26"/>
      <c r="I179" s="26"/>
      <c r="J179" s="18"/>
      <c r="K179" s="18"/>
      <c r="L179" s="18"/>
      <c r="M179" s="19"/>
      <c r="N179" s="19"/>
      <c r="O179" s="26"/>
      <c r="P179" s="18"/>
      <c r="Q179" s="5"/>
      <c r="R179" s="28"/>
      <c r="S179" s="9"/>
      <c r="T179" s="14"/>
      <c r="U179" s="14"/>
      <c r="V179" s="5"/>
      <c r="W179" s="5"/>
      <c r="X179" s="5"/>
      <c r="Y179" s="5"/>
      <c r="Z179" s="5"/>
      <c r="AA179" s="5" t="str">
        <f aca="false">IF($A179="","",IFERROR(INDEX(账户总表!$B:$B,MATCH($A179,账户总表!$A:$A,0))*INDEX(账户总表!$O:$O,MATCH($A179,账户总表!$A:$A,0)),0))</f>
        <v/>
      </c>
      <c r="AB179" s="33" t="str">
        <f aca="false">IF($A179="","",IFERROR(MAX(0,AA179-J179),0))</f>
        <v/>
      </c>
      <c r="AC179" s="5" t="str">
        <f aca="false">IF($A179="","",IF(I179&gt;0,IFERROR(FLOOR(AB179/I179,100),0),0))</f>
        <v/>
      </c>
      <c r="AD179" s="9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IF($A179="","",IF(AND(AG179="核心池",AD179="合规",AC179&gt;=100),"可评估加仓","不可加仓"))</f>
        <v/>
      </c>
    </row>
    <row r="180" customFormat="false" ht="15" hidden="false" customHeight="true" outlineLevel="0" collapsed="false">
      <c r="A180" s="6"/>
      <c r="B180" s="6"/>
      <c r="C180" s="6"/>
      <c r="D180" s="6"/>
      <c r="E180" s="17"/>
      <c r="F180" s="6"/>
      <c r="G180" s="20"/>
      <c r="H180" s="17"/>
      <c r="I180" s="17"/>
      <c r="J180" s="18"/>
      <c r="K180" s="18"/>
      <c r="L180" s="18"/>
      <c r="M180" s="19"/>
      <c r="N180" s="19"/>
      <c r="O180" s="17"/>
      <c r="P180" s="18"/>
      <c r="Q180" s="5"/>
      <c r="R180" s="22"/>
      <c r="S180" s="6"/>
      <c r="T180" s="13"/>
      <c r="U180" s="13"/>
      <c r="V180" s="5"/>
      <c r="W180" s="5"/>
      <c r="X180" s="5"/>
      <c r="Y180" s="5"/>
      <c r="Z180" s="5"/>
      <c r="AA180" s="5" t="str">
        <f aca="false">IF($A180="","",IFERROR(INDEX(账户总表!$B:$B,MATCH($A180,账户总表!$A:$A,0))*INDEX(账户总表!$O:$O,MATCH($A180,账户总表!$A:$A,0)),0))</f>
        <v/>
      </c>
      <c r="AB180" s="33" t="str">
        <f aca="false">IF($A180="","",IFERROR(MAX(0,AA180-J180),0))</f>
        <v/>
      </c>
      <c r="AC180" s="5" t="str">
        <f aca="false">IF($A180="","",IF(I180&gt;0,IFERROR(FLOOR(AB180/I180,100),0),0))</f>
        <v/>
      </c>
      <c r="AD180" s="6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IF($A180="","",IF(AND(AG180="核心池",AD180="合规",AC180&gt;=100),"可评估加仓","不可加仓"))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26"/>
      <c r="F181" s="9"/>
      <c r="G181" s="27"/>
      <c r="H181" s="26"/>
      <c r="I181" s="26"/>
      <c r="J181" s="18"/>
      <c r="K181" s="18"/>
      <c r="L181" s="18"/>
      <c r="M181" s="19"/>
      <c r="N181" s="19"/>
      <c r="O181" s="26"/>
      <c r="P181" s="18"/>
      <c r="Q181" s="5"/>
      <c r="R181" s="28"/>
      <c r="S181" s="9"/>
      <c r="T181" s="14"/>
      <c r="U181" s="14"/>
      <c r="V181" s="5"/>
      <c r="W181" s="5"/>
      <c r="X181" s="5"/>
      <c r="Y181" s="5"/>
      <c r="Z181" s="5"/>
      <c r="AA181" s="5" t="str">
        <f aca="false">IF($A181="","",IFERROR(INDEX(账户总表!$B:$B,MATCH($A181,账户总表!$A:$A,0))*INDEX(账户总表!$O:$O,MATCH($A181,账户总表!$A:$A,0)),0))</f>
        <v/>
      </c>
      <c r="AB181" s="33" t="str">
        <f aca="false">IF($A181="","",IFERROR(MAX(0,AA181-J181),0))</f>
        <v/>
      </c>
      <c r="AC181" s="5" t="str">
        <f aca="false">IF($A181="","",IF(I181&gt;0,IFERROR(FLOOR(AB181/I181,100),0),0))</f>
        <v/>
      </c>
      <c r="AD181" s="9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IF($A181="","",IF(AND(AG181="核心池",AD181="合规",AC181&gt;=100),"可评估加仓","不可加仓"))</f>
        <v/>
      </c>
    </row>
    <row r="182" customFormat="false" ht="15" hidden="false" customHeight="true" outlineLevel="0" collapsed="false">
      <c r="A182" s="6"/>
      <c r="B182" s="6"/>
      <c r="C182" s="6"/>
      <c r="D182" s="6"/>
      <c r="E182" s="17"/>
      <c r="F182" s="6"/>
      <c r="G182" s="20"/>
      <c r="H182" s="17"/>
      <c r="I182" s="17"/>
      <c r="J182" s="18"/>
      <c r="K182" s="18"/>
      <c r="L182" s="18"/>
      <c r="M182" s="19"/>
      <c r="N182" s="19"/>
      <c r="O182" s="17"/>
      <c r="P182" s="18"/>
      <c r="Q182" s="5"/>
      <c r="R182" s="22"/>
      <c r="S182" s="6"/>
      <c r="T182" s="13"/>
      <c r="U182" s="13"/>
      <c r="V182" s="5"/>
      <c r="W182" s="5"/>
      <c r="X182" s="5"/>
      <c r="Y182" s="5"/>
      <c r="Z182" s="5"/>
      <c r="AA182" s="5" t="str">
        <f aca="false">IF($A182="","",IFERROR(INDEX(账户总表!$B:$B,MATCH($A182,账户总表!$A:$A,0))*INDEX(账户总表!$O:$O,MATCH($A182,账户总表!$A:$A,0)),0))</f>
        <v/>
      </c>
      <c r="AB182" s="33" t="str">
        <f aca="false">IF($A182="","",IFERROR(MAX(0,AA182-J182),0))</f>
        <v/>
      </c>
      <c r="AC182" s="5" t="str">
        <f aca="false">IF($A182="","",IF(I182&gt;0,IFERROR(FLOOR(AB182/I182,100),0),0))</f>
        <v/>
      </c>
      <c r="AD182" s="6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IF($A182="","",IF(AND(AG182="核心池",AD182="合规",AC182&gt;=100),"可评估加仓","不可加仓"))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26"/>
      <c r="F183" s="9"/>
      <c r="G183" s="27"/>
      <c r="H183" s="26"/>
      <c r="I183" s="26"/>
      <c r="J183" s="18"/>
      <c r="K183" s="18"/>
      <c r="L183" s="18"/>
      <c r="M183" s="19"/>
      <c r="N183" s="19"/>
      <c r="O183" s="26"/>
      <c r="P183" s="18"/>
      <c r="Q183" s="5"/>
      <c r="R183" s="28"/>
      <c r="S183" s="9"/>
      <c r="T183" s="14"/>
      <c r="U183" s="14"/>
      <c r="V183" s="5"/>
      <c r="W183" s="5"/>
      <c r="X183" s="5"/>
      <c r="Y183" s="5"/>
      <c r="Z183" s="5"/>
      <c r="AA183" s="5" t="str">
        <f aca="false">IF($A183="","",IFERROR(INDEX(账户总表!$B:$B,MATCH($A183,账户总表!$A:$A,0))*INDEX(账户总表!$O:$O,MATCH($A183,账户总表!$A:$A,0)),0))</f>
        <v/>
      </c>
      <c r="AB183" s="33" t="str">
        <f aca="false">IF($A183="","",IFERROR(MAX(0,AA183-J183),0))</f>
        <v/>
      </c>
      <c r="AC183" s="5" t="str">
        <f aca="false">IF($A183="","",IF(I183&gt;0,IFERROR(FLOOR(AB183/I183,100),0),0))</f>
        <v/>
      </c>
      <c r="AD183" s="9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IF($A183="","",IF(AND(AG183="核心池",AD183="合规",AC183&gt;=100),"可评估加仓","不可加仓"))</f>
        <v/>
      </c>
    </row>
    <row r="184" customFormat="false" ht="15" hidden="false" customHeight="true" outlineLevel="0" collapsed="false">
      <c r="A184" s="6"/>
      <c r="B184" s="6"/>
      <c r="C184" s="6"/>
      <c r="D184" s="6"/>
      <c r="E184" s="17"/>
      <c r="F184" s="6"/>
      <c r="G184" s="20"/>
      <c r="H184" s="17"/>
      <c r="I184" s="17"/>
      <c r="J184" s="18"/>
      <c r="K184" s="18"/>
      <c r="L184" s="18"/>
      <c r="M184" s="19"/>
      <c r="N184" s="19"/>
      <c r="O184" s="17"/>
      <c r="P184" s="18"/>
      <c r="Q184" s="5"/>
      <c r="R184" s="22"/>
      <c r="S184" s="6"/>
      <c r="T184" s="13"/>
      <c r="U184" s="13"/>
      <c r="V184" s="5"/>
      <c r="W184" s="5"/>
      <c r="X184" s="5"/>
      <c r="Y184" s="5"/>
      <c r="Z184" s="5"/>
      <c r="AA184" s="5" t="str">
        <f aca="false">IF($A184="","",IFERROR(INDEX(账户总表!$B:$B,MATCH($A184,账户总表!$A:$A,0))*INDEX(账户总表!$O:$O,MATCH($A184,账户总表!$A:$A,0)),0))</f>
        <v/>
      </c>
      <c r="AB184" s="33" t="str">
        <f aca="false">IF($A184="","",IFERROR(MAX(0,AA184-J184),0))</f>
        <v/>
      </c>
      <c r="AC184" s="5" t="str">
        <f aca="false">IF($A184="","",IF(I184&gt;0,IFERROR(FLOOR(AB184/I184,100),0),0))</f>
        <v/>
      </c>
      <c r="AD184" s="6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IF($A184="","",IF(AND(AG184="核心池",AD184="合规",AC184&gt;=100),"可评估加仓","不可加仓"))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26"/>
      <c r="F185" s="9"/>
      <c r="G185" s="27"/>
      <c r="H185" s="26"/>
      <c r="I185" s="26"/>
      <c r="J185" s="18"/>
      <c r="K185" s="18"/>
      <c r="L185" s="18"/>
      <c r="M185" s="19"/>
      <c r="N185" s="19"/>
      <c r="O185" s="26"/>
      <c r="P185" s="18"/>
      <c r="Q185" s="5"/>
      <c r="R185" s="28"/>
      <c r="S185" s="9"/>
      <c r="T185" s="14"/>
      <c r="U185" s="14"/>
      <c r="V185" s="5"/>
      <c r="W185" s="5"/>
      <c r="X185" s="5"/>
      <c r="Y185" s="5"/>
      <c r="Z185" s="5"/>
      <c r="AA185" s="5" t="str">
        <f aca="false">IF($A185="","",IFERROR(INDEX(账户总表!$B:$B,MATCH($A185,账户总表!$A:$A,0))*INDEX(账户总表!$O:$O,MATCH($A185,账户总表!$A:$A,0)),0))</f>
        <v/>
      </c>
      <c r="AB185" s="33" t="str">
        <f aca="false">IF($A185="","",IFERROR(MAX(0,AA185-J185),0))</f>
        <v/>
      </c>
      <c r="AC185" s="5" t="str">
        <f aca="false">IF($A185="","",IF(I185&gt;0,IFERROR(FLOOR(AB185/I185,100),0),0))</f>
        <v/>
      </c>
      <c r="AD185" s="9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IF($A185="","",IF(AND(AG185="核心池",AD185="合规",AC185&gt;=100),"可评估加仓","不可加仓"))</f>
        <v/>
      </c>
    </row>
    <row r="186" customFormat="false" ht="15" hidden="false" customHeight="true" outlineLevel="0" collapsed="false">
      <c r="A186" s="6"/>
      <c r="B186" s="6"/>
      <c r="C186" s="6"/>
      <c r="D186" s="6"/>
      <c r="E186" s="17"/>
      <c r="F186" s="6"/>
      <c r="G186" s="20"/>
      <c r="H186" s="17"/>
      <c r="I186" s="17"/>
      <c r="J186" s="18"/>
      <c r="K186" s="18"/>
      <c r="L186" s="18"/>
      <c r="M186" s="19"/>
      <c r="N186" s="19"/>
      <c r="O186" s="17"/>
      <c r="P186" s="18"/>
      <c r="Q186" s="5"/>
      <c r="R186" s="22"/>
      <c r="S186" s="6"/>
      <c r="T186" s="13"/>
      <c r="U186" s="13"/>
      <c r="V186" s="5"/>
      <c r="W186" s="5"/>
      <c r="X186" s="5"/>
      <c r="Y186" s="5"/>
      <c r="Z186" s="5"/>
      <c r="AA186" s="5" t="str">
        <f aca="false">IF($A186="","",IFERROR(INDEX(账户总表!$B:$B,MATCH($A186,账户总表!$A:$A,0))*INDEX(账户总表!$O:$O,MATCH($A186,账户总表!$A:$A,0)),0))</f>
        <v/>
      </c>
      <c r="AB186" s="33" t="str">
        <f aca="false">IF($A186="","",IFERROR(MAX(0,AA186-J186),0))</f>
        <v/>
      </c>
      <c r="AC186" s="5" t="str">
        <f aca="false">IF($A186="","",IF(I186&gt;0,IFERROR(FLOOR(AB186/I186,100),0),0))</f>
        <v/>
      </c>
      <c r="AD186" s="6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IF($A186="","",IF(AND(AG186="核心池",AD186="合规",AC186&gt;=100),"可评估加仓","不可加仓"))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26"/>
      <c r="F187" s="9"/>
      <c r="G187" s="27"/>
      <c r="H187" s="26"/>
      <c r="I187" s="26"/>
      <c r="J187" s="18"/>
      <c r="K187" s="18"/>
      <c r="L187" s="18"/>
      <c r="M187" s="19"/>
      <c r="N187" s="19"/>
      <c r="O187" s="26"/>
      <c r="P187" s="18"/>
      <c r="Q187" s="5"/>
      <c r="R187" s="28"/>
      <c r="S187" s="9"/>
      <c r="T187" s="14"/>
      <c r="U187" s="14"/>
      <c r="V187" s="5"/>
      <c r="W187" s="5"/>
      <c r="X187" s="5"/>
      <c r="Y187" s="5"/>
      <c r="Z187" s="5"/>
      <c r="AA187" s="5" t="str">
        <f aca="false">IF($A187="","",IFERROR(INDEX(账户总表!$B:$B,MATCH($A187,账户总表!$A:$A,0))*INDEX(账户总表!$O:$O,MATCH($A187,账户总表!$A:$A,0)),0))</f>
        <v/>
      </c>
      <c r="AB187" s="33" t="str">
        <f aca="false">IF($A187="","",IFERROR(MAX(0,AA187-J187),0))</f>
        <v/>
      </c>
      <c r="AC187" s="5" t="str">
        <f aca="false">IF($A187="","",IF(I187&gt;0,IFERROR(FLOOR(AB187/I187,100),0),0))</f>
        <v/>
      </c>
      <c r="AD187" s="9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IF($A187="","",IF(AND(AG187="核心池",AD187="合规",AC187&gt;=100),"可评估加仓","不可加仓"))</f>
        <v/>
      </c>
    </row>
    <row r="188" customFormat="false" ht="15" hidden="false" customHeight="true" outlineLevel="0" collapsed="false">
      <c r="A188" s="6"/>
      <c r="B188" s="6"/>
      <c r="C188" s="6"/>
      <c r="D188" s="6"/>
      <c r="E188" s="17"/>
      <c r="F188" s="6"/>
      <c r="G188" s="20"/>
      <c r="H188" s="17"/>
      <c r="I188" s="17"/>
      <c r="J188" s="18"/>
      <c r="K188" s="18"/>
      <c r="L188" s="18"/>
      <c r="M188" s="19"/>
      <c r="N188" s="19"/>
      <c r="O188" s="17"/>
      <c r="P188" s="18"/>
      <c r="Q188" s="5"/>
      <c r="R188" s="22"/>
      <c r="S188" s="6"/>
      <c r="T188" s="13"/>
      <c r="U188" s="13"/>
      <c r="V188" s="5"/>
      <c r="W188" s="5"/>
      <c r="X188" s="5"/>
      <c r="Y188" s="5"/>
      <c r="Z188" s="5"/>
      <c r="AA188" s="5" t="str">
        <f aca="false">IF($A188="","",IFERROR(INDEX(账户总表!$B:$B,MATCH($A188,账户总表!$A:$A,0))*INDEX(账户总表!$O:$O,MATCH($A188,账户总表!$A:$A,0)),0))</f>
        <v/>
      </c>
      <c r="AB188" s="33" t="str">
        <f aca="false">IF($A188="","",IFERROR(MAX(0,AA188-J188),0))</f>
        <v/>
      </c>
      <c r="AC188" s="5" t="str">
        <f aca="false">IF($A188="","",IF(I188&gt;0,IFERROR(FLOOR(AB188/I188,100),0),0))</f>
        <v/>
      </c>
      <c r="AD188" s="6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IF($A188="","",IF(AND(AG188="核心池",AD188="合规",AC188&gt;=100),"可评估加仓","不可加仓"))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26"/>
      <c r="F189" s="9"/>
      <c r="G189" s="27"/>
      <c r="H189" s="26"/>
      <c r="I189" s="26"/>
      <c r="J189" s="18"/>
      <c r="K189" s="18"/>
      <c r="L189" s="18"/>
      <c r="M189" s="19"/>
      <c r="N189" s="19"/>
      <c r="O189" s="26"/>
      <c r="P189" s="18"/>
      <c r="Q189" s="5"/>
      <c r="R189" s="28"/>
      <c r="S189" s="9"/>
      <c r="T189" s="14"/>
      <c r="U189" s="14"/>
      <c r="V189" s="5"/>
      <c r="W189" s="5"/>
      <c r="X189" s="5"/>
      <c r="Y189" s="5"/>
      <c r="Z189" s="5"/>
      <c r="AA189" s="5" t="str">
        <f aca="false">IF($A189="","",IFERROR(INDEX(账户总表!$B:$B,MATCH($A189,账户总表!$A:$A,0))*INDEX(账户总表!$O:$O,MATCH($A189,账户总表!$A:$A,0)),0))</f>
        <v/>
      </c>
      <c r="AB189" s="33" t="str">
        <f aca="false">IF($A189="","",IFERROR(MAX(0,AA189-J189),0))</f>
        <v/>
      </c>
      <c r="AC189" s="5" t="str">
        <f aca="false">IF($A189="","",IF(I189&gt;0,IFERROR(FLOOR(AB189/I189,100),0),0))</f>
        <v/>
      </c>
      <c r="AD189" s="9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IF($A189="","",IF(AND(AG189="核心池",AD189="合规",AC189&gt;=100),"可评估加仓","不可加仓"))</f>
        <v/>
      </c>
    </row>
    <row r="190" customFormat="false" ht="15" hidden="false" customHeight="true" outlineLevel="0" collapsed="false">
      <c r="A190" s="6"/>
      <c r="B190" s="6"/>
      <c r="C190" s="6"/>
      <c r="D190" s="6"/>
      <c r="E190" s="17"/>
      <c r="F190" s="6"/>
      <c r="G190" s="20"/>
      <c r="H190" s="17"/>
      <c r="I190" s="17"/>
      <c r="J190" s="18"/>
      <c r="K190" s="18"/>
      <c r="L190" s="18"/>
      <c r="M190" s="19"/>
      <c r="N190" s="19"/>
      <c r="O190" s="17"/>
      <c r="P190" s="18"/>
      <c r="Q190" s="5"/>
      <c r="R190" s="22"/>
      <c r="S190" s="6"/>
      <c r="T190" s="13"/>
      <c r="U190" s="13"/>
      <c r="V190" s="5"/>
      <c r="W190" s="5"/>
      <c r="X190" s="5"/>
      <c r="Y190" s="5"/>
      <c r="Z190" s="5"/>
      <c r="AA190" s="5" t="str">
        <f aca="false">IF($A190="","",IFERROR(INDEX(账户总表!$B:$B,MATCH($A190,账户总表!$A:$A,0))*INDEX(账户总表!$O:$O,MATCH($A190,账户总表!$A:$A,0)),0))</f>
        <v/>
      </c>
      <c r="AB190" s="33" t="str">
        <f aca="false">IF($A190="","",IFERROR(MAX(0,AA190-J190),0))</f>
        <v/>
      </c>
      <c r="AC190" s="5" t="str">
        <f aca="false">IF($A190="","",IF(I190&gt;0,IFERROR(FLOOR(AB190/I190,100),0),0))</f>
        <v/>
      </c>
      <c r="AD190" s="6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IF($A190="","",IF(AND(AG190="核心池",AD190="合规",AC190&gt;=100),"可评估加仓","不可加仓"))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26"/>
      <c r="F191" s="9"/>
      <c r="G191" s="27"/>
      <c r="H191" s="26"/>
      <c r="I191" s="26"/>
      <c r="J191" s="18"/>
      <c r="K191" s="18"/>
      <c r="L191" s="18"/>
      <c r="M191" s="19"/>
      <c r="N191" s="19"/>
      <c r="O191" s="26"/>
      <c r="P191" s="18"/>
      <c r="Q191" s="5"/>
      <c r="R191" s="28"/>
      <c r="S191" s="9"/>
      <c r="T191" s="14"/>
      <c r="U191" s="14"/>
      <c r="V191" s="5"/>
      <c r="W191" s="5"/>
      <c r="X191" s="5"/>
      <c r="Y191" s="5"/>
      <c r="Z191" s="5"/>
      <c r="AA191" s="5" t="str">
        <f aca="false">IF($A191="","",IFERROR(INDEX(账户总表!$B:$B,MATCH($A191,账户总表!$A:$A,0))*INDEX(账户总表!$O:$O,MATCH($A191,账户总表!$A:$A,0)),0))</f>
        <v/>
      </c>
      <c r="AB191" s="33" t="str">
        <f aca="false">IF($A191="","",IFERROR(MAX(0,AA191-J191),0))</f>
        <v/>
      </c>
      <c r="AC191" s="5" t="str">
        <f aca="false">IF($A191="","",IF(I191&gt;0,IFERROR(FLOOR(AB191/I191,100),0),0))</f>
        <v/>
      </c>
      <c r="AD191" s="9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IF($A191="","",IF(AND(AG191="核心池",AD191="合规",AC191&gt;=100),"可评估加仓","不可加仓"))</f>
        <v/>
      </c>
    </row>
    <row r="192" customFormat="false" ht="15" hidden="false" customHeight="true" outlineLevel="0" collapsed="false">
      <c r="A192" s="6"/>
      <c r="B192" s="6"/>
      <c r="C192" s="6"/>
      <c r="D192" s="6"/>
      <c r="E192" s="17"/>
      <c r="F192" s="6"/>
      <c r="G192" s="20"/>
      <c r="H192" s="17"/>
      <c r="I192" s="17"/>
      <c r="J192" s="18"/>
      <c r="K192" s="18"/>
      <c r="L192" s="18"/>
      <c r="M192" s="19"/>
      <c r="N192" s="19"/>
      <c r="O192" s="17"/>
      <c r="P192" s="18"/>
      <c r="Q192" s="5"/>
      <c r="R192" s="22"/>
      <c r="S192" s="6"/>
      <c r="T192" s="13"/>
      <c r="U192" s="13"/>
      <c r="V192" s="5"/>
      <c r="W192" s="5"/>
      <c r="X192" s="5"/>
      <c r="Y192" s="5"/>
      <c r="Z192" s="5"/>
      <c r="AA192" s="5" t="str">
        <f aca="false">IF($A192="","",IFERROR(INDEX(账户总表!$B:$B,MATCH($A192,账户总表!$A:$A,0))*INDEX(账户总表!$O:$O,MATCH($A192,账户总表!$A:$A,0)),0))</f>
        <v/>
      </c>
      <c r="AB192" s="33" t="str">
        <f aca="false">IF($A192="","",IFERROR(MAX(0,AA192-J192),0))</f>
        <v/>
      </c>
      <c r="AC192" s="5" t="str">
        <f aca="false">IF($A192="","",IF(I192&gt;0,IFERROR(FLOOR(AB192/I192,100),0),0))</f>
        <v/>
      </c>
      <c r="AD192" s="6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IF($A192="","",IF(AND(AG192="核心池",AD192="合规",AC192&gt;=100),"可评估加仓","不可加仓"))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26"/>
      <c r="F193" s="9"/>
      <c r="G193" s="27"/>
      <c r="H193" s="26"/>
      <c r="I193" s="26"/>
      <c r="J193" s="18"/>
      <c r="K193" s="18"/>
      <c r="L193" s="18"/>
      <c r="M193" s="19"/>
      <c r="N193" s="19"/>
      <c r="O193" s="26"/>
      <c r="P193" s="18"/>
      <c r="Q193" s="5"/>
      <c r="R193" s="28"/>
      <c r="S193" s="9"/>
      <c r="T193" s="14"/>
      <c r="U193" s="14"/>
      <c r="V193" s="5"/>
      <c r="W193" s="5"/>
      <c r="X193" s="5"/>
      <c r="Y193" s="5"/>
      <c r="Z193" s="5"/>
      <c r="AA193" s="5" t="str">
        <f aca="false">IF($A193="","",IFERROR(INDEX(账户总表!$B:$B,MATCH($A193,账户总表!$A:$A,0))*INDEX(账户总表!$O:$O,MATCH($A193,账户总表!$A:$A,0)),0))</f>
        <v/>
      </c>
      <c r="AB193" s="33" t="str">
        <f aca="false">IF($A193="","",IFERROR(MAX(0,AA193-J193),0))</f>
        <v/>
      </c>
      <c r="AC193" s="5" t="str">
        <f aca="false">IF($A193="","",IF(I193&gt;0,IFERROR(FLOOR(AB193/I193,100),0),0))</f>
        <v/>
      </c>
      <c r="AD193" s="9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IF($A193="","",IF(AND(AG193="核心池",AD193="合规",AC193&gt;=100),"可评估加仓","不可加仓"))</f>
        <v/>
      </c>
    </row>
    <row r="194" customFormat="false" ht="15" hidden="false" customHeight="true" outlineLevel="0" collapsed="false">
      <c r="A194" s="6"/>
      <c r="B194" s="6"/>
      <c r="C194" s="6"/>
      <c r="D194" s="6"/>
      <c r="E194" s="17"/>
      <c r="F194" s="6"/>
      <c r="G194" s="20"/>
      <c r="H194" s="17"/>
      <c r="I194" s="17"/>
      <c r="J194" s="18"/>
      <c r="K194" s="18"/>
      <c r="L194" s="18"/>
      <c r="M194" s="19"/>
      <c r="N194" s="19"/>
      <c r="O194" s="17"/>
      <c r="P194" s="18"/>
      <c r="Q194" s="5"/>
      <c r="R194" s="22"/>
      <c r="S194" s="6"/>
      <c r="T194" s="13"/>
      <c r="U194" s="13"/>
      <c r="V194" s="5"/>
      <c r="W194" s="5"/>
      <c r="X194" s="5"/>
      <c r="Y194" s="5"/>
      <c r="Z194" s="5"/>
      <c r="AA194" s="5" t="str">
        <f aca="false">IF($A194="","",IFERROR(INDEX(账户总表!$B:$B,MATCH($A194,账户总表!$A:$A,0))*INDEX(账户总表!$O:$O,MATCH($A194,账户总表!$A:$A,0)),0))</f>
        <v/>
      </c>
      <c r="AB194" s="33" t="str">
        <f aca="false">IF($A194="","",IFERROR(MAX(0,AA194-J194),0))</f>
        <v/>
      </c>
      <c r="AC194" s="5" t="str">
        <f aca="false">IF($A194="","",IF(I194&gt;0,IFERROR(FLOOR(AB194/I194,100),0),0))</f>
        <v/>
      </c>
      <c r="AD194" s="6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IF($A194="","",IF(AND(AG194="核心池",AD194="合规",AC194&gt;=100),"可评估加仓","不可加仓"))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26"/>
      <c r="F195" s="9"/>
      <c r="G195" s="27"/>
      <c r="H195" s="26"/>
      <c r="I195" s="26"/>
      <c r="J195" s="18"/>
      <c r="K195" s="18"/>
      <c r="L195" s="18"/>
      <c r="M195" s="19"/>
      <c r="N195" s="19"/>
      <c r="O195" s="26"/>
      <c r="P195" s="18"/>
      <c r="Q195" s="5"/>
      <c r="R195" s="28"/>
      <c r="S195" s="9"/>
      <c r="T195" s="14"/>
      <c r="U195" s="14"/>
      <c r="V195" s="5"/>
      <c r="W195" s="5"/>
      <c r="X195" s="5"/>
      <c r="Y195" s="5"/>
      <c r="Z195" s="5"/>
      <c r="AA195" s="5" t="str">
        <f aca="false">IF($A195="","",IFERROR(INDEX(账户总表!$B:$B,MATCH($A195,账户总表!$A:$A,0))*INDEX(账户总表!$O:$O,MATCH($A195,账户总表!$A:$A,0)),0))</f>
        <v/>
      </c>
      <c r="AB195" s="33" t="str">
        <f aca="false">IF($A195="","",IFERROR(MAX(0,AA195-J195),0))</f>
        <v/>
      </c>
      <c r="AC195" s="5" t="str">
        <f aca="false">IF($A195="","",IF(I195&gt;0,IFERROR(FLOOR(AB195/I195,100),0),0))</f>
        <v/>
      </c>
      <c r="AD195" s="9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IF($A195="","",IF(AND(AG195="核心池",AD195="合规",AC195&gt;=100),"可评估加仓","不可加仓"))</f>
        <v/>
      </c>
    </row>
    <row r="196" customFormat="false" ht="15" hidden="false" customHeight="true" outlineLevel="0" collapsed="false">
      <c r="A196" s="6"/>
      <c r="B196" s="6"/>
      <c r="C196" s="6"/>
      <c r="D196" s="6"/>
      <c r="E196" s="17"/>
      <c r="F196" s="6"/>
      <c r="G196" s="20"/>
      <c r="H196" s="17"/>
      <c r="I196" s="17"/>
      <c r="J196" s="18"/>
      <c r="K196" s="18"/>
      <c r="L196" s="18"/>
      <c r="M196" s="19"/>
      <c r="N196" s="19"/>
      <c r="O196" s="17"/>
      <c r="P196" s="18"/>
      <c r="Q196" s="5"/>
      <c r="R196" s="22"/>
      <c r="S196" s="6"/>
      <c r="T196" s="13"/>
      <c r="U196" s="13"/>
      <c r="V196" s="5"/>
      <c r="W196" s="5"/>
      <c r="X196" s="5"/>
      <c r="Y196" s="5"/>
      <c r="Z196" s="5"/>
      <c r="AA196" s="5" t="str">
        <f aca="false">IF($A196="","",IFERROR(INDEX(账户总表!$B:$B,MATCH($A196,账户总表!$A:$A,0))*INDEX(账户总表!$O:$O,MATCH($A196,账户总表!$A:$A,0)),0))</f>
        <v/>
      </c>
      <c r="AB196" s="33" t="str">
        <f aca="false">IF($A196="","",IFERROR(MAX(0,AA196-J196),0))</f>
        <v/>
      </c>
      <c r="AC196" s="5" t="str">
        <f aca="false">IF($A196="","",IF(I196&gt;0,IFERROR(FLOOR(AB196/I196,100),0),0))</f>
        <v/>
      </c>
      <c r="AD196" s="6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IF($A196="","",IF(AND(AG196="核心池",AD196="合规",AC196&gt;=100),"可评估加仓","不可加仓"))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26"/>
      <c r="F197" s="9"/>
      <c r="G197" s="27"/>
      <c r="H197" s="26"/>
      <c r="I197" s="26"/>
      <c r="J197" s="18"/>
      <c r="K197" s="18"/>
      <c r="L197" s="18"/>
      <c r="M197" s="19"/>
      <c r="N197" s="19"/>
      <c r="O197" s="26"/>
      <c r="P197" s="18"/>
      <c r="Q197" s="5"/>
      <c r="R197" s="28"/>
      <c r="S197" s="9"/>
      <c r="T197" s="14"/>
      <c r="U197" s="14"/>
      <c r="V197" s="5"/>
      <c r="W197" s="5"/>
      <c r="X197" s="5"/>
      <c r="Y197" s="5"/>
      <c r="Z197" s="5"/>
      <c r="AA197" s="5" t="str">
        <f aca="false">IF($A197="","",IFERROR(INDEX(账户总表!$B:$B,MATCH($A197,账户总表!$A:$A,0))*INDEX(账户总表!$O:$O,MATCH($A197,账户总表!$A:$A,0)),0))</f>
        <v/>
      </c>
      <c r="AB197" s="33" t="str">
        <f aca="false">IF($A197="","",IFERROR(MAX(0,AA197-J197),0))</f>
        <v/>
      </c>
      <c r="AC197" s="5" t="str">
        <f aca="false">IF($A197="","",IF(I197&gt;0,IFERROR(FLOOR(AB197/I197,100),0),0))</f>
        <v/>
      </c>
      <c r="AD197" s="9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IF($A197="","",IF(AND(AG197="核心池",AD197="合规",AC197&gt;=100),"可评估加仓","不可加仓"))</f>
        <v/>
      </c>
    </row>
    <row r="198" customFormat="false" ht="15" hidden="false" customHeight="true" outlineLevel="0" collapsed="false">
      <c r="A198" s="6"/>
      <c r="B198" s="6"/>
      <c r="C198" s="6"/>
      <c r="D198" s="6"/>
      <c r="E198" s="17"/>
      <c r="F198" s="6"/>
      <c r="G198" s="20"/>
      <c r="H198" s="17"/>
      <c r="I198" s="17"/>
      <c r="J198" s="18"/>
      <c r="K198" s="18"/>
      <c r="L198" s="18"/>
      <c r="M198" s="19"/>
      <c r="N198" s="19"/>
      <c r="O198" s="17"/>
      <c r="P198" s="18"/>
      <c r="Q198" s="5"/>
      <c r="R198" s="22"/>
      <c r="S198" s="6"/>
      <c r="T198" s="13"/>
      <c r="U198" s="13"/>
      <c r="V198" s="5"/>
      <c r="W198" s="5"/>
      <c r="X198" s="5"/>
      <c r="Y198" s="5"/>
      <c r="Z198" s="5"/>
      <c r="AA198" s="5" t="str">
        <f aca="false">IF($A198="","",IFERROR(INDEX(账户总表!$B:$B,MATCH($A198,账户总表!$A:$A,0))*INDEX(账户总表!$O:$O,MATCH($A198,账户总表!$A:$A,0)),0))</f>
        <v/>
      </c>
      <c r="AB198" s="33" t="str">
        <f aca="false">IF($A198="","",IFERROR(MAX(0,AA198-J198),0))</f>
        <v/>
      </c>
      <c r="AC198" s="5" t="str">
        <f aca="false">IF($A198="","",IF(I198&gt;0,IFERROR(FLOOR(AB198/I198,100),0),0))</f>
        <v/>
      </c>
      <c r="AD198" s="6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IF($A198="","",IF(AND(AG198="核心池",AD198="合规",AC198&gt;=100),"可评估加仓","不可加仓"))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26"/>
      <c r="F199" s="9"/>
      <c r="G199" s="27"/>
      <c r="H199" s="26"/>
      <c r="I199" s="26"/>
      <c r="J199" s="18"/>
      <c r="K199" s="18"/>
      <c r="L199" s="18"/>
      <c r="M199" s="19"/>
      <c r="N199" s="19"/>
      <c r="O199" s="26"/>
      <c r="P199" s="18"/>
      <c r="Q199" s="5"/>
      <c r="R199" s="28"/>
      <c r="S199" s="9"/>
      <c r="T199" s="14"/>
      <c r="U199" s="14"/>
      <c r="V199" s="5"/>
      <c r="W199" s="5"/>
      <c r="X199" s="5"/>
      <c r="Y199" s="5"/>
      <c r="Z199" s="5"/>
      <c r="AA199" s="5" t="str">
        <f aca="false">IF($A199="","",IFERROR(INDEX(账户总表!$B:$B,MATCH($A199,账户总表!$A:$A,0))*INDEX(账户总表!$O:$O,MATCH($A199,账户总表!$A:$A,0)),0))</f>
        <v/>
      </c>
      <c r="AB199" s="33" t="str">
        <f aca="false">IF($A199="","",IFERROR(MAX(0,AA199-J199),0))</f>
        <v/>
      </c>
      <c r="AC199" s="5" t="str">
        <f aca="false">IF($A199="","",IF(I199&gt;0,IFERROR(FLOOR(AB199/I199,100),0),0))</f>
        <v/>
      </c>
      <c r="AD199" s="9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IF($A199="","",IF(AND(AG199="核心池",AD199="合规",AC199&gt;=100),"可评估加仓","不可加仓"))</f>
        <v/>
      </c>
    </row>
    <row r="200" customFormat="false" ht="15" hidden="false" customHeight="true" outlineLevel="0" collapsed="false">
      <c r="A200" s="6"/>
      <c r="B200" s="6"/>
      <c r="C200" s="6"/>
      <c r="D200" s="6"/>
      <c r="E200" s="17"/>
      <c r="F200" s="6"/>
      <c r="G200" s="20"/>
      <c r="H200" s="17"/>
      <c r="I200" s="17"/>
      <c r="J200" s="18"/>
      <c r="K200" s="18"/>
      <c r="L200" s="18"/>
      <c r="M200" s="19"/>
      <c r="N200" s="19"/>
      <c r="O200" s="17"/>
      <c r="P200" s="18"/>
      <c r="Q200" s="5"/>
      <c r="R200" s="22"/>
      <c r="S200" s="6"/>
      <c r="T200" s="13"/>
      <c r="U200" s="13"/>
      <c r="V200" s="5"/>
      <c r="W200" s="5"/>
      <c r="X200" s="5"/>
      <c r="Y200" s="5"/>
      <c r="Z200" s="5"/>
      <c r="AA200" s="5" t="str">
        <f aca="false">IF($A200="","",IFERROR(INDEX(账户总表!$B:$B,MATCH($A200,账户总表!$A:$A,0))*INDEX(账户总表!$O:$O,MATCH($A200,账户总表!$A:$A,0)),0))</f>
        <v/>
      </c>
      <c r="AB200" s="33" t="str">
        <f aca="false">IF($A200="","",IFERROR(MAX(0,AA200-J200),0))</f>
        <v/>
      </c>
      <c r="AC200" s="5" t="str">
        <f aca="false">IF($A200="","",IF(I200&gt;0,IFERROR(FLOOR(AB200/I200,100),0),0))</f>
        <v/>
      </c>
      <c r="AD200" s="6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IF($A200="","",IF(AND(AG200="核心池",AD200="合规",AC200&gt;=100),"可评估加仓","不可加仓"))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26"/>
      <c r="F201" s="9"/>
      <c r="G201" s="27"/>
      <c r="H201" s="26"/>
      <c r="I201" s="26"/>
      <c r="J201" s="18"/>
      <c r="K201" s="18"/>
      <c r="L201" s="18"/>
      <c r="M201" s="19"/>
      <c r="N201" s="19"/>
      <c r="O201" s="26"/>
      <c r="P201" s="18"/>
      <c r="Q201" s="5"/>
      <c r="R201" s="28"/>
      <c r="S201" s="9"/>
      <c r="T201" s="14"/>
      <c r="U201" s="14"/>
      <c r="V201" s="5"/>
      <c r="W201" s="5"/>
      <c r="X201" s="5"/>
      <c r="Y201" s="5"/>
      <c r="Z201" s="5"/>
      <c r="AA201" s="5"/>
      <c r="AB201" s="33"/>
      <c r="AC201" s="5"/>
      <c r="AD201" s="9"/>
    </row>
  </sheetData>
  <sheetProtection sheet="true" password="c42e"/>
  <autoFilter ref="A1:AD201"/>
  <conditionalFormatting sqref="Q2:Q201">
    <cfRule type="expression" priority="2" aboveAverage="0" equalAverage="0" bottom="0" percent="0" rank="0" text="" dxfId="7">
      <formula>Q2="是"</formula>
    </cfRule>
  </conditionalFormatting>
  <conditionalFormatting sqref="V2:V201">
    <cfRule type="expression" priority="3" aboveAverage="0" equalAverage="0" bottom="0" percent="0" rank="0" text="" dxfId="7">
      <formula>V2="是"</formula>
    </cfRule>
  </conditionalFormatting>
  <conditionalFormatting sqref="X2:X201">
    <cfRule type="expression" priority="4" aboveAverage="0" equalAverage="0" bottom="0" percent="0" rank="0" text="" dxfId="7">
      <formula>X2="是"</formula>
    </cfRule>
  </conditionalFormatting>
  <conditionalFormatting sqref="Y2:Y201">
    <cfRule type="expression" priority="5" aboveAverage="0" equalAverage="0" bottom="0" percent="0" rank="0" text="" dxfId="7">
      <formula>Y2="是"</formula>
    </cfRule>
  </conditionalFormatting>
  <conditionalFormatting sqref="W2:W201">
    <cfRule type="expression" priority="6" aboveAverage="0" equalAverage="0" bottom="0" percent="0" rank="0" text="" dxfId="7">
      <formula>W2="是"</formula>
    </cfRule>
  </conditionalFormatting>
  <conditionalFormatting sqref="AB2:AB201">
    <cfRule type="expression" priority="7" aboveAverage="0" equalAverage="0" bottom="0" percent="0" rank="0" text="" dxfId="6">
      <formula>AB2="正常"</formula>
    </cfRule>
    <cfRule type="expression" priority="8" aboveAverage="0" equalAverage="0" bottom="0" percent="0" rank="0" text="" dxfId="12">
      <formula>AB2="警戒"</formula>
    </cfRule>
    <cfRule type="expression" priority="9" aboveAverage="0" equalAverage="0" bottom="0" percent="0" rank="0" text="" dxfId="7">
      <formula>AB2="防守"</formula>
    </cfRule>
    <cfRule type="expression" priority="10" aboveAverage="0" equalAverage="0" bottom="0" percent="0" rank="0" text="" dxfId="7">
      <formula>AB2="立即卖出"</formula>
    </cfRule>
    <cfRule type="expression" priority="11" aboveAverage="0" equalAverage="0" bottom="0" percent="0" rank="0" text="" dxfId="7">
      <formula>AB2="次日卖出"</formula>
    </cfRule>
    <cfRule type="expression" priority="12" aboveAverage="0" equalAverage="0" bottom="0" percent="0" rank="0" text="" dxfId="12">
      <formula>AB2="观察"</formula>
    </cfRule>
  </conditionalFormatting>
  <conditionalFormatting sqref="M2:M201">
    <cfRule type="cellIs" priority="13" operator="lessThan" aboveAverage="0" equalAverage="0" bottom="0" percent="0" rank="0" text="" dxfId="7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248</v>
      </c>
      <c r="B1" s="2" t="s">
        <v>319</v>
      </c>
      <c r="C1" s="2" t="s">
        <v>320</v>
      </c>
      <c r="D1" s="2" t="s">
        <v>363</v>
      </c>
      <c r="E1" s="2" t="s">
        <v>364</v>
      </c>
      <c r="F1" s="2" t="s">
        <v>331</v>
      </c>
      <c r="G1" s="12" t="s">
        <v>334</v>
      </c>
      <c r="H1" s="12" t="s">
        <v>335</v>
      </c>
      <c r="I1" s="12" t="s">
        <v>336</v>
      </c>
      <c r="J1" s="12" t="s">
        <v>337</v>
      </c>
      <c r="K1" s="35" t="s">
        <v>365</v>
      </c>
      <c r="L1" s="2" t="s">
        <v>366</v>
      </c>
      <c r="M1" s="2" t="s">
        <v>367</v>
      </c>
      <c r="N1" s="2" t="s">
        <v>260</v>
      </c>
      <c r="O1" s="2" t="s">
        <v>368</v>
      </c>
      <c r="P1" s="2" t="s">
        <v>369</v>
      </c>
      <c r="Q1" s="2" t="s">
        <v>370</v>
      </c>
      <c r="R1" s="2" t="s">
        <v>371</v>
      </c>
      <c r="S1" s="2" t="s">
        <v>372</v>
      </c>
      <c r="T1" s="2" t="s">
        <v>373</v>
      </c>
      <c r="U1" s="2" t="s">
        <v>374</v>
      </c>
      <c r="V1" s="2" t="s">
        <v>375</v>
      </c>
      <c r="W1" s="2" t="s">
        <v>376</v>
      </c>
      <c r="X1" s="2" t="s">
        <v>332</v>
      </c>
      <c r="Y1" s="2" t="s">
        <v>377</v>
      </c>
      <c r="Z1" s="2" t="s">
        <v>378</v>
      </c>
      <c r="AA1" s="2" t="s">
        <v>379</v>
      </c>
      <c r="AB1" s="2" t="s">
        <v>380</v>
      </c>
      <c r="AC1" s="2" t="s">
        <v>381</v>
      </c>
      <c r="AD1" s="2" t="s">
        <v>382</v>
      </c>
      <c r="AE1" s="2" t="s">
        <v>6</v>
      </c>
      <c r="AF1" s="36" t="s">
        <v>383</v>
      </c>
      <c r="AG1" s="36" t="s">
        <v>384</v>
      </c>
      <c r="AH1" s="16" t="s">
        <v>291</v>
      </c>
      <c r="AI1" s="36" t="s">
        <v>385</v>
      </c>
      <c r="AJ1" s="16" t="s">
        <v>386</v>
      </c>
      <c r="AK1" s="16" t="s">
        <v>387</v>
      </c>
      <c r="AL1" s="16" t="s">
        <v>388</v>
      </c>
      <c r="AM1" s="16" t="s">
        <v>389</v>
      </c>
      <c r="AN1" s="16" t="s">
        <v>390</v>
      </c>
      <c r="AO1" s="16" t="s">
        <v>391</v>
      </c>
      <c r="AP1" s="16" t="s">
        <v>392</v>
      </c>
      <c r="AQ1" s="16" t="s">
        <v>393</v>
      </c>
      <c r="AR1" s="16" t="s">
        <v>394</v>
      </c>
      <c r="AS1" s="16" t="s">
        <v>395</v>
      </c>
      <c r="AT1" s="16" t="s">
        <v>396</v>
      </c>
      <c r="AU1" s="16" t="s">
        <v>397</v>
      </c>
    </row>
    <row r="2" customFormat="false" ht="15" hidden="false" customHeight="true" outlineLevel="0" collapsed="false">
      <c r="A2" s="37" t="n">
        <v>46229</v>
      </c>
      <c r="B2" s="38" t="s">
        <v>398</v>
      </c>
      <c r="C2" s="39" t="s">
        <v>399</v>
      </c>
      <c r="D2" s="40" t="n">
        <v>23.98</v>
      </c>
      <c r="E2" s="40" t="n">
        <v>23.98</v>
      </c>
      <c r="F2" s="40" t="n">
        <v>22.78</v>
      </c>
      <c r="G2" s="41" t="n">
        <v>0.18020228134431</v>
      </c>
      <c r="H2" s="39" t="n">
        <v>0.942257901343378</v>
      </c>
      <c r="I2" s="39" t="s">
        <v>155</v>
      </c>
      <c r="J2" s="38" t="s">
        <v>400</v>
      </c>
      <c r="K2" s="42" t="str">
        <f aca="false">IF($A2="","",IF(AND(G2&lt;20%,H2&gt;0.9),"核心池",IF(AND(H2&gt;=0.85),"观察池",IF(AND(H2&gt;=0.8),"边缘池",""))))</f>
        <v>核心池</v>
      </c>
      <c r="L2" s="43" t="str">
        <f aca="false">IF($A2="","",IF(AND(G2&lt;60%,H2&gt;0.8,I2="True"),"是","否"))</f>
        <v>是</v>
      </c>
      <c r="M2" s="43" t="str">
        <f aca="false">IF($A2="","",IF(AND(D2&gt;0,E2&gt;0,D2&lt;=E2*1.02),"是","否"))</f>
        <v>是</v>
      </c>
      <c r="N2" s="44" t="n">
        <f aca="false">IFERROR(INDEX(账户总表!$O:$O,COUNTA(账户总表!$A:$A)),0)</f>
        <v>0.35</v>
      </c>
      <c r="O2" s="45" t="n">
        <f aca="false">IFERROR(INDEX(账户总表!$B:$B,COUNTA(账户总表!$A:$A))*N2,0)</f>
        <v>7294.812</v>
      </c>
      <c r="P2" s="46" t="n">
        <f aca="false">IFERROR(O2/D2,0)</f>
        <v>304.204003336113</v>
      </c>
      <c r="Q2" s="46" t="n">
        <f aca="false">IFERROR(FLOOR(P2,100),0)</f>
        <v>300</v>
      </c>
      <c r="R2" s="46" t="n">
        <f aca="false">IFERROR(CEILING(800/(100*D2),1)*100,0)</f>
        <v>100</v>
      </c>
      <c r="S2" s="47"/>
      <c r="T2" s="45" t="n">
        <f aca="false">IFERROR(S2*D2,0)</f>
        <v>0</v>
      </c>
      <c r="U2" s="44" t="n">
        <f aca="false">IFERROR(T2/INDEX(账户总表!$B:$B,COUNTA(账户总表!$A:$A)),0)</f>
        <v>0</v>
      </c>
      <c r="V2" s="44" t="n">
        <f aca="false">IFERROR(INDEX(账户总表!$E:$E,COUNTA(账户总表!$A:$A))+U2,0)</f>
        <v>0.407056412146057</v>
      </c>
      <c r="W2" s="43" t="str">
        <f aca="false">IF($A2="","",IFERROR(IF(V2&lt;=INDEX(账户总表!$N:$N,COUNTA(账户总表!$A:$A)),"是","否"),"否"))</f>
        <v>否</v>
      </c>
      <c r="X2" s="45" t="n">
        <f aca="false">IF($A2="","",MAX(F2*0.98,D2*0.92))</f>
        <v>22.3244</v>
      </c>
      <c r="Y2" s="39"/>
      <c r="Z2" s="43" t="str">
        <f aca="false">IF($A2="","",IFERROR(IF(AND(T2&gt;INDEX(账户总表!$C:$C,COUNTA(账户总表!$A:$A)),L2="是"),"是","否"),"否"))</f>
        <v>否</v>
      </c>
      <c r="AA2" s="45" t="n">
        <f aca="false">IF($A2="","",IFERROR(IF(Z2="是",MAX(0,T2-INDEX(账户总表!$C:$C,COUNTA(账户总表!$A:$A)),IF(N2&gt;0,T2/N2-INDEX(账户总表!$B:$B,COUNTA(账户总表!$A:$A)),0)),0),0))</f>
        <v>0</v>
      </c>
      <c r="AB2" s="45" t="n">
        <f aca="false">IF($A2="","",IF(AND(Z2="是",INDEX(账户总表!$U:$U,COUNTA(账户总表!$A:$A))="是"),IF(INDEX(账户总表!$L:$L,COUNTA(账户总表!$A:$A))&gt;=4,AA2*1.5,AA2),0))</f>
        <v>0</v>
      </c>
      <c r="AC2" s="43" t="str">
        <f aca="false">IF($A2="","",IF(AND(L2="是",Q2&gt;=R2,S2&lt;=Q2,S2&gt;=R2,W2="是",X2&gt;0,M2="是",INDEX(账户总表!$M:$M,COUNTA(账户总表!$A:$A))&lt;=2,INDEX(账户总表!$V:$V,COUNTA(账户总表!$A:$A))="是",OR(T2&lt;=INDEX(账户总表!$C:$C,COUNTA(账户总表!$A:$A)),AND(Z2="是",INDEX(账户总表!$U:$U,COUNTA(账户总表!$A:$A))="是",AB2&gt;0))),"是","否"))</f>
        <v>否</v>
      </c>
      <c r="AD2" s="43" t="str">
        <f aca="false"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COUNTA(账户总表!$A:$A))&gt;2,"亏钱效应偏高",IF(INDEX(账户总表!$V:$V,COUNTA(账户总表!$A:$A))&lt;&gt;"是","账户不允许新开仓",IF(AND(T2&gt;INDEX(账户总表!$C:$C,COUNTA(账户总表!$A:$A)),INDEX(账户总表!$U:$U,COUNTA(账户总表!$A:$A))&lt;&gt;"是"),"现金不足且不允许转入",IF(AND(Z2="是",AB2&lt;=0),"转入金额未满足",""))))))))))))</f>
        <v>计划股数低于最小门槛</v>
      </c>
      <c r="AE2" s="38"/>
      <c r="AF2" s="1" t="n">
        <f aca="false">IF($A2="","",D2*100)</f>
        <v>2398</v>
      </c>
      <c r="AG2" s="1" t="n">
        <f aca="false">IF($A2="","",IFERROR(AF2/INDEX(账户总表!$B:$B,COUNTA(账户总表!$A:$A)),0))</f>
        <v>0.115054370146893</v>
      </c>
      <c r="AH2" s="1" t="n">
        <f aca="false">IF($A2="","",IFERROR(INDEX(账户总表!$B:$B,COUNTA(账户总表!$A:$A))*INDEX(账户总表!$O:$O,COUNTA(账户总表!$A:$A)),0))</f>
        <v>7294.812</v>
      </c>
      <c r="AI2" s="1" t="str">
        <f aca="false">IF($A2="","",IF(AF2&gt;AH2,"超限","合规"))</f>
        <v>合规</v>
      </c>
      <c r="AJ2" s="1" t="n">
        <f aca="false">IF($A2="","",IFERROR(AF2/INDEX(账户总表!$O:$O,COUNTA(账户总表!$A:$A)),0))</f>
        <v>6851.42857142857</v>
      </c>
      <c r="AK2" s="1" t="n">
        <f aca="false">IF($A2="","",IFERROR(MAX(0,AJ2-INDEX(账户总表!$B:$B,COUNTA(账户总表!$A:$A)),AF2-INDEX(账户总表!$C:$C,COUNTA(账户总表!$A:$A))),0))</f>
        <v>0</v>
      </c>
      <c r="AL2" s="1" t="str">
        <f aca="false">IF($A2="","",IF(COUNTIF(持仓表!$C$2:$C$201,C2)&gt;0,"已有","新标的"))</f>
        <v>新标的</v>
      </c>
      <c r="AM2" s="1" t="n">
        <f aca="false">IF($A2="","",IFERROR(SUMIFS(持仓表!$N$2:$N$201,持仓表!$C$2:$C$201,C2,持仓表!$A$2:$A$201,$A2),0))</f>
        <v>0</v>
      </c>
      <c r="AN2" s="1" t="n">
        <f aca="false">IF($A2="","",IFERROR(AM2+AF2/INDEX(账户总表!$B:$B,COUNTA(账户总表!$A:$A)),0))</f>
        <v>0.115054370146893</v>
      </c>
      <c r="AO2" s="1" t="str">
        <f aca="false">IF($A2="","",IF(AN2&gt;INDEX(账户总表!$O:$O,COUNTA(账户总表!$A:$A)),"超限","合规"))</f>
        <v>合规</v>
      </c>
      <c r="AP2" s="1" t="str">
        <f aca="false">IF($A2="","",IF(AND(AL2="新标的",INDEX(账户总表!$R:$R,COUNTA(账户总表!$A:$A))&gt;=INDEX(账户总表!$S:$S,COUNTA(账户总表!$A:$A))),"新增受限","可通过"))</f>
        <v>新增受限</v>
      </c>
      <c r="AQ2" s="1" t="str">
        <f aca="false">IF($A2="","",IF(K2&lt;&gt;"核心池","非核心池",IF(OR(AI2="超限",AO2="超限",AP2="新增受限"),"不可加仓","可加仓")))</f>
        <v>不可加仓</v>
      </c>
      <c r="AR2" s="1" t="str">
        <f aca="false">IF($A2="","",TRIM(IF(AI2="超限","1手超单股上限；","")&amp;IF(AO2="超限","买后仓位超限；","")&amp;IF(AP2="新增受限","有效持仓数超限；","")&amp;IF(AF2&gt;INDEX(账户总表!$C:$C,COUNTA(账户总表!$A:$A)),"现金不足；","")))</f>
        <v>有效持仓数超限；</v>
      </c>
      <c r="AS2" s="1" t="n">
        <f aca="false">IF($A2="","",IFERROR(INDEX(候选池历史!$L:$L,MATCH(1,(候选池历史!$B:$B=C2)*(候选池历史!$A:$A=$A2),0)),0))</f>
        <v>1</v>
      </c>
      <c r="AT2" s="1" t="str">
        <f aca="false">IF($A2="","",IF(AS2&gt;=3,"★信号强化",IF(K2="核心池","核心观察","")))</f>
        <v>核心观察</v>
      </c>
      <c r="AU2" s="1" t="str">
        <f aca="false">IF($A2="","",IF(AK2&gt;30000-INDEX(账户总表!$B:$B,COUNTA(账户总表!$A:$A)),"不适合婴儿阶段","可纳入幼儿路径"))</f>
        <v>可纳入幼儿路径</v>
      </c>
    </row>
    <row r="3" customFormat="false" ht="15" hidden="false" customHeight="true" outlineLevel="0" collapsed="false">
      <c r="A3" s="37" t="n">
        <v>46229</v>
      </c>
      <c r="B3" s="38" t="s">
        <v>401</v>
      </c>
      <c r="C3" s="39" t="s">
        <v>402</v>
      </c>
      <c r="D3" s="40" t="n">
        <v>3.1</v>
      </c>
      <c r="E3" s="40" t="n">
        <v>3.1</v>
      </c>
      <c r="F3" s="40" t="n">
        <v>2.94</v>
      </c>
      <c r="G3" s="41" t="n">
        <v>0.0219614970942553</v>
      </c>
      <c r="H3" s="39" t="n">
        <v>0.937046817900879</v>
      </c>
      <c r="I3" s="39" t="s">
        <v>155</v>
      </c>
      <c r="J3" s="38" t="s">
        <v>400</v>
      </c>
      <c r="K3" s="42" t="str">
        <f aca="false">IF($A3="","",IF(AND(G3&lt;20%,H3&gt;0.9),"核心池",IF(AND(H3&gt;=0.85),"观察池",IF(AND(H3&gt;=0.8),"边缘池",""))))</f>
        <v>核心池</v>
      </c>
      <c r="L3" s="43"/>
      <c r="M3" s="43" t="str">
        <f aca="false">IF($A3="","",IF(AND(D3&gt;0,E3&gt;0,D3&lt;=E3*1.02),"是","否"))</f>
        <v>是</v>
      </c>
      <c r="N3" s="44" t="n">
        <f aca="false">IFERROR(INDEX(账户总表!$O:$O,COUNTA(账户总表!$A:$A)),0)</f>
        <v>0.35</v>
      </c>
      <c r="O3" s="45" t="n">
        <f aca="false">IFERROR(INDEX(账户总表!$B:$B,COUNTA(账户总表!$A:$A))*N3,0)</f>
        <v>7294.812</v>
      </c>
      <c r="P3" s="46" t="n">
        <f aca="false">IFERROR(O3/D3,0)</f>
        <v>2353.16516129032</v>
      </c>
      <c r="Q3" s="46" t="n">
        <f aca="false">IFERROR(FLOOR(P3,100),0)</f>
        <v>2300</v>
      </c>
      <c r="R3" s="46" t="n">
        <f aca="false">IFERROR(CEILING(800/(100*D3),1)*100,0)</f>
        <v>300</v>
      </c>
      <c r="S3" s="47"/>
      <c r="T3" s="45" t="n">
        <f aca="false">IFERROR(S3*D3,0)</f>
        <v>0</v>
      </c>
      <c r="U3" s="44" t="n">
        <f aca="false">IFERROR(T3/INDEX(账户总表!$B:$B,COUNTA(账户总表!$A:$A)),0)</f>
        <v>0</v>
      </c>
      <c r="V3" s="44" t="n">
        <f aca="false">IFERROR(INDEX(账户总表!$E:$E,COUNTA(账户总表!$A:$A))+U3,0)</f>
        <v>0.407056412146057</v>
      </c>
      <c r="W3" s="43" t="str">
        <f aca="false">IF($A3="","",IFERROR(IF(V3&lt;=INDEX(账户总表!$N:$N,COUNTA(账户总表!$A:$A)),"是","否"),"否"))</f>
        <v>否</v>
      </c>
      <c r="X3" s="45" t="n">
        <f aca="false">IF($A3="","",MAX(F3*0.98,D3*0.92))</f>
        <v>2.8812</v>
      </c>
      <c r="Y3" s="39"/>
      <c r="Z3" s="43" t="str">
        <f aca="false">IF($A3="","",IFERROR(IF(AND(T3&gt;INDEX(账户总表!$C:$C,COUNTA(账户总表!$A:$A)),L3="是"),"是","否"),"否"))</f>
        <v>否</v>
      </c>
      <c r="AA3" s="45" t="n">
        <f aca="false">IF($A3="","",IFERROR(IF(Z3="是",MAX(0,T3-INDEX(账户总表!$C:$C,COUNTA(账户总表!$A:$A)),IF(N3&gt;0,T3/N3-INDEX(账户总表!$B:$B,COUNTA(账户总表!$A:$A)),0)),0),0))</f>
        <v>0</v>
      </c>
      <c r="AB3" s="45" t="n">
        <f aca="false">IF($A3="","",IF(AND(Z3="是",INDEX(账户总表!$U:$U,COUNTA(账户总表!$A:$A))="是"),IF(INDEX(账户总表!$L:$L,COUNTA(账户总表!$A:$A))&gt;=4,AA3*1.5,AA3),0))</f>
        <v>0</v>
      </c>
      <c r="AC3" s="43" t="str">
        <f aca="false">IF($A3="","",IF(AND(L3="是",Q3&gt;=R3,S3&lt;=Q3,S3&gt;=R3,W3="是",X3&gt;0,M3="是",INDEX(账户总表!$M:$M,COUNTA(账户总表!$A:$A))&lt;=2,INDEX(账户总表!$V:$V,COUNTA(账户总表!$A:$A))="是",OR(T3&lt;=INDEX(账户总表!$C:$C,COUNTA(账户总表!$A:$A)),AND(Z3="是",INDEX(账户总表!$U:$U,COUNTA(账户总表!$A:$A))="是",AB3&gt;0))),"是","否"))</f>
        <v>否</v>
      </c>
      <c r="AD3" s="43" t="str">
        <f aca="false"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COUNTA(账户总表!$A:$A))&gt;2,"亏钱效应偏高",IF(INDEX(账户总表!$V:$V,COUNTA(账户总表!$A:$A))&lt;&gt;"是","账户不允许新开仓",IF(AND(T3&gt;INDEX(账户总表!$C:$C,COUNTA(账户总表!$A:$A)),INDEX(账户总表!$U:$U,COUNTA(账户总表!$A:$A))&lt;&gt;"是"),"现金不足且不允许转入",IF(AND(Z3="是",AB3&lt;=0),"转入金额未满足",""))))))))))))</f>
        <v>信号未确认</v>
      </c>
      <c r="AE3" s="38"/>
      <c r="AF3" s="1" t="n">
        <f aca="false">IF($A3="","",D3*100)</f>
        <v>310</v>
      </c>
      <c r="AG3" s="1" t="n">
        <f aca="false">IF($A3="","",IFERROR(AF3/INDEX(账户总表!$B:$B,COUNTA(账户总表!$A:$A)),0))</f>
        <v>0.0148735841307494</v>
      </c>
      <c r="AH3" s="1" t="n">
        <f aca="false">IF($A3="","",IFERROR(INDEX(账户总表!$B:$B,COUNTA(账户总表!$A:$A))*INDEX(账户总表!$O:$O,COUNTA(账户总表!$A:$A)),0))</f>
        <v>7294.812</v>
      </c>
      <c r="AI3" s="1" t="str">
        <f aca="false">IF($A3="","",IF(AF3&gt;AH3,"超限","合规"))</f>
        <v>合规</v>
      </c>
      <c r="AJ3" s="1" t="n">
        <f aca="false">IF($A3="","",IFERROR(AF3/INDEX(账户总表!$O:$O,COUNTA(账户总表!$A:$A)),0))</f>
        <v>885.714285714286</v>
      </c>
      <c r="AK3" s="1" t="n">
        <f aca="false">IF($A3="","",IFERROR(MAX(0,AJ3-INDEX(账户总表!$B:$B,COUNTA(账户总表!$A:$A)),AF3-INDEX(账户总表!$C:$C,COUNTA(账户总表!$A:$A))),0))</f>
        <v>0</v>
      </c>
      <c r="AL3" s="1" t="str">
        <f aca="false">IF($A3="","",IF(COUNTIF(持仓表!$C$2:$C$201,C3)&gt;0,"已有","新标的"))</f>
        <v>新标的</v>
      </c>
      <c r="AM3" s="1" t="n">
        <f aca="false">IF($A3="","",IFERROR(SUMIFS(持仓表!$N$2:$N$201,持仓表!$C$2:$C$201,C3,持仓表!$A$2:$A$201,$A3),0))</f>
        <v>0</v>
      </c>
      <c r="AN3" s="1" t="n">
        <f aca="false">IF($A3="","",IFERROR(AM3+AF3/INDEX(账户总表!$B:$B,COUNTA(账户总表!$A:$A)),0))</f>
        <v>0.0148735841307494</v>
      </c>
      <c r="AO3" s="1" t="str">
        <f aca="false">IF($A3="","",IF(AN3&gt;INDEX(账户总表!$O:$O,COUNTA(账户总表!$A:$A)),"超限","合规"))</f>
        <v>合规</v>
      </c>
      <c r="AP3" s="1" t="str">
        <f aca="false">IF($A3="","",IF(AND(AL3="新标的",INDEX(账户总表!$R:$R,COUNTA(账户总表!$A:$A))&gt;=INDEX(账户总表!$S:$S,COUNTA(账户总表!$A:$A))),"新增受限","可通过"))</f>
        <v>新增受限</v>
      </c>
      <c r="AQ3" s="1" t="str">
        <f aca="false">IF($A3="","",IF(K3&lt;&gt;"核心池","非核心池",IF(OR(AI3="超限",AO3="超限",AP3="新增受限"),"不可加仓","可加仓")))</f>
        <v>不可加仓</v>
      </c>
      <c r="AR3" s="1" t="str">
        <f aca="false">IF($A3="","",TRIM(IF(AI3="超限","1手超单股上限；","")&amp;IF(AO3="超限","买后仓位超限；","")&amp;IF(AP3="新增受限","有效持仓数超限；","")&amp;IF(AF3&gt;INDEX(账户总表!$C:$C,COUNTA(账户总表!$A:$A)),"现金不足；","")))</f>
        <v>有效持仓数超限；</v>
      </c>
      <c r="AS3" s="1" t="n">
        <f aca="false">IF($A3="","",IFERROR(INDEX(候选池历史!$L:$L,MATCH(1,(候选池历史!$B:$B=C3)*(候选池历史!$A:$A=$A3),0)),0))</f>
        <v>1</v>
      </c>
      <c r="AT3" s="1" t="str">
        <f aca="false">IF($A3="","",IF(AS3&gt;=3,"★信号强化",IF(K3="核心池","核心观察","")))</f>
        <v>核心观察</v>
      </c>
      <c r="AU3" s="1" t="str">
        <f aca="false">IF($A3="","",IF(AK3&gt;30000-INDEX(账户总表!$B:$B,COUNTA(账户总表!$A:$A)),"不适合婴儿阶段","可纳入幼儿路径"))</f>
        <v>可纳入幼儿路径</v>
      </c>
    </row>
    <row r="4" customFormat="false" ht="15" hidden="false" customHeight="true" outlineLevel="0" collapsed="false">
      <c r="A4" s="37" t="n">
        <v>46229</v>
      </c>
      <c r="B4" s="38" t="s">
        <v>403</v>
      </c>
      <c r="C4" s="39" t="s">
        <v>404</v>
      </c>
      <c r="D4" s="40" t="n">
        <v>18.74</v>
      </c>
      <c r="E4" s="40" t="n">
        <v>18.74</v>
      </c>
      <c r="F4" s="40" t="n">
        <v>17.8</v>
      </c>
      <c r="G4" s="41" t="n">
        <v>0.0722104792657035</v>
      </c>
      <c r="H4" s="39" t="n">
        <v>0.933669096017595</v>
      </c>
      <c r="I4" s="39" t="s">
        <v>155</v>
      </c>
      <c r="J4" s="38" t="s">
        <v>400</v>
      </c>
      <c r="K4" s="42" t="str">
        <f aca="false">IF($A4="","",IF(AND(G4&lt;20%,H4&gt;0.9),"核心池",IF(AND(H4&gt;=0.85),"观察池",IF(AND(H4&gt;=0.8),"边缘池",""))))</f>
        <v>核心池</v>
      </c>
      <c r="L4" s="43" t="str">
        <f aca="false">IF($A4="","",IF(AND(G4&lt;60%,H4&gt;0.8,I4="True"),"是","否"))</f>
        <v>是</v>
      </c>
      <c r="M4" s="43" t="str">
        <f aca="false">IF($A4="","",IF(AND(D4&gt;0,E4&gt;0,D4&lt;=E4*1.02),"是","否"))</f>
        <v>是</v>
      </c>
      <c r="N4" s="44" t="n">
        <f aca="false">IFERROR(INDEX(账户总表!$O:$O,COUNTA(账户总表!$A:$A)),0)</f>
        <v>0.35</v>
      </c>
      <c r="O4" s="45" t="n">
        <f aca="false">IFERROR(INDEX(账户总表!$B:$B,COUNTA(账户总表!$A:$A))*N4,0)</f>
        <v>7294.812</v>
      </c>
      <c r="P4" s="46" t="n">
        <f aca="false">IFERROR(O4/D4,0)</f>
        <v>389.264247598719</v>
      </c>
      <c r="Q4" s="46" t="n">
        <f aca="false">IFERROR(FLOOR(P4,100),0)</f>
        <v>300</v>
      </c>
      <c r="R4" s="46" t="n">
        <f aca="false">IFERROR(CEILING(800/(100*D4),1)*100,0)</f>
        <v>100</v>
      </c>
      <c r="S4" s="47"/>
      <c r="T4" s="45" t="n">
        <f aca="false">IFERROR(S4*D4,0)</f>
        <v>0</v>
      </c>
      <c r="U4" s="44" t="n">
        <f aca="false">IFERROR(T4/INDEX(账户总表!$B:$B,COUNTA(账户总表!$A:$A)),0)</f>
        <v>0</v>
      </c>
      <c r="V4" s="44" t="n">
        <f aca="false">IFERROR(INDEX(账户总表!$E:$E,COUNTA(账户总表!$A:$A))+U4,0)</f>
        <v>0.407056412146057</v>
      </c>
      <c r="W4" s="43" t="str">
        <f aca="false">IF($A4="","",IFERROR(IF(V4&lt;=INDEX(账户总表!$N:$N,COUNTA(账户总表!$A:$A)),"是","否"),"否"))</f>
        <v>否</v>
      </c>
      <c r="X4" s="45" t="n">
        <f aca="false">IF($A4="","",MAX(F4*0.98,D4*0.92))</f>
        <v>17.444</v>
      </c>
      <c r="Y4" s="39"/>
      <c r="Z4" s="43" t="str">
        <f aca="false">IF($A4="","",IFERROR(IF(AND(T4&gt;INDEX(账户总表!$C:$C,COUNTA(账户总表!$A:$A)),L4="是"),"是","否"),"否"))</f>
        <v>否</v>
      </c>
      <c r="AA4" s="45" t="n">
        <f aca="false">IF($A4="","",IFERROR(IF(Z4="是",MAX(0,T4-INDEX(账户总表!$C:$C,COUNTA(账户总表!$A:$A)),IF(N4&gt;0,T4/N4-INDEX(账户总表!$B:$B,COUNTA(账户总表!$A:$A)),0)),0),0))</f>
        <v>0</v>
      </c>
      <c r="AB4" s="45" t="n">
        <f aca="false">IF($A4="","",IF(AND(Z4="是",INDEX(账户总表!$U:$U,COUNTA(账户总表!$A:$A))="是"),IF(INDEX(账户总表!$L:$L,COUNTA(账户总表!$A:$A))&gt;=4,AA4*1.5,AA4),0))</f>
        <v>0</v>
      </c>
      <c r="AC4" s="43" t="str">
        <f aca="false">IF($A4="","",IF(AND(L4="是",Q4&gt;=R4,S4&lt;=Q4,S4&gt;=R4,W4="是",X4&gt;0,M4="是",INDEX(账户总表!$M:$M,COUNTA(账户总表!$A:$A))&lt;=2,INDEX(账户总表!$V:$V,COUNTA(账户总表!$A:$A))="是",OR(T4&lt;=INDEX(账户总表!$C:$C,COUNTA(账户总表!$A:$A)),AND(Z4="是",INDEX(账户总表!$U:$U,COUNTA(账户总表!$A:$A))="是",AB4&gt;0))),"是","否"))</f>
        <v>否</v>
      </c>
      <c r="AD4" s="43" t="str">
        <f aca="false">IF($A4="","",IF(L4&lt;&gt;"是","信号未确认",IF(X4&lt;=0,"止损价未定义",IF(Q4&lt;R4,"100股约束不满足",IF(S4&gt;Q4,"计划股数超单股上限",IF(S4&lt;R4,"计划股数低于最小门槛",IF(W4&lt;&gt;"是","总仓位超限",IF(M4&lt;&gt;"是","追价",IF(INDEX(账户总表!$M:$M,COUNTA(账户总表!$A:$A))&gt;2,"亏钱效应偏高",IF(INDEX(账户总表!$V:$V,COUNTA(账户总表!$A:$A))&lt;&gt;"是","账户不允许新开仓",IF(AND(T4&gt;INDEX(账户总表!$C:$C,COUNTA(账户总表!$A:$A)),INDEX(账户总表!$U:$U,COUNTA(账户总表!$A:$A))&lt;&gt;"是"),"现金不足且不允许转入",IF(AND(Z4="是",AB4&lt;=0),"转入金额未满足",""))))))))))))</f>
        <v>计划股数低于最小门槛</v>
      </c>
      <c r="AE4" s="38"/>
      <c r="AF4" s="1" t="n">
        <f aca="false">IF($A4="","",D4*100)</f>
        <v>1874</v>
      </c>
      <c r="AG4" s="1" t="n">
        <f aca="false">IF($A4="","",IFERROR(AF4/INDEX(账户总表!$B:$B,COUNTA(账户总表!$A:$A)),0))</f>
        <v>0.0899132150355623</v>
      </c>
      <c r="AH4" s="1" t="n">
        <f aca="false">IF($A4="","",IFERROR(INDEX(账户总表!$B:$B,COUNTA(账户总表!$A:$A))*INDEX(账户总表!$O:$O,COUNTA(账户总表!$A:$A)),0))</f>
        <v>7294.812</v>
      </c>
      <c r="AI4" s="1" t="str">
        <f aca="false">IF($A4="","",IF(AF4&gt;AH4,"超限","合规"))</f>
        <v>合规</v>
      </c>
      <c r="AJ4" s="1" t="n">
        <f aca="false">IF($A4="","",IFERROR(AF4/INDEX(账户总表!$O:$O,COUNTA(账户总表!$A:$A)),0))</f>
        <v>5354.28571428571</v>
      </c>
      <c r="AK4" s="1" t="n">
        <f aca="false">IF($A4="","",IFERROR(MAX(0,AJ4-INDEX(账户总表!$B:$B,COUNTA(账户总表!$A:$A)),AF4-INDEX(账户总表!$C:$C,COUNTA(账户总表!$A:$A))),0))</f>
        <v>0</v>
      </c>
      <c r="AL4" s="1" t="str">
        <f aca="false">IF($A4="","",IF(COUNTIF(持仓表!$C$2:$C$201,C4)&gt;0,"已有","新标的"))</f>
        <v>新标的</v>
      </c>
      <c r="AM4" s="1" t="n">
        <f aca="false">IF($A4="","",IFERROR(SUMIFS(持仓表!$N$2:$N$201,持仓表!$C$2:$C$201,C4,持仓表!$A$2:$A$201,$A4),0))</f>
        <v>0</v>
      </c>
      <c r="AN4" s="1" t="n">
        <f aca="false">IF($A4="","",IFERROR(AM4+AF4/INDEX(账户总表!$B:$B,COUNTA(账户总表!$A:$A)),0))</f>
        <v>0.0899132150355623</v>
      </c>
      <c r="AO4" s="1" t="str">
        <f aca="false">IF($A4="","",IF(AN4&gt;INDEX(账户总表!$O:$O,COUNTA(账户总表!$A:$A)),"超限","合规"))</f>
        <v>合规</v>
      </c>
      <c r="AP4" s="1" t="str">
        <f aca="false">IF($A4="","",IF(AND(AL4="新标的",INDEX(账户总表!$R:$R,COUNTA(账户总表!$A:$A))&gt;=INDEX(账户总表!$S:$S,COUNTA(账户总表!$A:$A))),"新增受限","可通过"))</f>
        <v>新增受限</v>
      </c>
      <c r="AQ4" s="1" t="str">
        <f aca="false">IF($A4="","",IF(K4&lt;&gt;"核心池","非核心池",IF(OR(AI4="超限",AO4="超限",AP4="新增受限"),"不可加仓","可加仓")))</f>
        <v>不可加仓</v>
      </c>
      <c r="AR4" s="1" t="str">
        <f aca="false">IF($A4="","",TRIM(IF(AI4="超限","1手超单股上限；","")&amp;IF(AO4="超限","买后仓位超限；","")&amp;IF(AP4="新增受限","有效持仓数超限；","")&amp;IF(AF4&gt;INDEX(账户总表!$C:$C,COUNTA(账户总表!$A:$A)),"现金不足；","")))</f>
        <v>有效持仓数超限；</v>
      </c>
      <c r="AS4" s="1" t="n">
        <f aca="false">IF($A4="","",IFERROR(INDEX(候选池历史!$L:$L,MATCH(1,(候选池历史!$B:$B=C4)*(候选池历史!$A:$A=$A4),0)),0))</f>
        <v>1</v>
      </c>
      <c r="AT4" s="1" t="str">
        <f aca="false">IF($A4="","",IF(AS4&gt;=3,"★信号强化",IF(K4="核心池","核心观察","")))</f>
        <v>核心观察</v>
      </c>
      <c r="AU4" s="1" t="str">
        <f aca="false">IF($A4="","",IF(AK4&gt;30000-INDEX(账户总表!$B:$B,COUNTA(账户总表!$A:$A)),"不适合婴儿阶段","可纳入幼儿路径"))</f>
        <v>可纳入幼儿路径</v>
      </c>
    </row>
    <row r="5" customFormat="false" ht="15" hidden="false" customHeight="true" outlineLevel="0" collapsed="false">
      <c r="A5" s="37" t="n">
        <v>46229</v>
      </c>
      <c r="B5" s="38" t="s">
        <v>405</v>
      </c>
      <c r="C5" s="39" t="s">
        <v>406</v>
      </c>
      <c r="D5" s="40" t="n">
        <v>28.58</v>
      </c>
      <c r="E5" s="40" t="n">
        <v>28.58</v>
      </c>
      <c r="F5" s="40" t="n">
        <v>27.15</v>
      </c>
      <c r="G5" s="41" t="n">
        <v>0.136356199625273</v>
      </c>
      <c r="H5" s="39" t="n">
        <v>0.932773404270058</v>
      </c>
      <c r="I5" s="39" t="s">
        <v>155</v>
      </c>
      <c r="J5" s="38" t="s">
        <v>400</v>
      </c>
      <c r="K5" s="42" t="str">
        <f aca="false">IF($A5="","",IF(AND(G5&lt;20%,H5&gt;0.9),"核心池",IF(AND(H5&gt;=0.85),"观察池",IF(AND(H5&gt;=0.8),"边缘池",""))))</f>
        <v>核心池</v>
      </c>
      <c r="L5" s="43" t="str">
        <f aca="false">IF($A5="","",IF(AND(G5&lt;60%,H5&gt;0.8,I5="True"),"是","否"))</f>
        <v>是</v>
      </c>
      <c r="M5" s="43" t="str">
        <f aca="false">IF($A5="","",IF(AND(D5&gt;0,E5&gt;0,D5&lt;=E5*1.02),"是","否"))</f>
        <v>是</v>
      </c>
      <c r="N5" s="44" t="n">
        <f aca="false">IFERROR(INDEX(账户总表!$O:$O,COUNTA(账户总表!$A:$A)),0)</f>
        <v>0.35</v>
      </c>
      <c r="O5" s="45" t="n">
        <f aca="false">IFERROR(INDEX(账户总表!$B:$B,COUNTA(账户总表!$A:$A))*N5,0)</f>
        <v>7294.812</v>
      </c>
      <c r="P5" s="46" t="n">
        <f aca="false">IFERROR(O5/D5,0)</f>
        <v>255.241847445766</v>
      </c>
      <c r="Q5" s="46" t="n">
        <f aca="false">IFERROR(FLOOR(P5,100),0)</f>
        <v>200</v>
      </c>
      <c r="R5" s="46" t="n">
        <f aca="false">IFERROR(CEILING(800/(100*D5),1)*100,0)</f>
        <v>100</v>
      </c>
      <c r="S5" s="47"/>
      <c r="T5" s="45" t="n">
        <f aca="false">IFERROR(S5*D5,0)</f>
        <v>0</v>
      </c>
      <c r="U5" s="44" t="n">
        <f aca="false">IFERROR(T5/INDEX(账户总表!$B:$B,COUNTA(账户总表!$A:$A)),0)</f>
        <v>0</v>
      </c>
      <c r="V5" s="44" t="n">
        <f aca="false">IFERROR(INDEX(账户总表!$E:$E,COUNTA(账户总表!$A:$A))+U5,0)</f>
        <v>0.407056412146057</v>
      </c>
      <c r="W5" s="43" t="str">
        <f aca="false">IF($A5="","",IFERROR(IF(V5&lt;=INDEX(账户总表!$N:$N,COUNTA(账户总表!$A:$A)),"是","否"),"否"))</f>
        <v>否</v>
      </c>
      <c r="X5" s="45" t="n">
        <f aca="false">IF($A5="","",MAX(F5*0.98,D5*0.92))</f>
        <v>26.607</v>
      </c>
      <c r="Y5" s="39"/>
      <c r="Z5" s="43" t="str">
        <f aca="false">IF($A5="","",IFERROR(IF(AND(T5&gt;INDEX(账户总表!$C:$C,COUNTA(账户总表!$A:$A)),L5="是"),"是","否"),"否"))</f>
        <v>否</v>
      </c>
      <c r="AA5" s="45" t="n">
        <f aca="false">IF($A5="","",IFERROR(IF(Z5="是",MAX(0,T5-INDEX(账户总表!$C:$C,COUNTA(账户总表!$A:$A)),IF(N5&gt;0,T5/N5-INDEX(账户总表!$B:$B,COUNTA(账户总表!$A:$A)),0)),0),0))</f>
        <v>0</v>
      </c>
      <c r="AB5" s="45" t="n">
        <f aca="false">IF($A5="","",IF(AND(Z5="是",INDEX(账户总表!$U:$U,COUNTA(账户总表!$A:$A))="是"),IF(INDEX(账户总表!$L:$L,COUNTA(账户总表!$A:$A))&gt;=4,AA5*1.5,AA5),0))</f>
        <v>0</v>
      </c>
      <c r="AC5" s="43" t="str">
        <f aca="false">IF($A5="","",IF(AND(L5="是",Q5&gt;=R5,S5&lt;=Q5,S5&gt;=R5,W5="是",X5&gt;0,M5="是",INDEX(账户总表!$M:$M,COUNTA(账户总表!$A:$A))&lt;=2,INDEX(账户总表!$V:$V,COUNTA(账户总表!$A:$A))="是",OR(T5&lt;=INDEX(账户总表!$C:$C,COUNTA(账户总表!$A:$A)),AND(Z5="是",INDEX(账户总表!$U:$U,COUNTA(账户总表!$A:$A))="是",AB5&gt;0))),"是","否"))</f>
        <v>否</v>
      </c>
      <c r="AD5" s="43" t="str">
        <f aca="false"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COUNTA(账户总表!$A:$A))&gt;2,"亏钱效应偏高",IF(INDEX(账户总表!$V:$V,COUNTA(账户总表!$A:$A))&lt;&gt;"是","账户不允许新开仓",IF(AND(T5&gt;INDEX(账户总表!$C:$C,COUNTA(账户总表!$A:$A)),INDEX(账户总表!$U:$U,COUNTA(账户总表!$A:$A))&lt;&gt;"是"),"现金不足且不允许转入",IF(AND(Z5="是",AB5&lt;=0),"转入金额未满足",""))))))))))))</f>
        <v>计划股数低于最小门槛</v>
      </c>
      <c r="AE5" s="38"/>
      <c r="AF5" s="1" t="n">
        <f aca="false">IF($A5="","",D5*100)</f>
        <v>2858</v>
      </c>
      <c r="AG5" s="1" t="n">
        <f aca="false">IF($A5="","",IFERROR(AF5/INDEX(账户总表!$B:$B,COUNTA(账户总表!$A:$A)),0))</f>
        <v>0.13712484982478</v>
      </c>
      <c r="AH5" s="1" t="n">
        <f aca="false">IF($A5="","",IFERROR(INDEX(账户总表!$B:$B,COUNTA(账户总表!$A:$A))*INDEX(账户总表!$O:$O,COUNTA(账户总表!$A:$A)),0))</f>
        <v>7294.812</v>
      </c>
      <c r="AI5" s="1" t="str">
        <f aca="false">IF($A5="","",IF(AF5&gt;AH5,"超限","合规"))</f>
        <v>合规</v>
      </c>
      <c r="AJ5" s="1" t="n">
        <f aca="false">IF($A5="","",IFERROR(AF5/INDEX(账户总表!$O:$O,COUNTA(账户总表!$A:$A)),0))</f>
        <v>8165.71428571429</v>
      </c>
      <c r="AK5" s="1" t="n">
        <f aca="false">IF($A5="","",IFERROR(MAX(0,AJ5-INDEX(账户总表!$B:$B,COUNTA(账户总表!$A:$A)),AF5-INDEX(账户总表!$C:$C,COUNTA(账户总表!$A:$A))),0))</f>
        <v>0</v>
      </c>
      <c r="AL5" s="1" t="str">
        <f aca="false">IF($A5="","",IF(COUNTIF(持仓表!$C$2:$C$201,C5)&gt;0,"已有","新标的"))</f>
        <v>新标的</v>
      </c>
      <c r="AM5" s="1" t="n">
        <f aca="false">IF($A5="","",IFERROR(SUMIFS(持仓表!$N$2:$N$201,持仓表!$C$2:$C$201,C5,持仓表!$A$2:$A$201,$A5),0))</f>
        <v>0</v>
      </c>
      <c r="AN5" s="1" t="n">
        <f aca="false">IF($A5="","",IFERROR(AM5+AF5/INDEX(账户总表!$B:$B,COUNTA(账户总表!$A:$A)),0))</f>
        <v>0.13712484982478</v>
      </c>
      <c r="AO5" s="1" t="str">
        <f aca="false">IF($A5="","",IF(AN5&gt;INDEX(账户总表!$O:$O,COUNTA(账户总表!$A:$A)),"超限","合规"))</f>
        <v>合规</v>
      </c>
      <c r="AP5" s="1" t="str">
        <f aca="false">IF($A5="","",IF(AND(AL5="新标的",INDEX(账户总表!$R:$R,COUNTA(账户总表!$A:$A))&gt;=INDEX(账户总表!$S:$S,COUNTA(账户总表!$A:$A))),"新增受限","可通过"))</f>
        <v>新增受限</v>
      </c>
      <c r="AQ5" s="1" t="str">
        <f aca="false">IF($A5="","",IF(K5&lt;&gt;"核心池","非核心池",IF(OR(AI5="超限",AO5="超限",AP5="新增受限"),"不可加仓","可加仓")))</f>
        <v>不可加仓</v>
      </c>
      <c r="AR5" s="1" t="str">
        <f aca="false">IF($A5="","",TRIM(IF(AI5="超限","1手超单股上限；","")&amp;IF(AO5="超限","买后仓位超限；","")&amp;IF(AP5="新增受限","有效持仓数超限；","")&amp;IF(AF5&gt;INDEX(账户总表!$C:$C,COUNTA(账户总表!$A:$A)),"现金不足；","")))</f>
        <v>有效持仓数超限；</v>
      </c>
      <c r="AS5" s="1" t="n">
        <f aca="false">IF($A5="","",IFERROR(INDEX(候选池历史!$L:$L,MATCH(1,(候选池历史!$B:$B=C5)*(候选池历史!$A:$A=$A5),0)),0))</f>
        <v>1</v>
      </c>
      <c r="AT5" s="1" t="str">
        <f aca="false">IF($A5="","",IF(AS5&gt;=3,"★信号强化",IF(K5="核心池","核心观察","")))</f>
        <v>核心观察</v>
      </c>
      <c r="AU5" s="1" t="str">
        <f aca="false">IF($A5="","",IF(AK5&gt;30000-INDEX(账户总表!$B:$B,COUNTA(账户总表!$A:$A)),"不适合婴儿阶段","可纳入幼儿路径"))</f>
        <v>可纳入幼儿路径</v>
      </c>
    </row>
    <row r="6" customFormat="false" ht="15" hidden="false" customHeight="true" outlineLevel="0" collapsed="false">
      <c r="A6" s="37" t="n">
        <v>46229</v>
      </c>
      <c r="B6" s="38" t="s">
        <v>407</v>
      </c>
      <c r="C6" s="39" t="s">
        <v>408</v>
      </c>
      <c r="D6" s="40" t="n">
        <v>4.07</v>
      </c>
      <c r="E6" s="40" t="n">
        <v>4.07</v>
      </c>
      <c r="F6" s="40" t="n">
        <v>3.87</v>
      </c>
      <c r="G6" s="41" t="n">
        <v>0.148936427931102</v>
      </c>
      <c r="H6" s="39" t="n">
        <v>0.931021321884339</v>
      </c>
      <c r="I6" s="39" t="s">
        <v>155</v>
      </c>
      <c r="J6" s="38" t="s">
        <v>400</v>
      </c>
      <c r="K6" s="42" t="str">
        <f aca="false">IF($A6="","",IF(AND(G6&lt;20%,H6&gt;0.9),"核心池",IF(AND(H6&gt;=0.85),"观察池",IF(AND(H6&gt;=0.8),"边缘池",""))))</f>
        <v>核心池</v>
      </c>
      <c r="L6" s="43"/>
      <c r="M6" s="43" t="str">
        <f aca="false">IF($A6="","",IF(AND(D6&gt;0,E6&gt;0,D6&lt;=E6*1.02),"是","否"))</f>
        <v>是</v>
      </c>
      <c r="N6" s="44" t="n">
        <f aca="false">IFERROR(INDEX(账户总表!$O:$O,COUNTA(账户总表!$A:$A)),0)</f>
        <v>0.35</v>
      </c>
      <c r="O6" s="45" t="n">
        <f aca="false">IFERROR(INDEX(账户总表!$B:$B,COUNTA(账户总表!$A:$A))*N6,0)</f>
        <v>7294.812</v>
      </c>
      <c r="P6" s="46" t="n">
        <f aca="false">IFERROR(O6/D6,0)</f>
        <v>1792.3371007371</v>
      </c>
      <c r="Q6" s="46" t="n">
        <f aca="false">IFERROR(FLOOR(P6,100),0)</f>
        <v>1700</v>
      </c>
      <c r="R6" s="46" t="n">
        <f aca="false">IFERROR(CEILING(800/(100*D6),1)*100,0)</f>
        <v>200</v>
      </c>
      <c r="S6" s="47"/>
      <c r="T6" s="45" t="n">
        <f aca="false">IFERROR(S6*D6,0)</f>
        <v>0</v>
      </c>
      <c r="U6" s="44" t="n">
        <f aca="false">IFERROR(T6/INDEX(账户总表!$B:$B,COUNTA(账户总表!$A:$A)),0)</f>
        <v>0</v>
      </c>
      <c r="V6" s="44" t="n">
        <f aca="false">IFERROR(INDEX(账户总表!$E:$E,COUNTA(账户总表!$A:$A))+U6,0)</f>
        <v>0.407056412146057</v>
      </c>
      <c r="W6" s="43" t="str">
        <f aca="false">IF($A6="","",IFERROR(IF(V6&lt;=INDEX(账户总表!$N:$N,COUNTA(账户总表!$A:$A)),"是","否"),"否"))</f>
        <v>否</v>
      </c>
      <c r="X6" s="45" t="n">
        <f aca="false">IF($A6="","",MAX(F6*0.98,D6*0.92))</f>
        <v>3.7926</v>
      </c>
      <c r="Y6" s="39"/>
      <c r="Z6" s="43" t="str">
        <f aca="false">IF($A6="","",IFERROR(IF(AND(T6&gt;INDEX(账户总表!$C:$C,COUNTA(账户总表!$A:$A)),L6="是"),"是","否"),"否"))</f>
        <v>否</v>
      </c>
      <c r="AA6" s="45" t="n">
        <f aca="false">IF($A6="","",IFERROR(IF(Z6="是",MAX(0,T6-INDEX(账户总表!$C:$C,COUNTA(账户总表!$A:$A)),IF(N6&gt;0,T6/N6-INDEX(账户总表!$B:$B,COUNTA(账户总表!$A:$A)),0)),0),0))</f>
        <v>0</v>
      </c>
      <c r="AB6" s="45" t="n">
        <f aca="false">IF($A6="","",IF(AND(Z6="是",INDEX(账户总表!$U:$U,COUNTA(账户总表!$A:$A))="是"),IF(INDEX(账户总表!$L:$L,COUNTA(账户总表!$A:$A))&gt;=4,AA6*1.5,AA6),0))</f>
        <v>0</v>
      </c>
      <c r="AC6" s="43" t="str">
        <f aca="false">IF($A6="","",IF(AND(L6="是",Q6&gt;=R6,S6&lt;=Q6,S6&gt;=R6,W6="是",X6&gt;0,M6="是",INDEX(账户总表!$M:$M,COUNTA(账户总表!$A:$A))&lt;=2,INDEX(账户总表!$V:$V,COUNTA(账户总表!$A:$A))="是",OR(T6&lt;=INDEX(账户总表!$C:$C,COUNTA(账户总表!$A:$A)),AND(Z6="是",INDEX(账户总表!$U:$U,COUNTA(账户总表!$A:$A))="是",AB6&gt;0))),"是","否"))</f>
        <v>否</v>
      </c>
      <c r="AD6" s="43" t="str">
        <f aca="false"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COUNTA(账户总表!$A:$A))&gt;2,"亏钱效应偏高",IF(INDEX(账户总表!$V:$V,COUNTA(账户总表!$A:$A))&lt;&gt;"是","账户不允许新开仓",IF(AND(T6&gt;INDEX(账户总表!$C:$C,COUNTA(账户总表!$A:$A)),INDEX(账户总表!$U:$U,COUNTA(账户总表!$A:$A))&lt;&gt;"是"),"现金不足且不允许转入",IF(AND(Z6="是",AB6&lt;=0),"转入金额未满足",""))))))))))))</f>
        <v>信号未确认</v>
      </c>
      <c r="AE6" s="38"/>
      <c r="AF6" s="1" t="n">
        <f aca="false">IF($A6="","",D6*100)</f>
        <v>407</v>
      </c>
      <c r="AG6" s="1" t="n">
        <f aca="false">IF($A6="","",IFERROR(AF6/INDEX(账户总表!$B:$B,COUNTA(账户总表!$A:$A)),0))</f>
        <v>0.0195275765845645</v>
      </c>
      <c r="AH6" s="1" t="n">
        <f aca="false">IF($A6="","",IFERROR(INDEX(账户总表!$B:$B,COUNTA(账户总表!$A:$A))*INDEX(账户总表!$O:$O,COUNTA(账户总表!$A:$A)),0))</f>
        <v>7294.812</v>
      </c>
      <c r="AI6" s="1" t="str">
        <f aca="false">IF($A6="","",IF(AF6&gt;AH6,"超限","合规"))</f>
        <v>合规</v>
      </c>
      <c r="AJ6" s="1" t="n">
        <f aca="false">IF($A6="","",IFERROR(AF6/INDEX(账户总表!$O:$O,COUNTA(账户总表!$A:$A)),0))</f>
        <v>1162.85714285714</v>
      </c>
      <c r="AK6" s="1" t="n">
        <f aca="false">IF($A6="","",IFERROR(MAX(0,AJ6-INDEX(账户总表!$B:$B,COUNTA(账户总表!$A:$A)),AF6-INDEX(账户总表!$C:$C,COUNTA(账户总表!$A:$A))),0))</f>
        <v>0</v>
      </c>
      <c r="AL6" s="1" t="str">
        <f aca="false">IF($A6="","",IF(COUNTIF(持仓表!$C$2:$C$201,C6)&gt;0,"已有","新标的"))</f>
        <v>新标的</v>
      </c>
      <c r="AM6" s="1" t="n">
        <f aca="false">IF($A6="","",IFERROR(SUMIFS(持仓表!$N$2:$N$201,持仓表!$C$2:$C$201,C6,持仓表!$A$2:$A$201,$A6),0))</f>
        <v>0</v>
      </c>
      <c r="AN6" s="1" t="n">
        <f aca="false">IF($A6="","",IFERROR(AM6+AF6/INDEX(账户总表!$B:$B,COUNTA(账户总表!$A:$A)),0))</f>
        <v>0.0195275765845645</v>
      </c>
      <c r="AO6" s="1" t="str">
        <f aca="false">IF($A6="","",IF(AN6&gt;INDEX(账户总表!$O:$O,COUNTA(账户总表!$A:$A)),"超限","合规"))</f>
        <v>合规</v>
      </c>
      <c r="AP6" s="1" t="str">
        <f aca="false">IF($A6="","",IF(AND(AL6="新标的",INDEX(账户总表!$R:$R,COUNTA(账户总表!$A:$A))&gt;=INDEX(账户总表!$S:$S,COUNTA(账户总表!$A:$A))),"新增受限","可通过"))</f>
        <v>新增受限</v>
      </c>
      <c r="AQ6" s="1" t="str">
        <f aca="false">IF($A6="","",IF(K6&lt;&gt;"核心池","非核心池",IF(OR(AI6="超限",AO6="超限",AP6="新增受限"),"不可加仓","可加仓")))</f>
        <v>不可加仓</v>
      </c>
      <c r="AR6" s="1" t="str">
        <f aca="false">IF($A6="","",TRIM(IF(AI6="超限","1手超单股上限；","")&amp;IF(AO6="超限","买后仓位超限；","")&amp;IF(AP6="新增受限","有效持仓数超限；","")&amp;IF(AF6&gt;INDEX(账户总表!$C:$C,COUNTA(账户总表!$A:$A)),"现金不足；","")))</f>
        <v>有效持仓数超限；</v>
      </c>
      <c r="AS6" s="1" t="n">
        <f aca="false">IF($A6="","",IFERROR(INDEX(候选池历史!$L:$L,MATCH(1,(候选池历史!$B:$B=C6)*(候选池历史!$A:$A=$A6),0)),0))</f>
        <v>1</v>
      </c>
      <c r="AT6" s="1" t="str">
        <f aca="false">IF($A6="","",IF(AS6&gt;=3,"★信号强化",IF(K6="核心池","核心观察","")))</f>
        <v>核心观察</v>
      </c>
      <c r="AU6" s="1" t="str">
        <f aca="false">IF($A6="","",IF(AK6&gt;30000-INDEX(账户总表!$B:$B,COUNTA(账户总表!$A:$A)),"不适合婴儿阶段","可纳入幼儿路径"))</f>
        <v>可纳入幼儿路径</v>
      </c>
    </row>
    <row r="7" customFormat="false" ht="15" hidden="false" customHeight="true" outlineLevel="0" collapsed="false">
      <c r="A7" s="37" t="n">
        <v>46229</v>
      </c>
      <c r="B7" s="38" t="s">
        <v>409</v>
      </c>
      <c r="C7" s="39" t="s">
        <v>410</v>
      </c>
      <c r="D7" s="40" t="n">
        <v>5.8</v>
      </c>
      <c r="E7" s="40" t="n">
        <v>5.8</v>
      </c>
      <c r="F7" s="40" t="n">
        <v>5.51</v>
      </c>
      <c r="G7" s="41" t="n">
        <v>0.151260284559991</v>
      </c>
      <c r="H7" s="39" t="n">
        <v>0.925849573092616</v>
      </c>
      <c r="I7" s="39" t="s">
        <v>155</v>
      </c>
      <c r="J7" s="38" t="s">
        <v>400</v>
      </c>
      <c r="K7" s="42" t="str">
        <f aca="false">IF($A7="","",IF(AND(G7&lt;20%,H7&gt;0.9),"核心池",IF(AND(H7&gt;=0.85),"观察池",IF(AND(H7&gt;=0.8),"边缘池",""))))</f>
        <v>核心池</v>
      </c>
      <c r="L7" s="43" t="str">
        <f aca="false">IF($A7="","",IF(AND(G7&lt;60%,H7&gt;0.8,I7="True"),"是","否"))</f>
        <v>是</v>
      </c>
      <c r="M7" s="43" t="str">
        <f aca="false">IF($A7="","",IF(AND(D7&gt;0,E7&gt;0,D7&lt;=E7*1.02),"是","否"))</f>
        <v>是</v>
      </c>
      <c r="N7" s="44" t="n">
        <f aca="false">IFERROR(INDEX(账户总表!$O:$O,COUNTA(账户总表!$A:$A)),0)</f>
        <v>0.35</v>
      </c>
      <c r="O7" s="45" t="n">
        <f aca="false">IFERROR(INDEX(账户总表!$B:$B,COUNTA(账户总表!$A:$A))*N7,0)</f>
        <v>7294.812</v>
      </c>
      <c r="P7" s="46" t="n">
        <f aca="false">IFERROR(O7/D7,0)</f>
        <v>1257.72620689655</v>
      </c>
      <c r="Q7" s="46" t="n">
        <f aca="false">IFERROR(FLOOR(P7,100),0)</f>
        <v>1200</v>
      </c>
      <c r="R7" s="46" t="n">
        <f aca="false">IFERROR(CEILING(800/(100*D7),1)*100,0)</f>
        <v>200</v>
      </c>
      <c r="S7" s="47"/>
      <c r="T7" s="45" t="n">
        <f aca="false">IFERROR(S7*D7,0)</f>
        <v>0</v>
      </c>
      <c r="U7" s="44" t="n">
        <f aca="false">IFERROR(T7/INDEX(账户总表!$B:$B,COUNTA(账户总表!$A:$A)),0)</f>
        <v>0</v>
      </c>
      <c r="V7" s="44" t="n">
        <f aca="false">IFERROR(INDEX(账户总表!$E:$E,COUNTA(账户总表!$A:$A))+U7,0)</f>
        <v>0.407056412146057</v>
      </c>
      <c r="W7" s="43" t="str">
        <f aca="false">IF($A7="","",IFERROR(IF(V7&lt;=INDEX(账户总表!$N:$N,COUNTA(账户总表!$A:$A)),"是","否"),"否"))</f>
        <v>否</v>
      </c>
      <c r="X7" s="45" t="n">
        <f aca="false">IF($A7="","",MAX(F7*0.98,D7*0.92))</f>
        <v>5.3998</v>
      </c>
      <c r="Y7" s="39"/>
      <c r="Z7" s="43" t="str">
        <f aca="false">IF($A7="","",IFERROR(IF(AND(T7&gt;INDEX(账户总表!$C:$C,COUNTA(账户总表!$A:$A)),L7="是"),"是","否"),"否"))</f>
        <v>否</v>
      </c>
      <c r="AA7" s="45" t="n">
        <f aca="false">IF($A7="","",IFERROR(IF(Z7="是",MAX(0,T7-INDEX(账户总表!$C:$C,COUNTA(账户总表!$A:$A)),IF(N7&gt;0,T7/N7-INDEX(账户总表!$B:$B,COUNTA(账户总表!$A:$A)),0)),0),0))</f>
        <v>0</v>
      </c>
      <c r="AB7" s="45" t="n">
        <f aca="false">IF($A7="","",IF(AND(Z7="是",INDEX(账户总表!$U:$U,COUNTA(账户总表!$A:$A))="是"),IF(INDEX(账户总表!$L:$L,COUNTA(账户总表!$A:$A))&gt;=4,AA7*1.5,AA7),0))</f>
        <v>0</v>
      </c>
      <c r="AC7" s="43" t="str">
        <f aca="false">IF($A7="","",IF(AND(L7="是",Q7&gt;=R7,S7&lt;=Q7,S7&gt;=R7,W7="是",X7&gt;0,M7="是",INDEX(账户总表!$M:$M,COUNTA(账户总表!$A:$A))&lt;=2,INDEX(账户总表!$V:$V,COUNTA(账户总表!$A:$A))="是",OR(T7&lt;=INDEX(账户总表!$C:$C,COUNTA(账户总表!$A:$A)),AND(Z7="是",INDEX(账户总表!$U:$U,COUNTA(账户总表!$A:$A))="是",AB7&gt;0))),"是","否"))</f>
        <v>否</v>
      </c>
      <c r="AD7" s="43" t="str">
        <f aca="false"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COUNTA(账户总表!$A:$A))&gt;2,"亏钱效应偏高",IF(INDEX(账户总表!$V:$V,COUNTA(账户总表!$A:$A))&lt;&gt;"是","账户不允许新开仓",IF(AND(T7&gt;INDEX(账户总表!$C:$C,COUNTA(账户总表!$A:$A)),INDEX(账户总表!$U:$U,COUNTA(账户总表!$A:$A))&lt;&gt;"是"),"现金不足且不允许转入",IF(AND(Z7="是",AB7&lt;=0),"转入金额未满足",""))))))))))))</f>
        <v>计划股数低于最小门槛</v>
      </c>
      <c r="AE7" s="38"/>
      <c r="AF7" s="1" t="n">
        <f aca="false">IF($A7="","",D7*100)</f>
        <v>580</v>
      </c>
      <c r="AG7" s="1" t="n">
        <f aca="false">IF($A7="","",IFERROR(AF7/INDEX(账户总表!$B:$B,COUNTA(账户总表!$A:$A)),0))</f>
        <v>0.0278279961155956</v>
      </c>
      <c r="AH7" s="1" t="n">
        <f aca="false">IF($A7="","",IFERROR(INDEX(账户总表!$B:$B,COUNTA(账户总表!$A:$A))*INDEX(账户总表!$O:$O,COUNTA(账户总表!$A:$A)),0))</f>
        <v>7294.812</v>
      </c>
      <c r="AI7" s="1" t="str">
        <f aca="false">IF($A7="","",IF(AF7&gt;AH7,"超限","合规"))</f>
        <v>合规</v>
      </c>
      <c r="AJ7" s="1" t="n">
        <f aca="false">IF($A7="","",IFERROR(AF7/INDEX(账户总表!$O:$O,COUNTA(账户总表!$A:$A)),0))</f>
        <v>1657.14285714286</v>
      </c>
      <c r="AK7" s="1" t="n">
        <f aca="false">IF($A7="","",IFERROR(MAX(0,AJ7-INDEX(账户总表!$B:$B,COUNTA(账户总表!$A:$A)),AF7-INDEX(账户总表!$C:$C,COUNTA(账户总表!$A:$A))),0))</f>
        <v>0</v>
      </c>
      <c r="AL7" s="1" t="str">
        <f aca="false">IF($A7="","",IF(COUNTIF(持仓表!$C$2:$C$201,C7)&gt;0,"已有","新标的"))</f>
        <v>新标的</v>
      </c>
      <c r="AM7" s="1" t="n">
        <f aca="false">IF($A7="","",IFERROR(SUMIFS(持仓表!$N$2:$N$201,持仓表!$C$2:$C$201,C7,持仓表!$A$2:$A$201,$A7),0))</f>
        <v>0</v>
      </c>
      <c r="AN7" s="1" t="n">
        <f aca="false">IF($A7="","",IFERROR(AM7+AF7/INDEX(账户总表!$B:$B,COUNTA(账户总表!$A:$A)),0))</f>
        <v>0.0278279961155956</v>
      </c>
      <c r="AO7" s="1" t="str">
        <f aca="false">IF($A7="","",IF(AN7&gt;INDEX(账户总表!$O:$O,COUNTA(账户总表!$A:$A)),"超限","合规"))</f>
        <v>合规</v>
      </c>
      <c r="AP7" s="1" t="str">
        <f aca="false">IF($A7="","",IF(AND(AL7="新标的",INDEX(账户总表!$R:$R,COUNTA(账户总表!$A:$A))&gt;=INDEX(账户总表!$S:$S,COUNTA(账户总表!$A:$A))),"新增受限","可通过"))</f>
        <v>新增受限</v>
      </c>
      <c r="AQ7" s="1" t="str">
        <f aca="false">IF($A7="","",IF(K7&lt;&gt;"核心池","非核心池",IF(OR(AI7="超限",AO7="超限",AP7="新增受限"),"不可加仓","可加仓")))</f>
        <v>不可加仓</v>
      </c>
      <c r="AR7" s="1" t="str">
        <f aca="false">IF($A7="","",TRIM(IF(AI7="超限","1手超单股上限；","")&amp;IF(AO7="超限","买后仓位超限；","")&amp;IF(AP7="新增受限","有效持仓数超限；","")&amp;IF(AF7&gt;INDEX(账户总表!$C:$C,COUNTA(账户总表!$A:$A)),"现金不足；","")))</f>
        <v>有效持仓数超限；</v>
      </c>
      <c r="AS7" s="1" t="n">
        <f aca="false">IF($A7="","",IFERROR(INDEX(候选池历史!$L:$L,MATCH(1,(候选池历史!$B:$B=C7)*(候选池历史!$A:$A=$A7),0)),0))</f>
        <v>1</v>
      </c>
      <c r="AT7" s="1" t="str">
        <f aca="false">IF($A7="","",IF(AS7&gt;=3,"★信号强化",IF(K7="核心池","核心观察","")))</f>
        <v>核心观察</v>
      </c>
      <c r="AU7" s="1" t="str">
        <f aca="false">IF($A7="","",IF(AK7&gt;30000-INDEX(账户总表!$B:$B,COUNTA(账户总表!$A:$A)),"不适合婴儿阶段","可纳入幼儿路径"))</f>
        <v>可纳入幼儿路径</v>
      </c>
    </row>
    <row r="8" customFormat="false" ht="15" hidden="false" customHeight="true" outlineLevel="0" collapsed="false">
      <c r="A8" s="37" t="n">
        <v>46229</v>
      </c>
      <c r="B8" s="38" t="s">
        <v>411</v>
      </c>
      <c r="C8" s="39" t="s">
        <v>412</v>
      </c>
      <c r="D8" s="40" t="n">
        <v>347.8</v>
      </c>
      <c r="E8" s="40" t="n">
        <v>347.8</v>
      </c>
      <c r="F8" s="40" t="n">
        <v>330.41</v>
      </c>
      <c r="G8" s="41" t="n">
        <v>0.150557882767282</v>
      </c>
      <c r="H8" s="39" t="n">
        <v>0.923640505971024</v>
      </c>
      <c r="I8" s="39" t="s">
        <v>155</v>
      </c>
      <c r="J8" s="38" t="s">
        <v>400</v>
      </c>
      <c r="K8" s="42" t="str">
        <f aca="false">IF($A8="","",IF(AND(G8&lt;20%,H8&gt;0.9),"核心池",IF(AND(H8&gt;=0.85),"观察池",IF(AND(H8&gt;=0.8),"边缘池",""))))</f>
        <v>核心池</v>
      </c>
      <c r="L8" s="43" t="str">
        <f aca="false">IF($A8="","",IF(AND(G8&lt;60%,H8&gt;0.8,I8="True"),"是","否"))</f>
        <v>是</v>
      </c>
      <c r="M8" s="43" t="str">
        <f aca="false">IF($A8="","",IF(AND(D8&gt;0,E8&gt;0,D8&lt;=E8*1.02),"是","否"))</f>
        <v>是</v>
      </c>
      <c r="N8" s="44" t="n">
        <f aca="false">IFERROR(INDEX(账户总表!$O:$O,COUNTA(账户总表!$A:$A)),0)</f>
        <v>0.35</v>
      </c>
      <c r="O8" s="45" t="n">
        <f aca="false">IFERROR(INDEX(账户总表!$B:$B,COUNTA(账户总表!$A:$A))*N8,0)</f>
        <v>7294.812</v>
      </c>
      <c r="P8" s="46" t="n">
        <f aca="false">IFERROR(O8/D8,0)</f>
        <v>20.9741575618171</v>
      </c>
      <c r="Q8" s="46" t="n">
        <f aca="false">IFERROR(FLOOR(P8,100),0)</f>
        <v>0</v>
      </c>
      <c r="R8" s="46" t="n">
        <f aca="false">IFERROR(CEILING(800/(100*D8),1)*100,0)</f>
        <v>100</v>
      </c>
      <c r="S8" s="47"/>
      <c r="T8" s="45" t="n">
        <f aca="false">IFERROR(S8*D8,0)</f>
        <v>0</v>
      </c>
      <c r="U8" s="44" t="n">
        <f aca="false">IFERROR(T8/INDEX(账户总表!$B:$B,COUNTA(账户总表!$A:$A)),0)</f>
        <v>0</v>
      </c>
      <c r="V8" s="44" t="n">
        <f aca="false">IFERROR(INDEX(账户总表!$E:$E,COUNTA(账户总表!$A:$A))+U8,0)</f>
        <v>0.407056412146057</v>
      </c>
      <c r="W8" s="43" t="str">
        <f aca="false">IF($A8="","",IFERROR(IF(V8&lt;=INDEX(账户总表!$N:$N,COUNTA(账户总表!$A:$A)),"是","否"),"否"))</f>
        <v>否</v>
      </c>
      <c r="X8" s="45" t="n">
        <f aca="false">IF($A8="","",MAX(F8*0.98,D8*0.92))</f>
        <v>323.8018</v>
      </c>
      <c r="Y8" s="39"/>
      <c r="Z8" s="43" t="str">
        <f aca="false">IF($A8="","",IFERROR(IF(AND(T8&gt;INDEX(账户总表!$C:$C,COUNTA(账户总表!$A:$A)),L8="是"),"是","否"),"否"))</f>
        <v>否</v>
      </c>
      <c r="AA8" s="45" t="n">
        <f aca="false">IF($A8="","",IFERROR(IF(Z8="是",MAX(0,T8-INDEX(账户总表!$C:$C,COUNTA(账户总表!$A:$A)),IF(N8&gt;0,T8/N8-INDEX(账户总表!$B:$B,COUNTA(账户总表!$A:$A)),0)),0),0))</f>
        <v>0</v>
      </c>
      <c r="AB8" s="45" t="n">
        <f aca="false">IF($A8="","",IF(AND(Z8="是",INDEX(账户总表!$U:$U,COUNTA(账户总表!$A:$A))="是"),IF(INDEX(账户总表!$L:$L,COUNTA(账户总表!$A:$A))&gt;=4,AA8*1.5,AA8),0))</f>
        <v>0</v>
      </c>
      <c r="AC8" s="43" t="str">
        <f aca="false">IF($A8="","",IF(AND(L8="是",Q8&gt;=R8,S8&lt;=Q8,S8&gt;=R8,W8="是",X8&gt;0,M8="是",INDEX(账户总表!$M:$M,COUNTA(账户总表!$A:$A))&lt;=2,INDEX(账户总表!$V:$V,COUNTA(账户总表!$A:$A))="是",OR(T8&lt;=INDEX(账户总表!$C:$C,COUNTA(账户总表!$A:$A)),AND(Z8="是",INDEX(账户总表!$U:$U,COUNTA(账户总表!$A:$A))="是",AB8&gt;0))),"是","否"))</f>
        <v>否</v>
      </c>
      <c r="AD8" s="43" t="str">
        <f aca="false"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COUNTA(账户总表!$A:$A))&gt;2,"亏钱效应偏高",IF(INDEX(账户总表!$V:$V,COUNTA(账户总表!$A:$A))&lt;&gt;"是","账户不允许新开仓",IF(AND(T8&gt;INDEX(账户总表!$C:$C,COUNTA(账户总表!$A:$A)),INDEX(账户总表!$U:$U,COUNTA(账户总表!$A:$A))&lt;&gt;"是"),"现金不足且不允许转入",IF(AND(Z8="是",AB8&lt;=0),"转入金额未满足",""))))))))))))</f>
        <v>100股约束不满足</v>
      </c>
      <c r="AE8" s="38" t="s">
        <v>413</v>
      </c>
      <c r="AF8" s="1" t="n">
        <f aca="false">IF($A8="","",D8*100)</f>
        <v>34780</v>
      </c>
      <c r="AG8" s="1" t="n">
        <f aca="false">IF($A8="","",IFERROR(AF8/INDEX(账户总表!$B:$B,COUNTA(账户总表!$A:$A)),0))</f>
        <v>1.66872018086278</v>
      </c>
      <c r="AH8" s="1" t="n">
        <f aca="false">IF($A8="","",IFERROR(INDEX(账户总表!$B:$B,COUNTA(账户总表!$A:$A))*INDEX(账户总表!$O:$O,COUNTA(账户总表!$A:$A)),0))</f>
        <v>7294.812</v>
      </c>
      <c r="AI8" s="1" t="str">
        <f aca="false">IF($A8="","",IF(AF8&gt;AH8,"超限","合规"))</f>
        <v>超限</v>
      </c>
      <c r="AJ8" s="1" t="n">
        <f aca="false">IF($A8="","",IFERROR(AF8/INDEX(账户总表!$O:$O,COUNTA(账户总表!$A:$A)),0))</f>
        <v>99371.4285714286</v>
      </c>
      <c r="AK8" s="1" t="n">
        <f aca="false">IF($A8="","",IFERROR(MAX(0,AJ8-INDEX(账户总表!$B:$B,COUNTA(账户总表!$A:$A)),AF8-INDEX(账户总表!$C:$C,COUNTA(账户总表!$A:$A))),0))</f>
        <v>78529.1085714286</v>
      </c>
      <c r="AL8" s="1" t="str">
        <f aca="false">IF($A8="","",IF(COUNTIF(持仓表!$C$2:$C$201,C8)&gt;0,"已有","新标的"))</f>
        <v>新标的</v>
      </c>
      <c r="AM8" s="1" t="n">
        <f aca="false">IF($A8="","",IFERROR(SUMIFS(持仓表!$N$2:$N$201,持仓表!$C$2:$C$201,C8,持仓表!$A$2:$A$201,$A8),0))</f>
        <v>0</v>
      </c>
      <c r="AN8" s="1" t="n">
        <f aca="false">IF($A8="","",IFERROR(AM8+AF8/INDEX(账户总表!$B:$B,COUNTA(账户总表!$A:$A)),0))</f>
        <v>1.66872018086278</v>
      </c>
      <c r="AO8" s="1" t="str">
        <f aca="false">IF($A8="","",IF(AN8&gt;INDEX(账户总表!$O:$O,COUNTA(账户总表!$A:$A)),"超限","合规"))</f>
        <v>超限</v>
      </c>
      <c r="AP8" s="1" t="str">
        <f aca="false">IF($A8="","",IF(AND(AL8="新标的",INDEX(账户总表!$R:$R,COUNTA(账户总表!$A:$A))&gt;=INDEX(账户总表!$S:$S,COUNTA(账户总表!$A:$A))),"新增受限","可通过"))</f>
        <v>新增受限</v>
      </c>
      <c r="AQ8" s="1" t="str">
        <f aca="false">IF($A8="","",IF(K8&lt;&gt;"核心池","非核心池",IF(OR(AI8="超限",AO8="超限",AP8="新增受限"),"不可加仓","可加仓")))</f>
        <v>不可加仓</v>
      </c>
      <c r="AR8" s="1" t="str">
        <f aca="false">IF($A8="","",TRIM(IF(AI8="超限","1手超单股上限；","")&amp;IF(AO8="超限","买后仓位超限；","")&amp;IF(AP8="新增受限","有效持仓数超限；","")&amp;IF(AF8&gt;INDEX(账户总表!$C:$C,COUNTA(账户总表!$A:$A)),"现金不足；","")))</f>
        <v>1手超单股上限；买后仓位超限；有效持仓数超限；现金不足；</v>
      </c>
      <c r="AS8" s="1" t="n">
        <f aca="false">IF($A8="","",IFERROR(INDEX(候选池历史!$L:$L,MATCH(1,(候选池历史!$B:$B=C8)*(候选池历史!$A:$A=$A8),0)),0))</f>
        <v>1</v>
      </c>
      <c r="AT8" s="1" t="str">
        <f aca="false">IF($A8="","",IF(AS8&gt;=3,"★信号强化",IF(K8="核心池","核心观察","")))</f>
        <v>核心观察</v>
      </c>
      <c r="AU8" s="1" t="str">
        <f aca="false">IF($A8="","",IF(AK8&gt;30000-INDEX(账户总表!$B:$B,COUNTA(账户总表!$A:$A)),"不适合婴儿阶段","可纳入幼儿路径"))</f>
        <v>不适合婴儿阶段</v>
      </c>
    </row>
    <row r="9" customFormat="false" ht="15" hidden="false" customHeight="true" outlineLevel="0" collapsed="false">
      <c r="A9" s="37" t="n">
        <v>46229</v>
      </c>
      <c r="B9" s="38" t="s">
        <v>414</v>
      </c>
      <c r="C9" s="39" t="s">
        <v>415</v>
      </c>
      <c r="D9" s="40" t="n">
        <v>6.46</v>
      </c>
      <c r="E9" s="40" t="n">
        <v>6.46</v>
      </c>
      <c r="F9" s="40" t="n">
        <v>6.14</v>
      </c>
      <c r="G9" s="41" t="n">
        <v>0.0651159258248686</v>
      </c>
      <c r="H9" s="39" t="n">
        <v>0.921375970201785</v>
      </c>
      <c r="I9" s="39" t="s">
        <v>155</v>
      </c>
      <c r="J9" s="38" t="s">
        <v>400</v>
      </c>
      <c r="K9" s="42" t="str">
        <f aca="false">IF($A9="","",IF(AND(G9&lt;20%,H9&gt;0.9),"核心池",IF(AND(H9&gt;=0.85),"观察池",IF(AND(H9&gt;=0.8),"边缘池",""))))</f>
        <v>核心池</v>
      </c>
      <c r="L9" s="43"/>
      <c r="M9" s="43" t="str">
        <f aca="false">IF($A9="","",IF(AND(D9&gt;0,E9&gt;0,D9&lt;=E9*1.02),"是","否"))</f>
        <v>是</v>
      </c>
      <c r="N9" s="44" t="n">
        <f aca="false">IFERROR(INDEX(账户总表!$O:$O,COUNTA(账户总表!$A:$A)),0)</f>
        <v>0.35</v>
      </c>
      <c r="O9" s="45" t="n">
        <f aca="false">IFERROR(INDEX(账户总表!$B:$B,COUNTA(账户总表!$A:$A))*N9,0)</f>
        <v>7294.812</v>
      </c>
      <c r="P9" s="46" t="n">
        <f aca="false">IFERROR(O9/D9,0)</f>
        <v>1129.22786377709</v>
      </c>
      <c r="Q9" s="46" t="n">
        <f aca="false">IFERROR(FLOOR(P9,100),0)</f>
        <v>1100</v>
      </c>
      <c r="R9" s="46" t="n">
        <f aca="false">IFERROR(CEILING(800/(100*D9),1)*100,0)</f>
        <v>200</v>
      </c>
      <c r="S9" s="47"/>
      <c r="T9" s="45" t="n">
        <f aca="false">IFERROR(S9*D9,0)</f>
        <v>0</v>
      </c>
      <c r="U9" s="44" t="n">
        <f aca="false">IFERROR(T9/INDEX(账户总表!$B:$B,COUNTA(账户总表!$A:$A)),0)</f>
        <v>0</v>
      </c>
      <c r="V9" s="44" t="n">
        <f aca="false">IFERROR(INDEX(账户总表!$E:$E,COUNTA(账户总表!$A:$A))+U9,0)</f>
        <v>0.407056412146057</v>
      </c>
      <c r="W9" s="43" t="str">
        <f aca="false">IF($A9="","",IFERROR(IF(V9&lt;=INDEX(账户总表!$N:$N,COUNTA(账户总表!$A:$A)),"是","否"),"否"))</f>
        <v>否</v>
      </c>
      <c r="X9" s="45" t="n">
        <f aca="false">IF($A9="","",MAX(F9*0.98,D9*0.92))</f>
        <v>6.0172</v>
      </c>
      <c r="Y9" s="39"/>
      <c r="Z9" s="43" t="str">
        <f aca="false">IF($A9="","",IFERROR(IF(AND(T9&gt;INDEX(账户总表!$C:$C,COUNTA(账户总表!$A:$A)),L9="是"),"是","否"),"否"))</f>
        <v>否</v>
      </c>
      <c r="AA9" s="45" t="n">
        <f aca="false">IF($A9="","",IFERROR(IF(Z9="是",MAX(0,T9-INDEX(账户总表!$C:$C,COUNTA(账户总表!$A:$A)),IF(N9&gt;0,T9/N9-INDEX(账户总表!$B:$B,COUNTA(账户总表!$A:$A)),0)),0),0))</f>
        <v>0</v>
      </c>
      <c r="AB9" s="45" t="n">
        <f aca="false">IF($A9="","",IF(AND(Z9="是",INDEX(账户总表!$U:$U,COUNTA(账户总表!$A:$A))="是"),IF(INDEX(账户总表!$L:$L,COUNTA(账户总表!$A:$A))&gt;=4,AA9*1.5,AA9),0))</f>
        <v>0</v>
      </c>
      <c r="AC9" s="43" t="str">
        <f aca="false">IF($A9="","",IF(AND(L9="是",Q9&gt;=R9,S9&lt;=Q9,S9&gt;=R9,W9="是",X9&gt;0,M9="是",INDEX(账户总表!$M:$M,COUNTA(账户总表!$A:$A))&lt;=2,INDEX(账户总表!$V:$V,COUNTA(账户总表!$A:$A))="是",OR(T9&lt;=INDEX(账户总表!$C:$C,COUNTA(账户总表!$A:$A)),AND(Z9="是",INDEX(账户总表!$U:$U,COUNTA(账户总表!$A:$A))="是",AB9&gt;0))),"是","否"))</f>
        <v>否</v>
      </c>
      <c r="AD9" s="43" t="str">
        <f aca="false">IF($A9="","",IF(L9&lt;&gt;"是","信号未确认",IF(X9&lt;=0,"止损价未定义",IF(Q9&lt;R9,"100股约束不满足",IF(S9&gt;Q9,"计划股数超单股上限",IF(S9&lt;R9,"计划股数低于最小门槛",IF(W9&lt;&gt;"是","总仓位超限",IF(M9&lt;&gt;"是","追价",IF(INDEX(账户总表!$M:$M,COUNTA(账户总表!$A:$A))&gt;2,"亏钱效应偏高",IF(INDEX(账户总表!$V:$V,COUNTA(账户总表!$A:$A))&lt;&gt;"是","账户不允许新开仓",IF(AND(T9&gt;INDEX(账户总表!$C:$C,COUNTA(账户总表!$A:$A)),INDEX(账户总表!$U:$U,COUNTA(账户总表!$A:$A))&lt;&gt;"是"),"现金不足且不允许转入",IF(AND(Z9="是",AB9&lt;=0),"转入金额未满足",""))))))))))))</f>
        <v>信号未确认</v>
      </c>
      <c r="AE9" s="38"/>
      <c r="AF9" s="1" t="n">
        <f aca="false">IF($A9="","",D9*100)</f>
        <v>646</v>
      </c>
      <c r="AG9" s="1" t="n">
        <f aca="false">IF($A9="","",IFERROR(AF9/INDEX(账户总表!$B:$B,COUNTA(账户总表!$A:$A)),0))</f>
        <v>0.0309946301563358</v>
      </c>
      <c r="AH9" s="1" t="n">
        <f aca="false">IF($A9="","",IFERROR(INDEX(账户总表!$B:$B,COUNTA(账户总表!$A:$A))*INDEX(账户总表!$O:$O,COUNTA(账户总表!$A:$A)),0))</f>
        <v>7294.812</v>
      </c>
      <c r="AI9" s="1" t="str">
        <f aca="false">IF($A9="","",IF(AF9&gt;AH9,"超限","合规"))</f>
        <v>合规</v>
      </c>
      <c r="AJ9" s="1" t="n">
        <f aca="false">IF($A9="","",IFERROR(AF9/INDEX(账户总表!$O:$O,COUNTA(账户总表!$A:$A)),0))</f>
        <v>1845.71428571429</v>
      </c>
      <c r="AK9" s="1" t="n">
        <f aca="false">IF($A9="","",IFERROR(MAX(0,AJ9-INDEX(账户总表!$B:$B,COUNTA(账户总表!$A:$A)),AF9-INDEX(账户总表!$C:$C,COUNTA(账户总表!$A:$A))),0))</f>
        <v>0</v>
      </c>
      <c r="AL9" s="1" t="str">
        <f aca="false">IF($A9="","",IF(COUNTIF(持仓表!$C$2:$C$201,C9)&gt;0,"已有","新标的"))</f>
        <v>新标的</v>
      </c>
      <c r="AM9" s="1" t="n">
        <f aca="false">IF($A9="","",IFERROR(SUMIFS(持仓表!$N$2:$N$201,持仓表!$C$2:$C$201,C9,持仓表!$A$2:$A$201,$A9),0))</f>
        <v>0</v>
      </c>
      <c r="AN9" s="1" t="n">
        <f aca="false">IF($A9="","",IFERROR(AM9+AF9/INDEX(账户总表!$B:$B,COUNTA(账户总表!$A:$A)),0))</f>
        <v>0.0309946301563358</v>
      </c>
      <c r="AO9" s="1" t="str">
        <f aca="false">IF($A9="","",IF(AN9&gt;INDEX(账户总表!$O:$O,COUNTA(账户总表!$A:$A)),"超限","合规"))</f>
        <v>合规</v>
      </c>
      <c r="AP9" s="1" t="str">
        <f aca="false">IF($A9="","",IF(AND(AL9="新标的",INDEX(账户总表!$R:$R,COUNTA(账户总表!$A:$A))&gt;=INDEX(账户总表!$S:$S,COUNTA(账户总表!$A:$A))),"新增受限","可通过"))</f>
        <v>新增受限</v>
      </c>
      <c r="AQ9" s="1" t="str">
        <f aca="false">IF($A9="","",IF(K9&lt;&gt;"核心池","非核心池",IF(OR(AI9="超限",AO9="超限",AP9="新增受限"),"不可加仓","可加仓")))</f>
        <v>不可加仓</v>
      </c>
      <c r="AR9" s="1" t="str">
        <f aca="false">IF($A9="","",TRIM(IF(AI9="超限","1手超单股上限；","")&amp;IF(AO9="超限","买后仓位超限；","")&amp;IF(AP9="新增受限","有效持仓数超限；","")&amp;IF(AF9&gt;INDEX(账户总表!$C:$C,COUNTA(账户总表!$A:$A)),"现金不足；","")))</f>
        <v>有效持仓数超限；</v>
      </c>
      <c r="AS9" s="1" t="n">
        <f aca="false">IF($A9="","",IFERROR(INDEX(候选池历史!$L:$L,MATCH(1,(候选池历史!$B:$B=C9)*(候选池历史!$A:$A=$A9),0)),0))</f>
        <v>1</v>
      </c>
      <c r="AT9" s="1" t="str">
        <f aca="false">IF($A9="","",IF(AS9&gt;=3,"★信号强化",IF(K9="核心池","核心观察","")))</f>
        <v>核心观察</v>
      </c>
      <c r="AU9" s="1" t="str">
        <f aca="false">IF($A9="","",IF(AK9&gt;30000-INDEX(账户总表!$B:$B,COUNTA(账户总表!$A:$A)),"不适合婴儿阶段","可纳入幼儿路径"))</f>
        <v>可纳入幼儿路径</v>
      </c>
    </row>
    <row r="10" customFormat="false" ht="15" hidden="false" customHeight="true" outlineLevel="0" collapsed="false">
      <c r="A10" s="37" t="n">
        <v>46229</v>
      </c>
      <c r="B10" s="38" t="s">
        <v>416</v>
      </c>
      <c r="C10" s="39" t="s">
        <v>417</v>
      </c>
      <c r="D10" s="40" t="n">
        <v>8.24</v>
      </c>
      <c r="E10" s="40" t="n">
        <v>8.24</v>
      </c>
      <c r="F10" s="40" t="n">
        <v>7.83</v>
      </c>
      <c r="G10" s="41" t="n">
        <v>0.121339732883122</v>
      </c>
      <c r="H10" s="39" t="n">
        <v>0.916751649432289</v>
      </c>
      <c r="I10" s="39" t="s">
        <v>155</v>
      </c>
      <c r="J10" s="38" t="s">
        <v>400</v>
      </c>
      <c r="K10" s="42" t="str">
        <f aca="false">IF($A10="","",IF(AND(G10&lt;20%,H10&gt;0.9),"核心池",IF(AND(H10&gt;=0.85),"观察池",IF(AND(H10&gt;=0.8),"边缘池",""))))</f>
        <v>核心池</v>
      </c>
      <c r="L10" s="43" t="str">
        <f aca="false">IF($A10="","",IF(AND(G10&lt;60%,H10&gt;0.8,I10="True"),"是","否"))</f>
        <v>是</v>
      </c>
      <c r="M10" s="43" t="str">
        <f aca="false">IF($A10="","",IF(AND(D10&gt;0,E10&gt;0,D10&lt;=E10*1.02),"是","否"))</f>
        <v>是</v>
      </c>
      <c r="N10" s="44" t="n">
        <f aca="false">IFERROR(INDEX(账户总表!$O:$O,COUNTA(账户总表!$A:$A)),0)</f>
        <v>0.35</v>
      </c>
      <c r="O10" s="45" t="n">
        <f aca="false">IFERROR(INDEX(账户总表!$B:$B,COUNTA(账户总表!$A:$A))*N10,0)</f>
        <v>7294.812</v>
      </c>
      <c r="P10" s="46" t="n">
        <f aca="false">IFERROR(O10/D10,0)</f>
        <v>885.292718446602</v>
      </c>
      <c r="Q10" s="46" t="n">
        <f aca="false">IFERROR(FLOOR(P10,100),0)</f>
        <v>800</v>
      </c>
      <c r="R10" s="46" t="n">
        <f aca="false">IFERROR(CEILING(800/(100*D10),1)*100,0)</f>
        <v>100</v>
      </c>
      <c r="S10" s="47"/>
      <c r="T10" s="45" t="n">
        <f aca="false">IFERROR(S10*D10,0)</f>
        <v>0</v>
      </c>
      <c r="U10" s="44" t="n">
        <f aca="false">IFERROR(T10/INDEX(账户总表!$B:$B,COUNTA(账户总表!$A:$A)),0)</f>
        <v>0</v>
      </c>
      <c r="V10" s="44" t="n">
        <f aca="false">IFERROR(INDEX(账户总表!$E:$E,COUNTA(账户总表!$A:$A))+U10,0)</f>
        <v>0.407056412146057</v>
      </c>
      <c r="W10" s="43" t="str">
        <f aca="false">IF($A10="","",IFERROR(IF(V10&lt;=INDEX(账户总表!$N:$N,COUNTA(账户总表!$A:$A)),"是","否"),"否"))</f>
        <v>否</v>
      </c>
      <c r="X10" s="45" t="n">
        <f aca="false">IF($A10="","",MAX(F10*0.98,D10*0.92))</f>
        <v>7.6734</v>
      </c>
      <c r="Y10" s="39"/>
      <c r="Z10" s="43" t="str">
        <f aca="false">IF($A10="","",IFERROR(IF(AND(T10&gt;INDEX(账户总表!$C:$C,COUNTA(账户总表!$A:$A)),L10="是"),"是","否"),"否"))</f>
        <v>否</v>
      </c>
      <c r="AA10" s="45" t="n">
        <f aca="false">IF($A10="","",IFERROR(IF(Z10="是",MAX(0,T10-INDEX(账户总表!$C:$C,COUNTA(账户总表!$A:$A)),IF(N10&gt;0,T10/N10-INDEX(账户总表!$B:$B,COUNTA(账户总表!$A:$A)),0)),0),0))</f>
        <v>0</v>
      </c>
      <c r="AB10" s="45" t="n">
        <f aca="false">IF($A10="","",IF(AND(Z10="是",INDEX(账户总表!$U:$U,COUNTA(账户总表!$A:$A))="是"),IF(INDEX(账户总表!$L:$L,COUNTA(账户总表!$A:$A))&gt;=4,AA10*1.5,AA10),0))</f>
        <v>0</v>
      </c>
      <c r="AC10" s="43" t="str">
        <f aca="false">IF($A10="","",IF(AND(L10="是",Q10&gt;=R10,S10&lt;=Q10,S10&gt;=R10,W10="是",X10&gt;0,M10="是",INDEX(账户总表!$M:$M,COUNTA(账户总表!$A:$A))&lt;=2,INDEX(账户总表!$V:$V,COUNTA(账户总表!$A:$A))="是",OR(T10&lt;=INDEX(账户总表!$C:$C,COUNTA(账户总表!$A:$A)),AND(Z10="是",INDEX(账户总表!$U:$U,COUNTA(账户总表!$A:$A))="是",AB10&gt;0))),"是","否"))</f>
        <v>否</v>
      </c>
      <c r="AD10" s="43" t="str">
        <f aca="false">IF($A10="","",IF(L10&lt;&gt;"是","信号未确认",IF(X10&lt;=0,"止损价未定义",IF(Q10&lt;R10,"100股约束不满足",IF(S10&gt;Q10,"计划股数超单股上限",IF(S10&lt;R10,"计划股数低于最小门槛",IF(W10&lt;&gt;"是","总仓位超限",IF(M10&lt;&gt;"是","追价",IF(INDEX(账户总表!$M:$M,COUNTA(账户总表!$A:$A))&gt;2,"亏钱效应偏高",IF(INDEX(账户总表!$V:$V,COUNTA(账户总表!$A:$A))&lt;&gt;"是","账户不允许新开仓",IF(AND(T10&gt;INDEX(账户总表!$C:$C,COUNTA(账户总表!$A:$A)),INDEX(账户总表!$U:$U,COUNTA(账户总表!$A:$A))&lt;&gt;"是"),"现金不足且不允许转入",IF(AND(Z10="是",AB10&lt;=0),"转入金额未满足",""))))))))))))</f>
        <v>计划股数低于最小门槛</v>
      </c>
      <c r="AE10" s="38"/>
      <c r="AF10" s="1" t="n">
        <f aca="false">IF($A10="","",D10*100)</f>
        <v>824</v>
      </c>
      <c r="AG10" s="1" t="n">
        <f aca="false">IF($A10="","",IFERROR(AF10/INDEX(账户总表!$B:$B,COUNTA(账户总表!$A:$A)),0))</f>
        <v>0.0395349462056048</v>
      </c>
      <c r="AH10" s="1" t="n">
        <f aca="false">IF($A10="","",IFERROR(INDEX(账户总表!$B:$B,COUNTA(账户总表!$A:$A))*INDEX(账户总表!$O:$O,COUNTA(账户总表!$A:$A)),0))</f>
        <v>7294.812</v>
      </c>
      <c r="AI10" s="1" t="str">
        <f aca="false">IF($A10="","",IF(AF10&gt;AH10,"超限","合规"))</f>
        <v>合规</v>
      </c>
      <c r="AJ10" s="1" t="n">
        <f aca="false">IF($A10="","",IFERROR(AF10/INDEX(账户总表!$O:$O,COUNTA(账户总表!$A:$A)),0))</f>
        <v>2354.28571428571</v>
      </c>
      <c r="AK10" s="1" t="n">
        <f aca="false">IF($A10="","",IFERROR(MAX(0,AJ10-INDEX(账户总表!$B:$B,COUNTA(账户总表!$A:$A)),AF10-INDEX(账户总表!$C:$C,COUNTA(账户总表!$A:$A))),0))</f>
        <v>0</v>
      </c>
      <c r="AL10" s="1" t="str">
        <f aca="false">IF($A10="","",IF(COUNTIF(持仓表!$C$2:$C$201,C10)&gt;0,"已有","新标的"))</f>
        <v>新标的</v>
      </c>
      <c r="AM10" s="1" t="n">
        <f aca="false">IF($A10="","",IFERROR(SUMIFS(持仓表!$N$2:$N$201,持仓表!$C$2:$C$201,C10,持仓表!$A$2:$A$201,$A10),0))</f>
        <v>0</v>
      </c>
      <c r="AN10" s="1" t="n">
        <f aca="false">IF($A10="","",IFERROR(AM10+AF10/INDEX(账户总表!$B:$B,COUNTA(账户总表!$A:$A)),0))</f>
        <v>0.0395349462056048</v>
      </c>
      <c r="AO10" s="1" t="str">
        <f aca="false">IF($A10="","",IF(AN10&gt;INDEX(账户总表!$O:$O,COUNTA(账户总表!$A:$A)),"超限","合规"))</f>
        <v>合规</v>
      </c>
      <c r="AP10" s="1" t="str">
        <f aca="false">IF($A10="","",IF(AND(AL10="新标的",INDEX(账户总表!$R:$R,COUNTA(账户总表!$A:$A))&gt;=INDEX(账户总表!$S:$S,COUNTA(账户总表!$A:$A))),"新增受限","可通过"))</f>
        <v>新增受限</v>
      </c>
      <c r="AQ10" s="1" t="str">
        <f aca="false">IF($A10="","",IF(K10&lt;&gt;"核心池","非核心池",IF(OR(AI10="超限",AO10="超限",AP10="新增受限"),"不可加仓","可加仓")))</f>
        <v>不可加仓</v>
      </c>
      <c r="AR10" s="1" t="str">
        <f aca="false">IF($A10="","",TRIM(IF(AI10="超限","1手超单股上限；","")&amp;IF(AO10="超限","买后仓位超限；","")&amp;IF(AP10="新增受限","有效持仓数超限；","")&amp;IF(AF10&gt;INDEX(账户总表!$C:$C,COUNTA(账户总表!$A:$A)),"现金不足；","")))</f>
        <v>有效持仓数超限；</v>
      </c>
      <c r="AS10" s="1" t="n">
        <f aca="false">IF($A10="","",IFERROR(INDEX(候选池历史!$L:$L,MATCH(1,(候选池历史!$B:$B=C10)*(候选池历史!$A:$A=$A10),0)),0))</f>
        <v>1</v>
      </c>
      <c r="AT10" s="1" t="str">
        <f aca="false">IF($A10="","",IF(AS10&gt;=3,"★信号强化",IF(K10="核心池","核心观察","")))</f>
        <v>核心观察</v>
      </c>
      <c r="AU10" s="1" t="str">
        <f aca="false">IF($A10="","",IF(AK10&gt;30000-INDEX(账户总表!$B:$B,COUNTA(账户总表!$A:$A)),"不适合婴儿阶段","可纳入幼儿路径"))</f>
        <v>可纳入幼儿路径</v>
      </c>
    </row>
    <row r="11" customFormat="false" ht="15" hidden="false" customHeight="true" outlineLevel="0" collapsed="false">
      <c r="A11" s="37" t="n">
        <v>46229</v>
      </c>
      <c r="B11" s="38" t="s">
        <v>418</v>
      </c>
      <c r="C11" s="39" t="s">
        <v>419</v>
      </c>
      <c r="D11" s="40" t="n">
        <v>21.5</v>
      </c>
      <c r="E11" s="40" t="n">
        <v>21.5</v>
      </c>
      <c r="F11" s="40" t="n">
        <v>20.43</v>
      </c>
      <c r="G11" s="41" t="n">
        <v>0.115884894387187</v>
      </c>
      <c r="H11" s="39" t="n">
        <v>0.916649957764473</v>
      </c>
      <c r="I11" s="39" t="s">
        <v>155</v>
      </c>
      <c r="J11" s="38" t="s">
        <v>400</v>
      </c>
      <c r="K11" s="42" t="str">
        <f aca="false">IF($A11="","",IF(AND(G11&lt;20%,H11&gt;0.9),"核心池",IF(AND(H11&gt;=0.85),"观察池",IF(AND(H11&gt;=0.8),"边缘池",""))))</f>
        <v>核心池</v>
      </c>
      <c r="L11" s="43" t="str">
        <f aca="false">IF($A11="","",IF(AND(G11&lt;60%,H11&gt;0.8,I11="True"),"是","否"))</f>
        <v>是</v>
      </c>
      <c r="M11" s="43" t="str">
        <f aca="false">IF($A11="","",IF(AND(D11&gt;0,E11&gt;0,D11&lt;=E11*1.02),"是","否"))</f>
        <v>是</v>
      </c>
      <c r="N11" s="44" t="n">
        <f aca="false">IFERROR(INDEX(账户总表!$O:$O,COUNTA(账户总表!$A:$A)),0)</f>
        <v>0.35</v>
      </c>
      <c r="O11" s="45" t="n">
        <f aca="false">IFERROR(INDEX(账户总表!$B:$B,COUNTA(账户总表!$A:$A))*N11,0)</f>
        <v>7294.812</v>
      </c>
      <c r="P11" s="46" t="n">
        <f aca="false">IFERROR(O11/D11,0)</f>
        <v>339.293581395349</v>
      </c>
      <c r="Q11" s="46" t="n">
        <f aca="false">IFERROR(FLOOR(P11,100),0)</f>
        <v>300</v>
      </c>
      <c r="R11" s="46" t="n">
        <f aca="false">IFERROR(CEILING(800/(100*D11),1)*100,0)</f>
        <v>100</v>
      </c>
      <c r="S11" s="47"/>
      <c r="T11" s="45" t="n">
        <f aca="false">IFERROR(S11*D11,0)</f>
        <v>0</v>
      </c>
      <c r="U11" s="44" t="n">
        <f aca="false">IFERROR(T11/INDEX(账户总表!$B:$B,COUNTA(账户总表!$A:$A)),0)</f>
        <v>0</v>
      </c>
      <c r="V11" s="44" t="n">
        <f aca="false">IFERROR(INDEX(账户总表!$E:$E,COUNTA(账户总表!$A:$A))+U11,0)</f>
        <v>0.407056412146057</v>
      </c>
      <c r="W11" s="43" t="str">
        <f aca="false">IF($A11="","",IFERROR(IF(V11&lt;=INDEX(账户总表!$N:$N,COUNTA(账户总表!$A:$A)),"是","否"),"否"))</f>
        <v>否</v>
      </c>
      <c r="X11" s="45" t="n">
        <f aca="false">IF($A11="","",MAX(F11*0.98,D11*0.92))</f>
        <v>20.0214</v>
      </c>
      <c r="Y11" s="39"/>
      <c r="Z11" s="43" t="str">
        <f aca="false">IF($A11="","",IFERROR(IF(AND(T11&gt;INDEX(账户总表!$C:$C,COUNTA(账户总表!$A:$A)),L11="是"),"是","否"),"否"))</f>
        <v>否</v>
      </c>
      <c r="AA11" s="45" t="n">
        <f aca="false">IF($A11="","",IFERROR(IF(Z11="是",MAX(0,T11-INDEX(账户总表!$C:$C,COUNTA(账户总表!$A:$A)),IF(N11&gt;0,T11/N11-INDEX(账户总表!$B:$B,COUNTA(账户总表!$A:$A)),0)),0),0))</f>
        <v>0</v>
      </c>
      <c r="AB11" s="45" t="n">
        <f aca="false">IF($A11="","",IF(AND(Z11="是",INDEX(账户总表!$U:$U,COUNTA(账户总表!$A:$A))="是"),IF(INDEX(账户总表!$L:$L,COUNTA(账户总表!$A:$A))&gt;=4,AA11*1.5,AA11),0))</f>
        <v>0</v>
      </c>
      <c r="AC11" s="43" t="str">
        <f aca="false">IF($A11="","",IF(AND(L11="是",Q11&gt;=R11,S11&lt;=Q11,S11&gt;=R11,W11="是",X11&gt;0,M11="是",INDEX(账户总表!$M:$M,COUNTA(账户总表!$A:$A))&lt;=2,INDEX(账户总表!$V:$V,COUNTA(账户总表!$A:$A))="是",OR(T11&lt;=INDEX(账户总表!$C:$C,COUNTA(账户总表!$A:$A)),AND(Z11="是",INDEX(账户总表!$U:$U,COUNTA(账户总表!$A:$A))="是",AB11&gt;0))),"是","否"))</f>
        <v>否</v>
      </c>
      <c r="AD11" s="43" t="str">
        <f aca="false"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COUNTA(账户总表!$A:$A))&gt;2,"亏钱效应偏高",IF(INDEX(账户总表!$V:$V,COUNTA(账户总表!$A:$A))&lt;&gt;"是","账户不允许新开仓",IF(AND(T11&gt;INDEX(账户总表!$C:$C,COUNTA(账户总表!$A:$A)),INDEX(账户总表!$U:$U,COUNTA(账户总表!$A:$A))&lt;&gt;"是"),"现金不足且不允许转入",IF(AND(Z11="是",AB11&lt;=0),"转入金额未满足",""))))))))))))</f>
        <v>计划股数低于最小门槛</v>
      </c>
      <c r="AE11" s="38"/>
      <c r="AF11" s="1" t="n">
        <f aca="false">IF($A11="","",D11*100)</f>
        <v>2150</v>
      </c>
      <c r="AG11" s="1" t="n">
        <f aca="false">IF($A11="","",IFERROR(AF11/INDEX(账户总表!$B:$B,COUNTA(账户总表!$A:$A)),0))</f>
        <v>0.103155502842294</v>
      </c>
      <c r="AH11" s="1" t="n">
        <f aca="false">IF($A11="","",IFERROR(INDEX(账户总表!$B:$B,COUNTA(账户总表!$A:$A))*INDEX(账户总表!$O:$O,COUNTA(账户总表!$A:$A)),0))</f>
        <v>7294.812</v>
      </c>
      <c r="AI11" s="1" t="str">
        <f aca="false">IF($A11="","",IF(AF11&gt;AH11,"超限","合规"))</f>
        <v>合规</v>
      </c>
      <c r="AJ11" s="1" t="n">
        <f aca="false">IF($A11="","",IFERROR(AF11/INDEX(账户总表!$O:$O,COUNTA(账户总表!$A:$A)),0))</f>
        <v>6142.85714285714</v>
      </c>
      <c r="AK11" s="1" t="n">
        <f aca="false">IF($A11="","",IFERROR(MAX(0,AJ11-INDEX(账户总表!$B:$B,COUNTA(账户总表!$A:$A)),AF11-INDEX(账户总表!$C:$C,COUNTA(账户总表!$A:$A))),0))</f>
        <v>0</v>
      </c>
      <c r="AL11" s="1" t="str">
        <f aca="false">IF($A11="","",IF(COUNTIF(持仓表!$C$2:$C$201,C11)&gt;0,"已有","新标的"))</f>
        <v>新标的</v>
      </c>
      <c r="AM11" s="1" t="n">
        <f aca="false">IF($A11="","",IFERROR(SUMIFS(持仓表!$N$2:$N$201,持仓表!$C$2:$C$201,C11,持仓表!$A$2:$A$201,$A11),0))</f>
        <v>0</v>
      </c>
      <c r="AN11" s="1" t="n">
        <f aca="false">IF($A11="","",IFERROR(AM11+AF11/INDEX(账户总表!$B:$B,COUNTA(账户总表!$A:$A)),0))</f>
        <v>0.103155502842294</v>
      </c>
      <c r="AO11" s="1" t="str">
        <f aca="false">IF($A11="","",IF(AN11&gt;INDEX(账户总表!$O:$O,COUNTA(账户总表!$A:$A)),"超限","合规"))</f>
        <v>合规</v>
      </c>
      <c r="AP11" s="1" t="str">
        <f aca="false">IF($A11="","",IF(AND(AL11="新标的",INDEX(账户总表!$R:$R,COUNTA(账户总表!$A:$A))&gt;=INDEX(账户总表!$S:$S,COUNTA(账户总表!$A:$A))),"新增受限","可通过"))</f>
        <v>新增受限</v>
      </c>
      <c r="AQ11" s="1" t="str">
        <f aca="false">IF($A11="","",IF(K11&lt;&gt;"核心池","非核心池",IF(OR(AI11="超限",AO11="超限",AP11="新增受限"),"不可加仓","可加仓")))</f>
        <v>不可加仓</v>
      </c>
      <c r="AR11" s="1" t="str">
        <f aca="false">IF($A11="","",TRIM(IF(AI11="超限","1手超单股上限；","")&amp;IF(AO11="超限","买后仓位超限；","")&amp;IF(AP11="新增受限","有效持仓数超限；","")&amp;IF(AF11&gt;INDEX(账户总表!$C:$C,COUNTA(账户总表!$A:$A)),"现金不足；","")))</f>
        <v>有效持仓数超限；</v>
      </c>
      <c r="AS11" s="1" t="n">
        <f aca="false">IF($A11="","",IFERROR(INDEX(候选池历史!$L:$L,MATCH(1,(候选池历史!$B:$B=C11)*(候选池历史!$A:$A=$A11),0)),0))</f>
        <v>1</v>
      </c>
      <c r="AT11" s="1" t="str">
        <f aca="false">IF($A11="","",IF(AS11&gt;=3,"★信号强化",IF(K11="核心池","核心观察","")))</f>
        <v>核心观察</v>
      </c>
      <c r="AU11" s="1" t="str">
        <f aca="false">IF($A11="","",IF(AK11&gt;30000-INDEX(账户总表!$B:$B,COUNTA(账户总表!$A:$A)),"不适合婴儿阶段","可纳入幼儿路径"))</f>
        <v>可纳入幼儿路径</v>
      </c>
    </row>
    <row r="12" customFormat="false" ht="15" hidden="false" customHeight="true" outlineLevel="0" collapsed="false">
      <c r="A12" s="37" t="n">
        <v>46229</v>
      </c>
      <c r="B12" s="38" t="s">
        <v>420</v>
      </c>
      <c r="C12" s="39" t="s">
        <v>421</v>
      </c>
      <c r="D12" s="40" t="n">
        <v>18.87</v>
      </c>
      <c r="E12" s="40" t="n">
        <v>18.87</v>
      </c>
      <c r="F12" s="40" t="n">
        <v>17.93</v>
      </c>
      <c r="G12" s="41" t="n">
        <v>0.121148586472636</v>
      </c>
      <c r="H12" s="39" t="n">
        <v>0.906724814708502</v>
      </c>
      <c r="I12" s="39" t="s">
        <v>155</v>
      </c>
      <c r="J12" s="38" t="s">
        <v>400</v>
      </c>
      <c r="K12" s="42" t="str">
        <f aca="false">IF($A12="","",IF(AND(G12&lt;20%,H12&gt;0.9),"核心池",IF(AND(H12&gt;=0.85),"观察池",IF(AND(H12&gt;=0.8),"边缘池",""))))</f>
        <v>核心池</v>
      </c>
      <c r="L12" s="43" t="str">
        <f aca="false">IF($A12="","",IF(AND(G12&lt;60%,H12&gt;0.8,I12="True"),"是","否"))</f>
        <v>是</v>
      </c>
      <c r="M12" s="43" t="str">
        <f aca="false">IF($A12="","",IF(AND(D12&gt;0,E12&gt;0,D12&lt;=E12*1.02),"是","否"))</f>
        <v>是</v>
      </c>
      <c r="N12" s="44" t="n">
        <f aca="false">IFERROR(INDEX(账户总表!$O:$O,COUNTA(账户总表!$A:$A)),0)</f>
        <v>0.35</v>
      </c>
      <c r="O12" s="45" t="n">
        <f aca="false">IFERROR(INDEX(账户总表!$B:$B,COUNTA(账户总表!$A:$A))*N12,0)</f>
        <v>7294.812</v>
      </c>
      <c r="P12" s="46" t="n">
        <f aca="false">IFERROR(O12/D12,0)</f>
        <v>386.582511923688</v>
      </c>
      <c r="Q12" s="46" t="n">
        <f aca="false">IFERROR(FLOOR(P12,100),0)</f>
        <v>300</v>
      </c>
      <c r="R12" s="46" t="n">
        <f aca="false">IFERROR(CEILING(800/(100*D12),1)*100,0)</f>
        <v>100</v>
      </c>
      <c r="S12" s="47"/>
      <c r="T12" s="45" t="n">
        <f aca="false">IFERROR(S12*D12,0)</f>
        <v>0</v>
      </c>
      <c r="U12" s="44" t="n">
        <f aca="false">IFERROR(T12/INDEX(账户总表!$B:$B,COUNTA(账户总表!$A:$A)),0)</f>
        <v>0</v>
      </c>
      <c r="V12" s="44" t="n">
        <f aca="false">IFERROR(INDEX(账户总表!$E:$E,COUNTA(账户总表!$A:$A))+U12,0)</f>
        <v>0.407056412146057</v>
      </c>
      <c r="W12" s="43" t="str">
        <f aca="false">IF($A12="","",IFERROR(IF(V12&lt;=INDEX(账户总表!$N:$N,COUNTA(账户总表!$A:$A)),"是","否"),"否"))</f>
        <v>否</v>
      </c>
      <c r="X12" s="45" t="n">
        <f aca="false">IF($A12="","",MAX(F12*0.98,D12*0.92))</f>
        <v>17.5714</v>
      </c>
      <c r="Y12" s="39"/>
      <c r="Z12" s="43" t="str">
        <f aca="false">IF($A12="","",IFERROR(IF(AND(T12&gt;INDEX(账户总表!$C:$C,COUNTA(账户总表!$A:$A)),L12="是"),"是","否"),"否"))</f>
        <v>否</v>
      </c>
      <c r="AA12" s="45" t="n">
        <f aca="false">IF($A12="","",IFERROR(IF(Z12="是",MAX(0,T12-INDEX(账户总表!$C:$C,COUNTA(账户总表!$A:$A)),IF(N12&gt;0,T12/N12-INDEX(账户总表!$B:$B,COUNTA(账户总表!$A:$A)),0)),0),0))</f>
        <v>0</v>
      </c>
      <c r="AB12" s="45" t="n">
        <f aca="false">IF($A12="","",IF(AND(Z12="是",INDEX(账户总表!$U:$U,COUNTA(账户总表!$A:$A))="是"),IF(INDEX(账户总表!$L:$L,COUNTA(账户总表!$A:$A))&gt;=4,AA12*1.5,AA12),0))</f>
        <v>0</v>
      </c>
      <c r="AC12" s="43" t="str">
        <f aca="false">IF($A12="","",IF(AND(L12="是",Q12&gt;=R12,S12&lt;=Q12,S12&gt;=R12,W12="是",X12&gt;0,M12="是",INDEX(账户总表!$M:$M,COUNTA(账户总表!$A:$A))&lt;=2,INDEX(账户总表!$V:$V,COUNTA(账户总表!$A:$A))="是",OR(T12&lt;=INDEX(账户总表!$C:$C,COUNTA(账户总表!$A:$A)),AND(Z12="是",INDEX(账户总表!$U:$U,COUNTA(账户总表!$A:$A))="是",AB12&gt;0))),"是","否"))</f>
        <v>否</v>
      </c>
      <c r="AD12" s="43" t="str">
        <f aca="false"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COUNTA(账户总表!$A:$A))&gt;2,"亏钱效应偏高",IF(INDEX(账户总表!$V:$V,COUNTA(账户总表!$A:$A))&lt;&gt;"是","账户不允许新开仓",IF(AND(T12&gt;INDEX(账户总表!$C:$C,COUNTA(账户总表!$A:$A)),INDEX(账户总表!$U:$U,COUNTA(账户总表!$A:$A))&lt;&gt;"是"),"现金不足且不允许转入",IF(AND(Z12="是",AB12&lt;=0),"转入金额未满足",""))))))))))))</f>
        <v>计划股数低于最小门槛</v>
      </c>
      <c r="AE12" s="38"/>
      <c r="AF12" s="1" t="n">
        <f aca="false">IF($A12="","",D12*100)</f>
        <v>1887</v>
      </c>
      <c r="AG12" s="1" t="n">
        <f aca="false">IF($A12="","",IFERROR(AF12/INDEX(账户总表!$B:$B,COUNTA(账户总表!$A:$A)),0))</f>
        <v>0.0905369459829808</v>
      </c>
      <c r="AH12" s="1" t="n">
        <f aca="false">IF($A12="","",IFERROR(INDEX(账户总表!$B:$B,COUNTA(账户总表!$A:$A))*INDEX(账户总表!$O:$O,COUNTA(账户总表!$A:$A)),0))</f>
        <v>7294.812</v>
      </c>
      <c r="AI12" s="1" t="str">
        <f aca="false">IF($A12="","",IF(AF12&gt;AH12,"超限","合规"))</f>
        <v>合规</v>
      </c>
      <c r="AJ12" s="1" t="n">
        <f aca="false">IF($A12="","",IFERROR(AF12/INDEX(账户总表!$O:$O,COUNTA(账户总表!$A:$A)),0))</f>
        <v>5391.42857142857</v>
      </c>
      <c r="AK12" s="1" t="n">
        <f aca="false">IF($A12="","",IFERROR(MAX(0,AJ12-INDEX(账户总表!$B:$B,COUNTA(账户总表!$A:$A)),AF12-INDEX(账户总表!$C:$C,COUNTA(账户总表!$A:$A))),0))</f>
        <v>0</v>
      </c>
      <c r="AL12" s="1" t="str">
        <f aca="false">IF($A12="","",IF(COUNTIF(持仓表!$C$2:$C$201,C12)&gt;0,"已有","新标的"))</f>
        <v>新标的</v>
      </c>
      <c r="AM12" s="1" t="n">
        <f aca="false">IF($A12="","",IFERROR(SUMIFS(持仓表!$N$2:$N$201,持仓表!$C$2:$C$201,C12,持仓表!$A$2:$A$201,$A12),0))</f>
        <v>0</v>
      </c>
      <c r="AN12" s="1" t="n">
        <f aca="false">IF($A12="","",IFERROR(AM12+AF12/INDEX(账户总表!$B:$B,COUNTA(账户总表!$A:$A)),0))</f>
        <v>0.0905369459829808</v>
      </c>
      <c r="AO12" s="1" t="str">
        <f aca="false">IF($A12="","",IF(AN12&gt;INDEX(账户总表!$O:$O,COUNTA(账户总表!$A:$A)),"超限","合规"))</f>
        <v>合规</v>
      </c>
      <c r="AP12" s="1" t="str">
        <f aca="false">IF($A12="","",IF(AND(AL12="新标的",INDEX(账户总表!$R:$R,COUNTA(账户总表!$A:$A))&gt;=INDEX(账户总表!$S:$S,COUNTA(账户总表!$A:$A))),"新增受限","可通过"))</f>
        <v>新增受限</v>
      </c>
      <c r="AQ12" s="1" t="str">
        <f aca="false">IF($A12="","",IF(K12&lt;&gt;"核心池","非核心池",IF(OR(AI12="超限",AO12="超限",AP12="新增受限"),"不可加仓","可加仓")))</f>
        <v>不可加仓</v>
      </c>
      <c r="AR12" s="1" t="str">
        <f aca="false">IF($A12="","",TRIM(IF(AI12="超限","1手超单股上限；","")&amp;IF(AO12="超限","买后仓位超限；","")&amp;IF(AP12="新增受限","有效持仓数超限；","")&amp;IF(AF12&gt;INDEX(账户总表!$C:$C,COUNTA(账户总表!$A:$A)),"现金不足；","")))</f>
        <v>有效持仓数超限；</v>
      </c>
      <c r="AS12" s="1" t="n">
        <f aca="false">IF($A12="","",IFERROR(INDEX(候选池历史!$L:$L,MATCH(1,(候选池历史!$B:$B=C12)*(候选池历史!$A:$A=$A12),0)),0))</f>
        <v>1</v>
      </c>
      <c r="AT12" s="1" t="str">
        <f aca="false">IF($A12="","",IF(AS12&gt;=3,"★信号强化",IF(K12="核心池","核心观察","")))</f>
        <v>核心观察</v>
      </c>
      <c r="AU12" s="1" t="str">
        <f aca="false">IF($A12="","",IF(AK12&gt;30000-INDEX(账户总表!$B:$B,COUNTA(账户总表!$A:$A)),"不适合婴儿阶段","可纳入幼儿路径"))</f>
        <v>可纳入幼儿路径</v>
      </c>
    </row>
    <row r="13" customFormat="false" ht="15" hidden="false" customHeight="true" outlineLevel="0" collapsed="false">
      <c r="A13" s="48" t="n">
        <v>46229</v>
      </c>
      <c r="B13" s="49" t="s">
        <v>422</v>
      </c>
      <c r="C13" s="50" t="s">
        <v>423</v>
      </c>
      <c r="D13" s="51" t="n">
        <v>5.03</v>
      </c>
      <c r="E13" s="51" t="n">
        <v>5.03</v>
      </c>
      <c r="F13" s="51" t="n">
        <v>4.78</v>
      </c>
      <c r="G13" s="52" t="n">
        <v>0.230295547470064</v>
      </c>
      <c r="H13" s="50" t="n">
        <v>0.966349594345001</v>
      </c>
      <c r="I13" s="50" t="s">
        <v>155</v>
      </c>
      <c r="J13" s="49" t="s">
        <v>400</v>
      </c>
      <c r="K13" s="53" t="str">
        <f aca="false">IF($A13="","",IF(AND(G13&lt;20%,H13&gt;0.9),"核心池",IF(AND(H13&gt;=0.85),"观察池",IF(AND(H13&gt;=0.8),"边缘池",""))))</f>
        <v>观察池</v>
      </c>
      <c r="L13" s="54" t="str">
        <f aca="false">IF($A13="","",IF(AND(G13&lt;60%,H13&gt;0.8,I13="True"),"是","否"))</f>
        <v>是</v>
      </c>
      <c r="M13" s="54" t="str">
        <f aca="false">IF($A13="","",IF(AND(D13&gt;0,E13&gt;0,D13&lt;=E13*1.02),"是","否"))</f>
        <v>是</v>
      </c>
      <c r="N13" s="55" t="n">
        <f aca="false">IFERROR(INDEX(账户总表!$O:$O,COUNTA(账户总表!$A:$A)),0)</f>
        <v>0.35</v>
      </c>
      <c r="O13" s="56" t="n">
        <f aca="false">IFERROR(INDEX(账户总表!$B:$B,COUNTA(账户总表!$A:$A))*N13,0)</f>
        <v>7294.812</v>
      </c>
      <c r="P13" s="57" t="n">
        <f aca="false">IFERROR(O13/D13,0)</f>
        <v>1450.26083499006</v>
      </c>
      <c r="Q13" s="57" t="n">
        <f aca="false">IFERROR(FLOOR(P13,100),0)</f>
        <v>1400</v>
      </c>
      <c r="R13" s="57" t="n">
        <f aca="false">IFERROR(CEILING(800/(100*D13),1)*100,0)</f>
        <v>200</v>
      </c>
      <c r="S13" s="58"/>
      <c r="T13" s="56" t="n">
        <f aca="false">IFERROR(S13*D13,0)</f>
        <v>0</v>
      </c>
      <c r="U13" s="55" t="n">
        <f aca="false">IFERROR(T13/INDEX(账户总表!$B:$B,COUNTA(账户总表!$A:$A)),0)</f>
        <v>0</v>
      </c>
      <c r="V13" s="55" t="n">
        <f aca="false">IFERROR(INDEX(账户总表!$E:$E,COUNTA(账户总表!$A:$A))+U13,0)</f>
        <v>0.407056412146057</v>
      </c>
      <c r="W13" s="54" t="str">
        <f aca="false">IF($A13="","",IFERROR(IF(V13&lt;=INDEX(账户总表!$N:$N,COUNTA(账户总表!$A:$A)),"是","否"),"否"))</f>
        <v>否</v>
      </c>
      <c r="X13" s="56" t="n">
        <f aca="false">IF($A13="","",MAX(F13*0.98,D13*0.92))</f>
        <v>4.6844</v>
      </c>
      <c r="Y13" s="50"/>
      <c r="Z13" s="54" t="str">
        <f aca="false">IF($A13="","",IFERROR(IF(AND(T13&gt;INDEX(账户总表!$C:$C,COUNTA(账户总表!$A:$A)),L13="是"),"是","否"),"否"))</f>
        <v>否</v>
      </c>
      <c r="AA13" s="56" t="n">
        <f aca="false">IF($A13="","",IFERROR(IF(Z13="是",MAX(0,T13-INDEX(账户总表!$C:$C,COUNTA(账户总表!$A:$A)),IF(N13&gt;0,T13/N13-INDEX(账户总表!$B:$B,COUNTA(账户总表!$A:$A)),0)),0),0))</f>
        <v>0</v>
      </c>
      <c r="AB13" s="56" t="n">
        <f aca="false">IF($A13="","",IF(AND(Z13="是",INDEX(账户总表!$U:$U,COUNTA(账户总表!$A:$A))="是"),IF(INDEX(账户总表!$L:$L,COUNTA(账户总表!$A:$A))&gt;=4,AA13*1.5,AA13),0))</f>
        <v>0</v>
      </c>
      <c r="AC13" s="54" t="str">
        <f aca="false">IF($A13="","",IF(AND(L13="是",Q13&gt;=R13,S13&lt;=Q13,S13&gt;=R13,W13="是",X13&gt;0,M13="是",INDEX(账户总表!$M:$M,COUNTA(账户总表!$A:$A))&lt;=2,INDEX(账户总表!$V:$V,COUNTA(账户总表!$A:$A))="是",OR(T13&lt;=INDEX(账户总表!$C:$C,COUNTA(账户总表!$A:$A)),AND(Z13="是",INDEX(账户总表!$U:$U,COUNTA(账户总表!$A:$A))="是",AB13&gt;0))),"是","否"))</f>
        <v>否</v>
      </c>
      <c r="AD13" s="54" t="str">
        <f aca="false">IF($A13="","",IF(L13&lt;&gt;"是","信号未确认",IF(X13&lt;=0,"止损价未定义",IF(Q13&lt;R13,"100股约束不满足",IF(S13&gt;Q13,"计划股数超单股上限",IF(S13&lt;R13,"计划股数低于最小门槛",IF(W13&lt;&gt;"是","总仓位超限",IF(M13&lt;&gt;"是","追价",IF(INDEX(账户总表!$M:$M,COUNTA(账户总表!$A:$A))&gt;2,"亏钱效应偏高",IF(INDEX(账户总表!$V:$V,COUNTA(账户总表!$A:$A))&lt;&gt;"是","账户不允许新开仓",IF(AND(T13&gt;INDEX(账户总表!$C:$C,COUNTA(账户总表!$A:$A)),INDEX(账户总表!$U:$U,COUNTA(账户总表!$A:$A))&lt;&gt;"是"),"现金不足且不允许转入",IF(AND(Z13="是",AB13&lt;=0),"转入金额未满足",""))))))))))))</f>
        <v>计划股数低于最小门槛</v>
      </c>
      <c r="AE13" s="49"/>
      <c r="AF13" s="1" t="n">
        <f aca="false">IF($A13="","",D13*100)</f>
        <v>503</v>
      </c>
      <c r="AG13" s="1" t="n">
        <f aca="false">IF($A13="","",IFERROR(AF13/INDEX(账户总表!$B:$B,COUNTA(账户总表!$A:$A)),0))</f>
        <v>0.024133589734732</v>
      </c>
      <c r="AH13" s="1" t="n">
        <f aca="false">IF($A13="","",IFERROR(INDEX(账户总表!$B:$B,COUNTA(账户总表!$A:$A))*INDEX(账户总表!$O:$O,COUNTA(账户总表!$A:$A)),0))</f>
        <v>7294.812</v>
      </c>
      <c r="AI13" s="1" t="str">
        <f aca="false">IF($A13="","",IF(AF13&gt;AH13,"超限","合规"))</f>
        <v>合规</v>
      </c>
      <c r="AJ13" s="1" t="n">
        <f aca="false">IF($A13="","",IFERROR(AF13/INDEX(账户总表!$O:$O,COUNTA(账户总表!$A:$A)),0))</f>
        <v>1437.14285714286</v>
      </c>
      <c r="AK13" s="1" t="n">
        <f aca="false">IF($A13="","",IFERROR(MAX(0,AJ13-INDEX(账户总表!$B:$B,COUNTA(账户总表!$A:$A)),AF13-INDEX(账户总表!$C:$C,COUNTA(账户总表!$A:$A))),0))</f>
        <v>0</v>
      </c>
      <c r="AL13" s="1" t="str">
        <f aca="false">IF($A13="","",IF(COUNTIF(持仓表!$C$2:$C$201,C13)&gt;0,"已有","新标的"))</f>
        <v>新标的</v>
      </c>
      <c r="AM13" s="1" t="n">
        <f aca="false">IF($A13="","",IFERROR(SUMIFS(持仓表!$N$2:$N$201,持仓表!$C$2:$C$201,C13,持仓表!$A$2:$A$201,$A13),0))</f>
        <v>0</v>
      </c>
      <c r="AN13" s="1" t="n">
        <f aca="false">IF($A13="","",IFERROR(AM13+AF13/INDEX(账户总表!$B:$B,COUNTA(账户总表!$A:$A)),0))</f>
        <v>0.024133589734732</v>
      </c>
      <c r="AO13" s="1" t="str">
        <f aca="false">IF($A13="","",IF(AN13&gt;INDEX(账户总表!$O:$O,COUNTA(账户总表!$A:$A)),"超限","合规"))</f>
        <v>合规</v>
      </c>
      <c r="AP13" s="1" t="str">
        <f aca="false">IF($A13="","",IF(AND(AL13="新标的",INDEX(账户总表!$R:$R,COUNTA(账户总表!$A:$A))&gt;=INDEX(账户总表!$S:$S,COUNTA(账户总表!$A:$A))),"新增受限","可通过"))</f>
        <v>新增受限</v>
      </c>
      <c r="AQ13" s="1" t="str">
        <f aca="false">IF($A13="","",IF(K13&lt;&gt;"核心池","非核心池",IF(OR(AI13="超限",AO13="超限",AP13="新增受限"),"不可加仓","可加仓")))</f>
        <v>非核心池</v>
      </c>
      <c r="AR13" s="1" t="str">
        <f aca="false">IF($A13="","",TRIM(IF(AI13="超限","1手超单股上限；","")&amp;IF(AO13="超限","买后仓位超限；","")&amp;IF(AP13="新增受限","有效持仓数超限；","")&amp;IF(AF13&gt;INDEX(账户总表!$C:$C,COUNTA(账户总表!$A:$A)),"现金不足；","")))</f>
        <v>有效持仓数超限；</v>
      </c>
      <c r="AS13" s="1" t="n">
        <f aca="false">IF($A13="","",IFERROR(INDEX(候选池历史!$L:$L,MATCH(1,(候选池历史!$B:$B=C13)*(候选池历史!$A:$A=$A13),0)),0))</f>
        <v>0</v>
      </c>
      <c r="AT13" s="1" t="str">
        <f aca="false">IF($A13="","",IF(AS13&gt;=3,"★信号强化",IF(K13="核心池","核心观察","")))</f>
        <v/>
      </c>
      <c r="AU13" s="1" t="str">
        <f aca="false">IF($A13="","",IF(AK13&gt;30000-INDEX(账户总表!$B:$B,COUNTA(账户总表!$A:$A)),"不适合婴儿阶段","可纳入幼儿路径"))</f>
        <v>可纳入幼儿路径</v>
      </c>
    </row>
    <row r="14" customFormat="false" ht="15" hidden="false" customHeight="true" outlineLevel="0" collapsed="false">
      <c r="A14" s="48" t="n">
        <v>46229</v>
      </c>
      <c r="B14" s="49" t="s">
        <v>424</v>
      </c>
      <c r="C14" s="50" t="s">
        <v>425</v>
      </c>
      <c r="D14" s="51" t="n">
        <v>5.43</v>
      </c>
      <c r="E14" s="51" t="n">
        <v>5.43</v>
      </c>
      <c r="F14" s="51" t="n">
        <v>5.16</v>
      </c>
      <c r="G14" s="52" t="n">
        <v>0.264315091191391</v>
      </c>
      <c r="H14" s="50" t="n">
        <v>0.946183041529521</v>
      </c>
      <c r="I14" s="50" t="s">
        <v>155</v>
      </c>
      <c r="J14" s="49" t="s">
        <v>400</v>
      </c>
      <c r="K14" s="53" t="str">
        <f aca="false">IF($A14="","",IF(AND(G14&lt;20%,H14&gt;0.9),"核心池",IF(AND(H14&gt;=0.85),"观察池",IF(AND(H14&gt;=0.8),"边缘池",""))))</f>
        <v>观察池</v>
      </c>
      <c r="L14" s="54" t="str">
        <f aca="false">IF($A14="","",IF(AND(G14&lt;60%,H14&gt;0.8,I14="True"),"是","否"))</f>
        <v>是</v>
      </c>
      <c r="M14" s="54" t="str">
        <f aca="false">IF($A14="","",IF(AND(D14&gt;0,E14&gt;0,D14&lt;=E14*1.02),"是","否"))</f>
        <v>是</v>
      </c>
      <c r="N14" s="55" t="n">
        <f aca="false">IFERROR(INDEX(账户总表!$O:$O,COUNTA(账户总表!$A:$A)),0)</f>
        <v>0.35</v>
      </c>
      <c r="O14" s="56" t="n">
        <f aca="false">IFERROR(INDEX(账户总表!$B:$B,COUNTA(账户总表!$A:$A))*N14,0)</f>
        <v>7294.812</v>
      </c>
      <c r="P14" s="57" t="n">
        <f aca="false">IFERROR(O14/D14,0)</f>
        <v>1343.42762430939</v>
      </c>
      <c r="Q14" s="57" t="n">
        <f aca="false">IFERROR(FLOOR(P14,100),0)</f>
        <v>1300</v>
      </c>
      <c r="R14" s="57" t="n">
        <f aca="false">IFERROR(CEILING(800/(100*D14),1)*100,0)</f>
        <v>200</v>
      </c>
      <c r="S14" s="58"/>
      <c r="T14" s="56" t="n">
        <f aca="false">IFERROR(S14*D14,0)</f>
        <v>0</v>
      </c>
      <c r="U14" s="55" t="n">
        <f aca="false">IFERROR(T14/INDEX(账户总表!$B:$B,COUNTA(账户总表!$A:$A)),0)</f>
        <v>0</v>
      </c>
      <c r="V14" s="55" t="n">
        <f aca="false">IFERROR(INDEX(账户总表!$E:$E,COUNTA(账户总表!$A:$A))+U14,0)</f>
        <v>0.407056412146057</v>
      </c>
      <c r="W14" s="54" t="str">
        <f aca="false">IF($A14="","",IFERROR(IF(V14&lt;=INDEX(账户总表!$N:$N,COUNTA(账户总表!$A:$A)),"是","否"),"否"))</f>
        <v>否</v>
      </c>
      <c r="X14" s="56" t="n">
        <f aca="false">IF($A14="","",MAX(F14*0.98,D14*0.92))</f>
        <v>5.0568</v>
      </c>
      <c r="Y14" s="50"/>
      <c r="Z14" s="54" t="str">
        <f aca="false">IF($A14="","",IFERROR(IF(AND(T14&gt;INDEX(账户总表!$C:$C,COUNTA(账户总表!$A:$A)),L14="是"),"是","否"),"否"))</f>
        <v>否</v>
      </c>
      <c r="AA14" s="56" t="n">
        <f aca="false">IF($A14="","",IFERROR(IF(Z14="是",MAX(0,T14-INDEX(账户总表!$C:$C,COUNTA(账户总表!$A:$A)),IF(N14&gt;0,T14/N14-INDEX(账户总表!$B:$B,COUNTA(账户总表!$A:$A)),0)),0),0))</f>
        <v>0</v>
      </c>
      <c r="AB14" s="56" t="n">
        <f aca="false">IF($A14="","",IF(AND(Z14="是",INDEX(账户总表!$U:$U,COUNTA(账户总表!$A:$A))="是"),IF(INDEX(账户总表!$L:$L,COUNTA(账户总表!$A:$A))&gt;=4,AA14*1.5,AA14),0))</f>
        <v>0</v>
      </c>
      <c r="AC14" s="54" t="str">
        <f aca="false">IF($A14="","",IF(AND(L14="是",Q14&gt;=R14,S14&lt;=Q14,S14&gt;=R14,W14="是",X14&gt;0,M14="是",INDEX(账户总表!$M:$M,COUNTA(账户总表!$A:$A))&lt;=2,INDEX(账户总表!$V:$V,COUNTA(账户总表!$A:$A))="是",OR(T14&lt;=INDEX(账户总表!$C:$C,COUNTA(账户总表!$A:$A)),AND(Z14="是",INDEX(账户总表!$U:$U,COUNTA(账户总表!$A:$A))="是",AB14&gt;0))),"是","否"))</f>
        <v>否</v>
      </c>
      <c r="AD14" s="54" t="str">
        <f aca="false"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COUNTA(账户总表!$A:$A))&gt;2,"亏钱效应偏高",IF(INDEX(账户总表!$V:$V,COUNTA(账户总表!$A:$A))&lt;&gt;"是","账户不允许新开仓",IF(AND(T14&gt;INDEX(账户总表!$C:$C,COUNTA(账户总表!$A:$A)),INDEX(账户总表!$U:$U,COUNTA(账户总表!$A:$A))&lt;&gt;"是"),"现金不足且不允许转入",IF(AND(Z14="是",AB14&lt;=0),"转入金额未满足",""))))))))))))</f>
        <v>计划股数低于最小门槛</v>
      </c>
      <c r="AE14" s="49"/>
      <c r="AF14" s="1" t="n">
        <f aca="false">IF($A14="","",D14*100)</f>
        <v>543</v>
      </c>
      <c r="AG14" s="1" t="n">
        <f aca="false">IF($A14="","",IFERROR(AF14/INDEX(账户总表!$B:$B,COUNTA(账户总表!$A:$A)),0))</f>
        <v>0.0260527618806352</v>
      </c>
      <c r="AH14" s="1" t="n">
        <f aca="false">IF($A14="","",IFERROR(INDEX(账户总表!$B:$B,COUNTA(账户总表!$A:$A))*INDEX(账户总表!$O:$O,COUNTA(账户总表!$A:$A)),0))</f>
        <v>7294.812</v>
      </c>
      <c r="AI14" s="1" t="str">
        <f aca="false">IF($A14="","",IF(AF14&gt;AH14,"超限","合规"))</f>
        <v>合规</v>
      </c>
      <c r="AJ14" s="1" t="n">
        <f aca="false">IF($A14="","",IFERROR(AF14/INDEX(账户总表!$O:$O,COUNTA(账户总表!$A:$A)),0))</f>
        <v>1551.42857142857</v>
      </c>
      <c r="AK14" s="1" t="n">
        <f aca="false">IF($A14="","",IFERROR(MAX(0,AJ14-INDEX(账户总表!$B:$B,COUNTA(账户总表!$A:$A)),AF14-INDEX(账户总表!$C:$C,COUNTA(账户总表!$A:$A))),0))</f>
        <v>0</v>
      </c>
      <c r="AL14" s="1" t="str">
        <f aca="false">IF($A14="","",IF(COUNTIF(持仓表!$C$2:$C$201,C14)&gt;0,"已有","新标的"))</f>
        <v>新标的</v>
      </c>
      <c r="AM14" s="1" t="n">
        <f aca="false">IF($A14="","",IFERROR(SUMIFS(持仓表!$N$2:$N$201,持仓表!$C$2:$C$201,C14,持仓表!$A$2:$A$201,$A14),0))</f>
        <v>0</v>
      </c>
      <c r="AN14" s="1" t="n">
        <f aca="false">IF($A14="","",IFERROR(AM14+AF14/INDEX(账户总表!$B:$B,COUNTA(账户总表!$A:$A)),0))</f>
        <v>0.0260527618806352</v>
      </c>
      <c r="AO14" s="1" t="str">
        <f aca="false">IF($A14="","",IF(AN14&gt;INDEX(账户总表!$O:$O,COUNTA(账户总表!$A:$A)),"超限","合规"))</f>
        <v>合规</v>
      </c>
      <c r="AP14" s="1" t="str">
        <f aca="false">IF($A14="","",IF(AND(AL14="新标的",INDEX(账户总表!$R:$R,COUNTA(账户总表!$A:$A))&gt;=INDEX(账户总表!$S:$S,COUNTA(账户总表!$A:$A))),"新增受限","可通过"))</f>
        <v>新增受限</v>
      </c>
      <c r="AQ14" s="1" t="str">
        <f aca="false">IF($A14="","",IF(K14&lt;&gt;"核心池","非核心池",IF(OR(AI14="超限",AO14="超限",AP14="新增受限"),"不可加仓","可加仓")))</f>
        <v>非核心池</v>
      </c>
      <c r="AR14" s="1" t="str">
        <f aca="false">IF($A14="","",TRIM(IF(AI14="超限","1手超单股上限；","")&amp;IF(AO14="超限","买后仓位超限；","")&amp;IF(AP14="新增受限","有效持仓数超限；","")&amp;IF(AF14&gt;INDEX(账户总表!$C:$C,COUNTA(账户总表!$A:$A)),"现金不足；","")))</f>
        <v>有效持仓数超限；</v>
      </c>
      <c r="AS14" s="1" t="n">
        <f aca="false">IF($A14="","",IFERROR(INDEX(候选池历史!$L:$L,MATCH(1,(候选池历史!$B:$B=C14)*(候选池历史!$A:$A=$A14),0)),0))</f>
        <v>0</v>
      </c>
      <c r="AT14" s="1" t="str">
        <f aca="false">IF($A14="","",IF(AS14&gt;=3,"★信号强化",IF(K14="核心池","核心观察","")))</f>
        <v/>
      </c>
      <c r="AU14" s="1" t="str">
        <f aca="false">IF($A14="","",IF(AK14&gt;30000-INDEX(账户总表!$B:$B,COUNTA(账户总表!$A:$A)),"不适合婴儿阶段","可纳入幼儿路径"))</f>
        <v>可纳入幼儿路径</v>
      </c>
    </row>
    <row r="15" customFormat="false" ht="15" hidden="false" customHeight="true" outlineLevel="0" collapsed="false">
      <c r="A15" s="48" t="n">
        <v>46229</v>
      </c>
      <c r="B15" s="49" t="s">
        <v>426</v>
      </c>
      <c r="C15" s="50" t="s">
        <v>427</v>
      </c>
      <c r="D15" s="51" t="n">
        <v>5.29</v>
      </c>
      <c r="E15" s="51" t="n">
        <v>5.29</v>
      </c>
      <c r="F15" s="51" t="n">
        <v>5.03</v>
      </c>
      <c r="G15" s="52" t="n">
        <v>0.294214346271889</v>
      </c>
      <c r="H15" s="50" t="n">
        <v>0.944844424311078</v>
      </c>
      <c r="I15" s="50" t="s">
        <v>155</v>
      </c>
      <c r="J15" s="49" t="s">
        <v>400</v>
      </c>
      <c r="K15" s="53" t="str">
        <f aca="false">IF($A15="","",IF(AND(G15&lt;20%,H15&gt;0.9),"核心池",IF(AND(H15&gt;=0.85),"观察池",IF(AND(H15&gt;=0.8),"边缘池",""))))</f>
        <v>观察池</v>
      </c>
      <c r="L15" s="54" t="str">
        <f aca="false">IF($A15="","",IF(AND(G15&lt;60%,H15&gt;0.8,I15="True"),"是","否"))</f>
        <v>是</v>
      </c>
      <c r="M15" s="54" t="str">
        <f aca="false">IF($A15="","",IF(AND(D15&gt;0,E15&gt;0,D15&lt;=E15*1.02),"是","否"))</f>
        <v>是</v>
      </c>
      <c r="N15" s="55" t="n">
        <f aca="false">IFERROR(INDEX(账户总表!$O:$O,COUNTA(账户总表!$A:$A)),0)</f>
        <v>0.35</v>
      </c>
      <c r="O15" s="56" t="n">
        <f aca="false">IFERROR(INDEX(账户总表!$B:$B,COUNTA(账户总表!$A:$A))*N15,0)</f>
        <v>7294.812</v>
      </c>
      <c r="P15" s="57" t="n">
        <f aca="false">IFERROR(O15/D15,0)</f>
        <v>1378.98147448015</v>
      </c>
      <c r="Q15" s="57" t="n">
        <f aca="false">IFERROR(FLOOR(P15,100),0)</f>
        <v>1300</v>
      </c>
      <c r="R15" s="57" t="n">
        <f aca="false">IFERROR(CEILING(800/(100*D15),1)*100,0)</f>
        <v>200</v>
      </c>
      <c r="S15" s="58"/>
      <c r="T15" s="56" t="n">
        <f aca="false">IFERROR(S15*D15,0)</f>
        <v>0</v>
      </c>
      <c r="U15" s="55" t="n">
        <f aca="false">IFERROR(T15/INDEX(账户总表!$B:$B,COUNTA(账户总表!$A:$A)),0)</f>
        <v>0</v>
      </c>
      <c r="V15" s="55" t="n">
        <f aca="false">IFERROR(INDEX(账户总表!$E:$E,COUNTA(账户总表!$A:$A))+U15,0)</f>
        <v>0.407056412146057</v>
      </c>
      <c r="W15" s="54" t="str">
        <f aca="false">IF($A15="","",IFERROR(IF(V15&lt;=INDEX(账户总表!$N:$N,COUNTA(账户总表!$A:$A)),"是","否"),"否"))</f>
        <v>否</v>
      </c>
      <c r="X15" s="56" t="n">
        <f aca="false">IF($A15="","",MAX(F15*0.98,D15*0.92))</f>
        <v>4.9294</v>
      </c>
      <c r="Y15" s="50"/>
      <c r="Z15" s="54" t="str">
        <f aca="false">IF($A15="","",IFERROR(IF(AND(T15&gt;INDEX(账户总表!$C:$C,COUNTA(账户总表!$A:$A)),L15="是"),"是","否"),"否"))</f>
        <v>否</v>
      </c>
      <c r="AA15" s="56" t="n">
        <f aca="false">IF($A15="","",IFERROR(IF(Z15="是",MAX(0,T15-INDEX(账户总表!$C:$C,COUNTA(账户总表!$A:$A)),IF(N15&gt;0,T15/N15-INDEX(账户总表!$B:$B,COUNTA(账户总表!$A:$A)),0)),0),0))</f>
        <v>0</v>
      </c>
      <c r="AB15" s="56" t="n">
        <f aca="false">IF($A15="","",IF(AND(Z15="是",INDEX(账户总表!$U:$U,COUNTA(账户总表!$A:$A))="是"),IF(INDEX(账户总表!$L:$L,COUNTA(账户总表!$A:$A))&gt;=4,AA15*1.5,AA15),0))</f>
        <v>0</v>
      </c>
      <c r="AC15" s="54" t="str">
        <f aca="false">IF($A15="","",IF(AND(L15="是",Q15&gt;=R15,S15&lt;=Q15,S15&gt;=R15,W15="是",X15&gt;0,M15="是",INDEX(账户总表!$M:$M,COUNTA(账户总表!$A:$A))&lt;=2,INDEX(账户总表!$V:$V,COUNTA(账户总表!$A:$A))="是",OR(T15&lt;=INDEX(账户总表!$C:$C,COUNTA(账户总表!$A:$A)),AND(Z15="是",INDEX(账户总表!$U:$U,COUNTA(账户总表!$A:$A))="是",AB15&gt;0))),"是","否"))</f>
        <v>否</v>
      </c>
      <c r="AD15" s="54" t="str">
        <f aca="false"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COUNTA(账户总表!$A:$A))&gt;2,"亏钱效应偏高",IF(INDEX(账户总表!$V:$V,COUNTA(账户总表!$A:$A))&lt;&gt;"是","账户不允许新开仓",IF(AND(T15&gt;INDEX(账户总表!$C:$C,COUNTA(账户总表!$A:$A)),INDEX(账户总表!$U:$U,COUNTA(账户总表!$A:$A))&lt;&gt;"是"),"现金不足且不允许转入",IF(AND(Z15="是",AB15&lt;=0),"转入金额未满足",""))))))))))))</f>
        <v>计划股数低于最小门槛</v>
      </c>
      <c r="AE15" s="49"/>
      <c r="AF15" s="1" t="n">
        <f aca="false">IF($A15="","",D15*100)</f>
        <v>529</v>
      </c>
      <c r="AG15" s="1" t="n">
        <f aca="false">IF($A15="","",IFERROR(AF15/INDEX(账户总表!$B:$B,COUNTA(账户总表!$A:$A)),0))</f>
        <v>0.0253810516295691</v>
      </c>
      <c r="AH15" s="1" t="n">
        <f aca="false">IF($A15="","",IFERROR(INDEX(账户总表!$B:$B,COUNTA(账户总表!$A:$A))*INDEX(账户总表!$O:$O,COUNTA(账户总表!$A:$A)),0))</f>
        <v>7294.812</v>
      </c>
      <c r="AI15" s="1" t="str">
        <f aca="false">IF($A15="","",IF(AF15&gt;AH15,"超限","合规"))</f>
        <v>合规</v>
      </c>
      <c r="AJ15" s="1" t="n">
        <f aca="false">IF($A15="","",IFERROR(AF15/INDEX(账户总表!$O:$O,COUNTA(账户总表!$A:$A)),0))</f>
        <v>1511.42857142857</v>
      </c>
      <c r="AK15" s="1" t="n">
        <f aca="false">IF($A15="","",IFERROR(MAX(0,AJ15-INDEX(账户总表!$B:$B,COUNTA(账户总表!$A:$A)),AF15-INDEX(账户总表!$C:$C,COUNTA(账户总表!$A:$A))),0))</f>
        <v>0</v>
      </c>
      <c r="AL15" s="1" t="str">
        <f aca="false">IF($A15="","",IF(COUNTIF(持仓表!$C$2:$C$201,C15)&gt;0,"已有","新标的"))</f>
        <v>新标的</v>
      </c>
      <c r="AM15" s="1" t="n">
        <f aca="false">IF($A15="","",IFERROR(SUMIFS(持仓表!$N$2:$N$201,持仓表!$C$2:$C$201,C15,持仓表!$A$2:$A$201,$A15),0))</f>
        <v>0</v>
      </c>
      <c r="AN15" s="1" t="n">
        <f aca="false">IF($A15="","",IFERROR(AM15+AF15/INDEX(账户总表!$B:$B,COUNTA(账户总表!$A:$A)),0))</f>
        <v>0.0253810516295691</v>
      </c>
      <c r="AO15" s="1" t="str">
        <f aca="false">IF($A15="","",IF(AN15&gt;INDEX(账户总表!$O:$O,COUNTA(账户总表!$A:$A)),"超限","合规"))</f>
        <v>合规</v>
      </c>
      <c r="AP15" s="1" t="str">
        <f aca="false">IF($A15="","",IF(AND(AL15="新标的",INDEX(账户总表!$R:$R,COUNTA(账户总表!$A:$A))&gt;=INDEX(账户总表!$S:$S,COUNTA(账户总表!$A:$A))),"新增受限","可通过"))</f>
        <v>新增受限</v>
      </c>
      <c r="AQ15" s="1" t="str">
        <f aca="false">IF($A15="","",IF(K15&lt;&gt;"核心池","非核心池",IF(OR(AI15="超限",AO15="超限",AP15="新增受限"),"不可加仓","可加仓")))</f>
        <v>非核心池</v>
      </c>
      <c r="AR15" s="1" t="str">
        <f aca="false">IF($A15="","",TRIM(IF(AI15="超限","1手超单股上限；","")&amp;IF(AO15="超限","买后仓位超限；","")&amp;IF(AP15="新增受限","有效持仓数超限；","")&amp;IF(AF15&gt;INDEX(账户总表!$C:$C,COUNTA(账户总表!$A:$A)),"现金不足；","")))</f>
        <v>有效持仓数超限；</v>
      </c>
      <c r="AS15" s="1" t="n">
        <f aca="false">IF($A15="","",IFERROR(INDEX(候选池历史!$L:$L,MATCH(1,(候选池历史!$B:$B=C15)*(候选池历史!$A:$A=$A15),0)),0))</f>
        <v>0</v>
      </c>
      <c r="AT15" s="1" t="str">
        <f aca="false">IF($A15="","",IF(AS15&gt;=3,"★信号强化",IF(K15="核心池","核心观察","")))</f>
        <v/>
      </c>
      <c r="AU15" s="1" t="str">
        <f aca="false">IF($A15="","",IF(AK15&gt;30000-INDEX(账户总表!$B:$B,COUNTA(账户总表!$A:$A)),"不适合婴儿阶段","可纳入幼儿路径"))</f>
        <v>可纳入幼儿路径</v>
      </c>
    </row>
    <row r="16" customFormat="false" ht="15" hidden="false" customHeight="true" outlineLevel="0" collapsed="false">
      <c r="A16" s="48" t="n">
        <v>46229</v>
      </c>
      <c r="B16" s="49" t="s">
        <v>428</v>
      </c>
      <c r="C16" s="50" t="s">
        <v>429</v>
      </c>
      <c r="D16" s="51" t="n">
        <v>10.12</v>
      </c>
      <c r="E16" s="51" t="n">
        <v>10.12</v>
      </c>
      <c r="F16" s="51" t="n">
        <v>9.61</v>
      </c>
      <c r="G16" s="52" t="n">
        <v>0.127084861361356</v>
      </c>
      <c r="H16" s="50" t="n">
        <v>0.899729521998906</v>
      </c>
      <c r="I16" s="50" t="s">
        <v>155</v>
      </c>
      <c r="J16" s="49" t="s">
        <v>400</v>
      </c>
      <c r="K16" s="53" t="str">
        <f aca="false">IF($A16="","",IF(AND(G16&lt;20%,H16&gt;0.9),"核心池",IF(AND(H16&gt;=0.85),"观察池",IF(AND(H16&gt;=0.8),"边缘池",""))))</f>
        <v>观察池</v>
      </c>
      <c r="L16" s="54" t="str">
        <f aca="false">IF($A16="","",IF(AND(G16&lt;60%,H16&gt;0.8,I16="True"),"是","否"))</f>
        <v>是</v>
      </c>
      <c r="M16" s="54" t="str">
        <f aca="false">IF($A16="","",IF(AND(D16&gt;0,E16&gt;0,D16&lt;=E16*1.02),"是","否"))</f>
        <v>是</v>
      </c>
      <c r="N16" s="55" t="n">
        <f aca="false">IFERROR(INDEX(账户总表!$O:$O,COUNTA(账户总表!$A:$A)),0)</f>
        <v>0.35</v>
      </c>
      <c r="O16" s="56" t="n">
        <f aca="false">IFERROR(INDEX(账户总表!$B:$B,COUNTA(账户总表!$A:$A))*N16,0)</f>
        <v>7294.812</v>
      </c>
      <c r="P16" s="57" t="n">
        <f aca="false">IFERROR(O16/D16,0)</f>
        <v>720.831225296443</v>
      </c>
      <c r="Q16" s="57" t="n">
        <f aca="false">IFERROR(FLOOR(P16,100),0)</f>
        <v>700</v>
      </c>
      <c r="R16" s="57" t="n">
        <f aca="false">IFERROR(CEILING(800/(100*D16),1)*100,0)</f>
        <v>100</v>
      </c>
      <c r="S16" s="58"/>
      <c r="T16" s="56" t="n">
        <f aca="false">IFERROR(S16*D16,0)</f>
        <v>0</v>
      </c>
      <c r="U16" s="55" t="n">
        <f aca="false">IFERROR(T16/INDEX(账户总表!$B:$B,COUNTA(账户总表!$A:$A)),0)</f>
        <v>0</v>
      </c>
      <c r="V16" s="55" t="n">
        <f aca="false">IFERROR(INDEX(账户总表!$E:$E,COUNTA(账户总表!$A:$A))+U16,0)</f>
        <v>0.407056412146057</v>
      </c>
      <c r="W16" s="54" t="str">
        <f aca="false">IF($A16="","",IFERROR(IF(V16&lt;=INDEX(账户总表!$N:$N,COUNTA(账户总表!$A:$A)),"是","否"),"否"))</f>
        <v>否</v>
      </c>
      <c r="X16" s="56" t="n">
        <f aca="false">IF($A16="","",MAX(F16*0.98,D16*0.92))</f>
        <v>9.4178</v>
      </c>
      <c r="Y16" s="50"/>
      <c r="Z16" s="54" t="str">
        <f aca="false">IF($A16="","",IFERROR(IF(AND(T16&gt;INDEX(账户总表!$C:$C,COUNTA(账户总表!$A:$A)),L16="是"),"是","否"),"否"))</f>
        <v>否</v>
      </c>
      <c r="AA16" s="56" t="n">
        <f aca="false">IF($A16="","",IFERROR(IF(Z16="是",MAX(0,T16-INDEX(账户总表!$C:$C,COUNTA(账户总表!$A:$A)),IF(N16&gt;0,T16/N16-INDEX(账户总表!$B:$B,COUNTA(账户总表!$A:$A)),0)),0),0))</f>
        <v>0</v>
      </c>
      <c r="AB16" s="56" t="n">
        <f aca="false">IF($A16="","",IF(AND(Z16="是",INDEX(账户总表!$U:$U,COUNTA(账户总表!$A:$A))="是"),IF(INDEX(账户总表!$L:$L,COUNTA(账户总表!$A:$A))&gt;=4,AA16*1.5,AA16),0))</f>
        <v>0</v>
      </c>
      <c r="AC16" s="54" t="str">
        <f aca="false">IF($A16="","",IF(AND(L16="是",Q16&gt;=R16,S16&lt;=Q16,S16&gt;=R16,W16="是",X16&gt;0,M16="是",INDEX(账户总表!$M:$M,COUNTA(账户总表!$A:$A))&lt;=2,INDEX(账户总表!$V:$V,COUNTA(账户总表!$A:$A))="是",OR(T16&lt;=INDEX(账户总表!$C:$C,COUNTA(账户总表!$A:$A)),AND(Z16="是",INDEX(账户总表!$U:$U,COUNTA(账户总表!$A:$A))="是",AB16&gt;0))),"是","否"))</f>
        <v>否</v>
      </c>
      <c r="AD16" s="54" t="str">
        <f aca="false">IF($A16="","",IF(L16&lt;&gt;"是","信号未确认",IF(X16&lt;=0,"止损价未定义",IF(Q16&lt;R16,"100股约束不满足",IF(S16&gt;Q16,"计划股数超单股上限",IF(S16&lt;R16,"计划股数低于最小门槛",IF(W16&lt;&gt;"是","总仓位超限",IF(M16&lt;&gt;"是","追价",IF(INDEX(账户总表!$M:$M,COUNTA(账户总表!$A:$A))&gt;2,"亏钱效应偏高",IF(INDEX(账户总表!$V:$V,COUNTA(账户总表!$A:$A))&lt;&gt;"是","账户不允许新开仓",IF(AND(T16&gt;INDEX(账户总表!$C:$C,COUNTA(账户总表!$A:$A)),INDEX(账户总表!$U:$U,COUNTA(账户总表!$A:$A))&lt;&gt;"是"),"现金不足且不允许转入",IF(AND(Z16="是",AB16&lt;=0),"转入金额未满足",""))))))))))))</f>
        <v>计划股数低于最小门槛</v>
      </c>
      <c r="AE16" s="49"/>
      <c r="AF16" s="1" t="n">
        <f aca="false">IF($A16="","",D16*100)</f>
        <v>1012</v>
      </c>
      <c r="AG16" s="1" t="n">
        <f aca="false">IF($A16="","",IFERROR(AF16/INDEX(账户总表!$B:$B,COUNTA(账户总表!$A:$A)),0))</f>
        <v>0.0485550552913495</v>
      </c>
      <c r="AH16" s="1" t="n">
        <f aca="false">IF($A16="","",IFERROR(INDEX(账户总表!$B:$B,COUNTA(账户总表!$A:$A))*INDEX(账户总表!$O:$O,COUNTA(账户总表!$A:$A)),0))</f>
        <v>7294.812</v>
      </c>
      <c r="AI16" s="1" t="str">
        <f aca="false">IF($A16="","",IF(AF16&gt;AH16,"超限","合规"))</f>
        <v>合规</v>
      </c>
      <c r="AJ16" s="1" t="n">
        <f aca="false">IF($A16="","",IFERROR(AF16/INDEX(账户总表!$O:$O,COUNTA(账户总表!$A:$A)),0))</f>
        <v>2891.42857142857</v>
      </c>
      <c r="AK16" s="1" t="n">
        <f aca="false">IF($A16="","",IFERROR(MAX(0,AJ16-INDEX(账户总表!$B:$B,COUNTA(账户总表!$A:$A)),AF16-INDEX(账户总表!$C:$C,COUNTA(账户总表!$A:$A))),0))</f>
        <v>0</v>
      </c>
      <c r="AL16" s="1" t="str">
        <f aca="false">IF($A16="","",IF(COUNTIF(持仓表!$C$2:$C$201,C16)&gt;0,"已有","新标的"))</f>
        <v>新标的</v>
      </c>
      <c r="AM16" s="1" t="n">
        <f aca="false">IF($A16="","",IFERROR(SUMIFS(持仓表!$N$2:$N$201,持仓表!$C$2:$C$201,C16,持仓表!$A$2:$A$201,$A16),0))</f>
        <v>0</v>
      </c>
      <c r="AN16" s="1" t="n">
        <f aca="false">IF($A16="","",IFERROR(AM16+AF16/INDEX(账户总表!$B:$B,COUNTA(账户总表!$A:$A)),0))</f>
        <v>0.0485550552913495</v>
      </c>
      <c r="AO16" s="1" t="str">
        <f aca="false">IF($A16="","",IF(AN16&gt;INDEX(账户总表!$O:$O,COUNTA(账户总表!$A:$A)),"超限","合规"))</f>
        <v>合规</v>
      </c>
      <c r="AP16" s="1" t="str">
        <f aca="false">IF($A16="","",IF(AND(AL16="新标的",INDEX(账户总表!$R:$R,COUNTA(账户总表!$A:$A))&gt;=INDEX(账户总表!$S:$S,COUNTA(账户总表!$A:$A))),"新增受限","可通过"))</f>
        <v>新增受限</v>
      </c>
      <c r="AQ16" s="1" t="str">
        <f aca="false">IF($A16="","",IF(K16&lt;&gt;"核心池","非核心池",IF(OR(AI16="超限",AO16="超限",AP16="新增受限"),"不可加仓","可加仓")))</f>
        <v>非核心池</v>
      </c>
      <c r="AR16" s="1" t="str">
        <f aca="false">IF($A16="","",TRIM(IF(AI16="超限","1手超单股上限；","")&amp;IF(AO16="超限","买后仓位超限；","")&amp;IF(AP16="新增受限","有效持仓数超限；","")&amp;IF(AF16&gt;INDEX(账户总表!$C:$C,COUNTA(账户总表!$A:$A)),"现金不足；","")))</f>
        <v>有效持仓数超限；</v>
      </c>
      <c r="AS16" s="1" t="n">
        <f aca="false">IF($A16="","",IFERROR(INDEX(候选池历史!$L:$L,MATCH(1,(候选池历史!$B:$B=C16)*(候选池历史!$A:$A=$A16),0)),0))</f>
        <v>0</v>
      </c>
      <c r="AT16" s="1" t="str">
        <f aca="false">IF($A16="","",IF(AS16&gt;=3,"★信号强化",IF(K16="核心池","核心观察","")))</f>
        <v/>
      </c>
      <c r="AU16" s="1" t="str">
        <f aca="false">IF($A16="","",IF(AK16&gt;30000-INDEX(账户总表!$B:$B,COUNTA(账户总表!$A:$A)),"不适合婴儿阶段","可纳入幼儿路径"))</f>
        <v>可纳入幼儿路径</v>
      </c>
    </row>
    <row r="17" customFormat="false" ht="15" hidden="false" customHeight="true" outlineLevel="0" collapsed="false">
      <c r="A17" s="48" t="n">
        <v>46229</v>
      </c>
      <c r="B17" s="49" t="s">
        <v>430</v>
      </c>
      <c r="C17" s="50" t="s">
        <v>431</v>
      </c>
      <c r="D17" s="51" t="n">
        <v>11.53</v>
      </c>
      <c r="E17" s="51" t="n">
        <v>11.53</v>
      </c>
      <c r="F17" s="51" t="n">
        <v>10.95</v>
      </c>
      <c r="G17" s="52" t="n">
        <v>0.246630945795256</v>
      </c>
      <c r="H17" s="50" t="n">
        <v>0.894431562682973</v>
      </c>
      <c r="I17" s="50" t="s">
        <v>155</v>
      </c>
      <c r="J17" s="49" t="s">
        <v>400</v>
      </c>
      <c r="K17" s="53" t="str">
        <f aca="false">IF($A17="","",IF(AND(G17&lt;20%,H17&gt;0.9),"核心池",IF(AND(H17&gt;=0.85),"观察池",IF(AND(H17&gt;=0.8),"边缘池",""))))</f>
        <v>观察池</v>
      </c>
      <c r="L17" s="54" t="str">
        <f aca="false">IF($A17="","",IF(AND(G17&lt;60%,H17&gt;0.8,I17="True"),"是","否"))</f>
        <v>是</v>
      </c>
      <c r="M17" s="54" t="str">
        <f aca="false">IF($A17="","",IF(AND(D17&gt;0,E17&gt;0,D17&lt;=E17*1.02),"是","否"))</f>
        <v>是</v>
      </c>
      <c r="N17" s="55" t="n">
        <f aca="false">IFERROR(INDEX(账户总表!$O:$O,COUNTA(账户总表!$A:$A)),0)</f>
        <v>0.35</v>
      </c>
      <c r="O17" s="56" t="n">
        <f aca="false">IFERROR(INDEX(账户总表!$B:$B,COUNTA(账户总表!$A:$A))*N17,0)</f>
        <v>7294.812</v>
      </c>
      <c r="P17" s="57" t="n">
        <f aca="false">IFERROR(O17/D17,0)</f>
        <v>632.681006071119</v>
      </c>
      <c r="Q17" s="57" t="n">
        <f aca="false">IFERROR(FLOOR(P17,100),0)</f>
        <v>600</v>
      </c>
      <c r="R17" s="57" t="n">
        <f aca="false">IFERROR(CEILING(800/(100*D17),1)*100,0)</f>
        <v>100</v>
      </c>
      <c r="S17" s="58"/>
      <c r="T17" s="56" t="n">
        <f aca="false">IFERROR(S17*D17,0)</f>
        <v>0</v>
      </c>
      <c r="U17" s="55" t="n">
        <f aca="false">IFERROR(T17/INDEX(账户总表!$B:$B,COUNTA(账户总表!$A:$A)),0)</f>
        <v>0</v>
      </c>
      <c r="V17" s="55" t="n">
        <f aca="false">IFERROR(INDEX(账户总表!$E:$E,COUNTA(账户总表!$A:$A))+U17,0)</f>
        <v>0.407056412146057</v>
      </c>
      <c r="W17" s="54" t="str">
        <f aca="false">IF($A17="","",IFERROR(IF(V17&lt;=INDEX(账户总表!$N:$N,COUNTA(账户总表!$A:$A)),"是","否"),"否"))</f>
        <v>否</v>
      </c>
      <c r="X17" s="56" t="n">
        <f aca="false">IF($A17="","",MAX(F17*0.98,D17*0.92))</f>
        <v>10.731</v>
      </c>
      <c r="Y17" s="50"/>
      <c r="Z17" s="54" t="str">
        <f aca="false">IF($A17="","",IFERROR(IF(AND(T17&gt;INDEX(账户总表!$C:$C,COUNTA(账户总表!$A:$A)),L17="是"),"是","否"),"否"))</f>
        <v>否</v>
      </c>
      <c r="AA17" s="56" t="n">
        <f aca="false">IF($A17="","",IFERROR(IF(Z17="是",MAX(0,T17-INDEX(账户总表!$C:$C,COUNTA(账户总表!$A:$A)),IF(N17&gt;0,T17/N17-INDEX(账户总表!$B:$B,COUNTA(账户总表!$A:$A)),0)),0),0))</f>
        <v>0</v>
      </c>
      <c r="AB17" s="56" t="n">
        <f aca="false">IF($A17="","",IF(AND(Z17="是",INDEX(账户总表!$U:$U,COUNTA(账户总表!$A:$A))="是"),IF(INDEX(账户总表!$L:$L,COUNTA(账户总表!$A:$A))&gt;=4,AA17*1.5,AA17),0))</f>
        <v>0</v>
      </c>
      <c r="AC17" s="54" t="str">
        <f aca="false">IF($A17="","",IF(AND(L17="是",Q17&gt;=R17,S17&lt;=Q17,S17&gt;=R17,W17="是",X17&gt;0,M17="是",INDEX(账户总表!$M:$M,COUNTA(账户总表!$A:$A))&lt;=2,INDEX(账户总表!$V:$V,COUNTA(账户总表!$A:$A))="是",OR(T17&lt;=INDEX(账户总表!$C:$C,COUNTA(账户总表!$A:$A)),AND(Z17="是",INDEX(账户总表!$U:$U,COUNTA(账户总表!$A:$A))="是",AB17&gt;0))),"是","否"))</f>
        <v>否</v>
      </c>
      <c r="AD17" s="54" t="str">
        <f aca="false">IF($A17="","",IF(L17&lt;&gt;"是","信号未确认",IF(X17&lt;=0,"止损价未定义",IF(Q17&lt;R17,"100股约束不满足",IF(S17&gt;Q17,"计划股数超单股上限",IF(S17&lt;R17,"计划股数低于最小门槛",IF(W17&lt;&gt;"是","总仓位超限",IF(M17&lt;&gt;"是","追价",IF(INDEX(账户总表!$M:$M,COUNTA(账户总表!$A:$A))&gt;2,"亏钱效应偏高",IF(INDEX(账户总表!$V:$V,COUNTA(账户总表!$A:$A))&lt;&gt;"是","账户不允许新开仓",IF(AND(T17&gt;INDEX(账户总表!$C:$C,COUNTA(账户总表!$A:$A)),INDEX(账户总表!$U:$U,COUNTA(账户总表!$A:$A))&lt;&gt;"是"),"现金不足且不允许转入",IF(AND(Z17="是",AB17&lt;=0),"转入金额未满足",""))))))))))))</f>
        <v>计划股数低于最小门槛</v>
      </c>
      <c r="AE17" s="49"/>
      <c r="AF17" s="1" t="n">
        <f aca="false">IF($A17="","",D17*100)</f>
        <v>1153</v>
      </c>
      <c r="AG17" s="1" t="n">
        <f aca="false">IF($A17="","",IFERROR(AF17/INDEX(账户总表!$B:$B,COUNTA(账户总表!$A:$A)),0))</f>
        <v>0.0553201371056581</v>
      </c>
      <c r="AH17" s="1" t="n">
        <f aca="false">IF($A17="","",IFERROR(INDEX(账户总表!$B:$B,COUNTA(账户总表!$A:$A))*INDEX(账户总表!$O:$O,COUNTA(账户总表!$A:$A)),0))</f>
        <v>7294.812</v>
      </c>
      <c r="AI17" s="1" t="str">
        <f aca="false">IF($A17="","",IF(AF17&gt;AH17,"超限","合规"))</f>
        <v>合规</v>
      </c>
      <c r="AJ17" s="1" t="n">
        <f aca="false">IF($A17="","",IFERROR(AF17/INDEX(账户总表!$O:$O,COUNTA(账户总表!$A:$A)),0))</f>
        <v>3294.28571428571</v>
      </c>
      <c r="AK17" s="1" t="n">
        <f aca="false">IF($A17="","",IFERROR(MAX(0,AJ17-INDEX(账户总表!$B:$B,COUNTA(账户总表!$A:$A)),AF17-INDEX(账户总表!$C:$C,COUNTA(账户总表!$A:$A))),0))</f>
        <v>0</v>
      </c>
      <c r="AL17" s="1" t="str">
        <f aca="false">IF($A17="","",IF(COUNTIF(持仓表!$C$2:$C$201,C17)&gt;0,"已有","新标的"))</f>
        <v>新标的</v>
      </c>
      <c r="AM17" s="1" t="n">
        <f aca="false">IF($A17="","",IFERROR(SUMIFS(持仓表!$N$2:$N$201,持仓表!$C$2:$C$201,C17,持仓表!$A$2:$A$201,$A17),0))</f>
        <v>0</v>
      </c>
      <c r="AN17" s="1" t="n">
        <f aca="false">IF($A17="","",IFERROR(AM17+AF17/INDEX(账户总表!$B:$B,COUNTA(账户总表!$A:$A)),0))</f>
        <v>0.0553201371056581</v>
      </c>
      <c r="AO17" s="1" t="str">
        <f aca="false">IF($A17="","",IF(AN17&gt;INDEX(账户总表!$O:$O,COUNTA(账户总表!$A:$A)),"超限","合规"))</f>
        <v>合规</v>
      </c>
      <c r="AP17" s="1" t="str">
        <f aca="false">IF($A17="","",IF(AND(AL17="新标的",INDEX(账户总表!$R:$R,COUNTA(账户总表!$A:$A))&gt;=INDEX(账户总表!$S:$S,COUNTA(账户总表!$A:$A))),"新增受限","可通过"))</f>
        <v>新增受限</v>
      </c>
      <c r="AQ17" s="1" t="str">
        <f aca="false">IF($A17="","",IF(K17&lt;&gt;"核心池","非核心池",IF(OR(AI17="超限",AO17="超限",AP17="新增受限"),"不可加仓","可加仓")))</f>
        <v>非核心池</v>
      </c>
      <c r="AR17" s="1" t="str">
        <f aca="false">IF($A17="","",TRIM(IF(AI17="超限","1手超单股上限；","")&amp;IF(AO17="超限","买后仓位超限；","")&amp;IF(AP17="新增受限","有效持仓数超限；","")&amp;IF(AF17&gt;INDEX(账户总表!$C:$C,COUNTA(账户总表!$A:$A)),"现金不足；","")))</f>
        <v>有效持仓数超限；</v>
      </c>
      <c r="AS17" s="1" t="n">
        <f aca="false">IF($A17="","",IFERROR(INDEX(候选池历史!$L:$L,MATCH(1,(候选池历史!$B:$B=C17)*(候选池历史!$A:$A=$A17),0)),0))</f>
        <v>0</v>
      </c>
      <c r="AT17" s="1" t="str">
        <f aca="false">IF($A17="","",IF(AS17&gt;=3,"★信号强化",IF(K17="核心池","核心观察","")))</f>
        <v/>
      </c>
      <c r="AU17" s="1" t="str">
        <f aca="false">IF($A17="","",IF(AK17&gt;30000-INDEX(账户总表!$B:$B,COUNTA(账户总表!$A:$A)),"不适合婴儿阶段","可纳入幼儿路径"))</f>
        <v>可纳入幼儿路径</v>
      </c>
    </row>
    <row r="18" customFormat="false" ht="15" hidden="false" customHeight="true" outlineLevel="0" collapsed="false">
      <c r="A18" s="48" t="n">
        <v>46229</v>
      </c>
      <c r="B18" s="49" t="s">
        <v>432</v>
      </c>
      <c r="C18" s="50" t="s">
        <v>433</v>
      </c>
      <c r="D18" s="51" t="n">
        <v>1.98</v>
      </c>
      <c r="E18" s="51" t="n">
        <v>1.98</v>
      </c>
      <c r="F18" s="51" t="n">
        <v>1.88</v>
      </c>
      <c r="G18" s="52" t="n">
        <v>0.232351791787116</v>
      </c>
      <c r="H18" s="50" t="n">
        <v>0.891396922045184</v>
      </c>
      <c r="I18" s="50" t="s">
        <v>155</v>
      </c>
      <c r="J18" s="49" t="s">
        <v>400</v>
      </c>
      <c r="K18" s="53" t="str">
        <f aca="false">IF($A18="","",IF(AND(G18&lt;20%,H18&gt;0.9),"核心池",IF(AND(H18&gt;=0.85),"观察池",IF(AND(H18&gt;=0.8),"边缘池",""))))</f>
        <v>观察池</v>
      </c>
      <c r="L18" s="54" t="str">
        <f aca="false">IF($A18="","",IF(AND(G18&lt;60%,H18&gt;0.8,I18="True"),"是","否"))</f>
        <v>是</v>
      </c>
      <c r="M18" s="54" t="str">
        <f aca="false">IF($A18="","",IF(AND(D18&gt;0,E18&gt;0,D18&lt;=E18*1.02),"是","否"))</f>
        <v>是</v>
      </c>
      <c r="N18" s="55" t="n">
        <f aca="false">IFERROR(INDEX(账户总表!$O:$O,COUNTA(账户总表!$A:$A)),0)</f>
        <v>0.35</v>
      </c>
      <c r="O18" s="56" t="n">
        <f aca="false">IFERROR(INDEX(账户总表!$B:$B,COUNTA(账户总表!$A:$A))*N18,0)</f>
        <v>7294.812</v>
      </c>
      <c r="P18" s="57" t="n">
        <f aca="false">IFERROR(O18/D18,0)</f>
        <v>3684.24848484848</v>
      </c>
      <c r="Q18" s="57" t="n">
        <f aca="false">IFERROR(FLOOR(P18,100),0)</f>
        <v>3600</v>
      </c>
      <c r="R18" s="57" t="n">
        <f aca="false">IFERROR(CEILING(800/(100*D18),1)*100,0)</f>
        <v>500</v>
      </c>
      <c r="S18" s="58"/>
      <c r="T18" s="56" t="n">
        <f aca="false">IFERROR(S18*D18,0)</f>
        <v>0</v>
      </c>
      <c r="U18" s="55" t="n">
        <f aca="false">IFERROR(T18/INDEX(账户总表!$B:$B,COUNTA(账户总表!$A:$A)),0)</f>
        <v>0</v>
      </c>
      <c r="V18" s="55" t="n">
        <f aca="false">IFERROR(INDEX(账户总表!$E:$E,COUNTA(账户总表!$A:$A))+U18,0)</f>
        <v>0.407056412146057</v>
      </c>
      <c r="W18" s="54" t="str">
        <f aca="false">IF($A18="","",IFERROR(IF(V18&lt;=INDEX(账户总表!$N:$N,COUNTA(账户总表!$A:$A)),"是","否"),"否"))</f>
        <v>否</v>
      </c>
      <c r="X18" s="56" t="n">
        <f aca="false">IF($A18="","",MAX(F18*0.98,D18*0.92))</f>
        <v>1.8424</v>
      </c>
      <c r="Y18" s="50"/>
      <c r="Z18" s="54" t="str">
        <f aca="false">IF($A18="","",IFERROR(IF(AND(T18&gt;INDEX(账户总表!$C:$C,COUNTA(账户总表!$A:$A)),L18="是"),"是","否"),"否"))</f>
        <v>否</v>
      </c>
      <c r="AA18" s="56" t="n">
        <f aca="false">IF($A18="","",IFERROR(IF(Z18="是",MAX(0,T18-INDEX(账户总表!$C:$C,COUNTA(账户总表!$A:$A)),IF(N18&gt;0,T18/N18-INDEX(账户总表!$B:$B,COUNTA(账户总表!$A:$A)),0)),0),0))</f>
        <v>0</v>
      </c>
      <c r="AB18" s="56" t="n">
        <f aca="false">IF($A18="","",IF(AND(Z18="是",INDEX(账户总表!$U:$U,COUNTA(账户总表!$A:$A))="是"),IF(INDEX(账户总表!$L:$L,COUNTA(账户总表!$A:$A))&gt;=4,AA18*1.5,AA18),0))</f>
        <v>0</v>
      </c>
      <c r="AC18" s="54" t="str">
        <f aca="false">IF($A18="","",IF(AND(L18="是",Q18&gt;=R18,S18&lt;=Q18,S18&gt;=R18,W18="是",X18&gt;0,M18="是",INDEX(账户总表!$M:$M,COUNTA(账户总表!$A:$A))&lt;=2,INDEX(账户总表!$V:$V,COUNTA(账户总表!$A:$A))="是",OR(T18&lt;=INDEX(账户总表!$C:$C,COUNTA(账户总表!$A:$A)),AND(Z18="是",INDEX(账户总表!$U:$U,COUNTA(账户总表!$A:$A))="是",AB18&gt;0))),"是","否"))</f>
        <v>否</v>
      </c>
      <c r="AD18" s="54" t="str">
        <f aca="false">IF($A18="","",IF(L18&lt;&gt;"是","信号未确认",IF(X18&lt;=0,"止损价未定义",IF(Q18&lt;R18,"100股约束不满足",IF(S18&gt;Q18,"计划股数超单股上限",IF(S18&lt;R18,"计划股数低于最小门槛",IF(W18&lt;&gt;"是","总仓位超限",IF(M18&lt;&gt;"是","追价",IF(INDEX(账户总表!$M:$M,COUNTA(账户总表!$A:$A))&gt;2,"亏钱效应偏高",IF(INDEX(账户总表!$V:$V,COUNTA(账户总表!$A:$A))&lt;&gt;"是","账户不允许新开仓",IF(AND(T18&gt;INDEX(账户总表!$C:$C,COUNTA(账户总表!$A:$A)),INDEX(账户总表!$U:$U,COUNTA(账户总表!$A:$A))&lt;&gt;"是"),"现金不足且不允许转入",IF(AND(Z18="是",AB18&lt;=0),"转入金额未满足",""))))))))))))</f>
        <v>计划股数低于最小门槛</v>
      </c>
      <c r="AE18" s="49"/>
      <c r="AF18" s="1" t="n">
        <f aca="false">IF($A18="","",D18*100)</f>
        <v>198</v>
      </c>
      <c r="AG18" s="1" t="n">
        <f aca="false">IF($A18="","",IFERROR(AF18/INDEX(账户总表!$B:$B,COUNTA(账户总表!$A:$A)),0))</f>
        <v>0.00949990212222056</v>
      </c>
      <c r="AH18" s="1" t="n">
        <f aca="false">IF($A18="","",IFERROR(INDEX(账户总表!$B:$B,COUNTA(账户总表!$A:$A))*INDEX(账户总表!$O:$O,COUNTA(账户总表!$A:$A)),0))</f>
        <v>7294.812</v>
      </c>
      <c r="AI18" s="1" t="str">
        <f aca="false">IF($A18="","",IF(AF18&gt;AH18,"超限","合规"))</f>
        <v>合规</v>
      </c>
      <c r="AJ18" s="1" t="n">
        <f aca="false">IF($A18="","",IFERROR(AF18/INDEX(账户总表!$O:$O,COUNTA(账户总表!$A:$A)),0))</f>
        <v>565.714285714286</v>
      </c>
      <c r="AK18" s="1" t="n">
        <f aca="false">IF($A18="","",IFERROR(MAX(0,AJ18-INDEX(账户总表!$B:$B,COUNTA(账户总表!$A:$A)),AF18-INDEX(账户总表!$C:$C,COUNTA(账户总表!$A:$A))),0))</f>
        <v>0</v>
      </c>
      <c r="AL18" s="1" t="str">
        <f aca="false">IF($A18="","",IF(COUNTIF(持仓表!$C$2:$C$201,C18)&gt;0,"已有","新标的"))</f>
        <v>新标的</v>
      </c>
      <c r="AM18" s="1" t="n">
        <f aca="false">IF($A18="","",IFERROR(SUMIFS(持仓表!$N$2:$N$201,持仓表!$C$2:$C$201,C18,持仓表!$A$2:$A$201,$A18),0))</f>
        <v>0</v>
      </c>
      <c r="AN18" s="1" t="n">
        <f aca="false">IF($A18="","",IFERROR(AM18+AF18/INDEX(账户总表!$B:$B,COUNTA(账户总表!$A:$A)),0))</f>
        <v>0.00949990212222056</v>
      </c>
      <c r="AO18" s="1" t="str">
        <f aca="false">IF($A18="","",IF(AN18&gt;INDEX(账户总表!$O:$O,COUNTA(账户总表!$A:$A)),"超限","合规"))</f>
        <v>合规</v>
      </c>
      <c r="AP18" s="1" t="str">
        <f aca="false">IF($A18="","",IF(AND(AL18="新标的",INDEX(账户总表!$R:$R,COUNTA(账户总表!$A:$A))&gt;=INDEX(账户总表!$S:$S,COUNTA(账户总表!$A:$A))),"新增受限","可通过"))</f>
        <v>新增受限</v>
      </c>
      <c r="AQ18" s="1" t="str">
        <f aca="false">IF($A18="","",IF(K18&lt;&gt;"核心池","非核心池",IF(OR(AI18="超限",AO18="超限",AP18="新增受限"),"不可加仓","可加仓")))</f>
        <v>非核心池</v>
      </c>
      <c r="AR18" s="1" t="str">
        <f aca="false">IF($A18="","",TRIM(IF(AI18="超限","1手超单股上限；","")&amp;IF(AO18="超限","买后仓位超限；","")&amp;IF(AP18="新增受限","有效持仓数超限；","")&amp;IF(AF18&gt;INDEX(账户总表!$C:$C,COUNTA(账户总表!$A:$A)),"现金不足；","")))</f>
        <v>有效持仓数超限；</v>
      </c>
      <c r="AS18" s="1" t="n">
        <f aca="false">IF($A18="","",IFERROR(INDEX(候选池历史!$L:$L,MATCH(1,(候选池历史!$B:$B=C18)*(候选池历史!$A:$A=$A18),0)),0))</f>
        <v>0</v>
      </c>
      <c r="AT18" s="1" t="str">
        <f aca="false">IF($A18="","",IF(AS18&gt;=3,"★信号强化",IF(K18="核心池","核心观察","")))</f>
        <v/>
      </c>
      <c r="AU18" s="1" t="str">
        <f aca="false">IF($A18="","",IF(AK18&gt;30000-INDEX(账户总表!$B:$B,COUNTA(账户总表!$A:$A)),"不适合婴儿阶段","可纳入幼儿路径"))</f>
        <v>可纳入幼儿路径</v>
      </c>
    </row>
    <row r="19" customFormat="false" ht="15" hidden="false" customHeight="true" outlineLevel="0" collapsed="false">
      <c r="A19" s="48" t="n">
        <v>46229</v>
      </c>
      <c r="B19" s="49" t="s">
        <v>434</v>
      </c>
      <c r="C19" s="50" t="s">
        <v>435</v>
      </c>
      <c r="D19" s="51" t="n">
        <v>15.18</v>
      </c>
      <c r="E19" s="51" t="n">
        <v>15.18</v>
      </c>
      <c r="F19" s="51" t="n">
        <v>14.42</v>
      </c>
      <c r="G19" s="52" t="n">
        <v>0.240501831073785</v>
      </c>
      <c r="H19" s="50" t="n">
        <v>0.880243329150861</v>
      </c>
      <c r="I19" s="50" t="s">
        <v>155</v>
      </c>
      <c r="J19" s="49" t="s">
        <v>400</v>
      </c>
      <c r="K19" s="53" t="str">
        <f aca="false">IF($A19="","",IF(AND(G19&lt;20%,H19&gt;0.9),"核心池",IF(AND(H19&gt;=0.85),"观察池",IF(AND(H19&gt;=0.8),"边缘池",""))))</f>
        <v>观察池</v>
      </c>
      <c r="L19" s="54" t="str">
        <f aca="false">IF($A19="","",IF(AND(G19&lt;60%,H19&gt;0.8,I19="True"),"是","否"))</f>
        <v>是</v>
      </c>
      <c r="M19" s="54" t="str">
        <f aca="false">IF($A19="","",IF(AND(D19&gt;0,E19&gt;0,D19&lt;=E19*1.02),"是","否"))</f>
        <v>是</v>
      </c>
      <c r="N19" s="55" t="n">
        <f aca="false">IFERROR(INDEX(账户总表!$O:$O,COUNTA(账户总表!$A:$A)),0)</f>
        <v>0.35</v>
      </c>
      <c r="O19" s="56" t="n">
        <f aca="false">IFERROR(INDEX(账户总表!$B:$B,COUNTA(账户总表!$A:$A))*N19,0)</f>
        <v>7294.812</v>
      </c>
      <c r="P19" s="57" t="n">
        <f aca="false">IFERROR(O19/D19,0)</f>
        <v>480.554150197628</v>
      </c>
      <c r="Q19" s="57" t="n">
        <f aca="false">IFERROR(FLOOR(P19,100),0)</f>
        <v>400</v>
      </c>
      <c r="R19" s="57" t="n">
        <f aca="false">IFERROR(CEILING(800/(100*D19),1)*100,0)</f>
        <v>100</v>
      </c>
      <c r="S19" s="58"/>
      <c r="T19" s="56" t="n">
        <f aca="false">IFERROR(S19*D19,0)</f>
        <v>0</v>
      </c>
      <c r="U19" s="55" t="n">
        <f aca="false">IFERROR(T19/INDEX(账户总表!$B:$B,COUNTA(账户总表!$A:$A)),0)</f>
        <v>0</v>
      </c>
      <c r="V19" s="55" t="n">
        <f aca="false">IFERROR(INDEX(账户总表!$E:$E,COUNTA(账户总表!$A:$A))+U19,0)</f>
        <v>0.407056412146057</v>
      </c>
      <c r="W19" s="54" t="str">
        <f aca="false">IF($A19="","",IFERROR(IF(V19&lt;=INDEX(账户总表!$N:$N,COUNTA(账户总表!$A:$A)),"是","否"),"否"))</f>
        <v>否</v>
      </c>
      <c r="X19" s="56" t="n">
        <f aca="false">IF($A19="","",MAX(F19*0.98,D19*0.92))</f>
        <v>14.1316</v>
      </c>
      <c r="Y19" s="50"/>
      <c r="Z19" s="54" t="str">
        <f aca="false">IF($A19="","",IFERROR(IF(AND(T19&gt;INDEX(账户总表!$C:$C,COUNTA(账户总表!$A:$A)),L19="是"),"是","否"),"否"))</f>
        <v>否</v>
      </c>
      <c r="AA19" s="56" t="n">
        <f aca="false">IF($A19="","",IFERROR(IF(Z19="是",MAX(0,T19-INDEX(账户总表!$C:$C,COUNTA(账户总表!$A:$A)),IF(N19&gt;0,T19/N19-INDEX(账户总表!$B:$B,COUNTA(账户总表!$A:$A)),0)),0),0))</f>
        <v>0</v>
      </c>
      <c r="AB19" s="56" t="n">
        <f aca="false">IF($A19="","",IF(AND(Z19="是",INDEX(账户总表!$U:$U,COUNTA(账户总表!$A:$A))="是"),IF(INDEX(账户总表!$L:$L,COUNTA(账户总表!$A:$A))&gt;=4,AA19*1.5,AA19),0))</f>
        <v>0</v>
      </c>
      <c r="AC19" s="54" t="str">
        <f aca="false">IF($A19="","",IF(AND(L19="是",Q19&gt;=R19,S19&lt;=Q19,S19&gt;=R19,W19="是",X19&gt;0,M19="是",INDEX(账户总表!$M:$M,COUNTA(账户总表!$A:$A))&lt;=2,INDEX(账户总表!$V:$V,COUNTA(账户总表!$A:$A))="是",OR(T19&lt;=INDEX(账户总表!$C:$C,COUNTA(账户总表!$A:$A)),AND(Z19="是",INDEX(账户总表!$U:$U,COUNTA(账户总表!$A:$A))="是",AB19&gt;0))),"是","否"))</f>
        <v>否</v>
      </c>
      <c r="AD19" s="54" t="str">
        <f aca="false">IF($A19="","",IF(L19&lt;&gt;"是","信号未确认",IF(X19&lt;=0,"止损价未定义",IF(Q19&lt;R19,"100股约束不满足",IF(S19&gt;Q19,"计划股数超单股上限",IF(S19&lt;R19,"计划股数低于最小门槛",IF(W19&lt;&gt;"是","总仓位超限",IF(M19&lt;&gt;"是","追价",IF(INDEX(账户总表!$M:$M,COUNTA(账户总表!$A:$A))&gt;2,"亏钱效应偏高",IF(INDEX(账户总表!$V:$V,COUNTA(账户总表!$A:$A))&lt;&gt;"是","账户不允许新开仓",IF(AND(T19&gt;INDEX(账户总表!$C:$C,COUNTA(账户总表!$A:$A)),INDEX(账户总表!$U:$U,COUNTA(账户总表!$A:$A))&lt;&gt;"是"),"现金不足且不允许转入",IF(AND(Z19="是",AB19&lt;=0),"转入金额未满足",""))))))))))))</f>
        <v>计划股数低于最小门槛</v>
      </c>
      <c r="AE19" s="49"/>
      <c r="AF19" s="1" t="n">
        <f aca="false">IF($A19="","",D19*100)</f>
        <v>1518</v>
      </c>
      <c r="AG19" s="1" t="n">
        <f aca="false">IF($A19="","",IFERROR(AF19/INDEX(账户总表!$B:$B,COUNTA(账户总表!$A:$A)),0))</f>
        <v>0.0728325829370243</v>
      </c>
      <c r="AH19" s="1" t="n">
        <f aca="false">IF($A19="","",IFERROR(INDEX(账户总表!$B:$B,COUNTA(账户总表!$A:$A))*INDEX(账户总表!$O:$O,COUNTA(账户总表!$A:$A)),0))</f>
        <v>7294.812</v>
      </c>
      <c r="AI19" s="1" t="str">
        <f aca="false">IF($A19="","",IF(AF19&gt;AH19,"超限","合规"))</f>
        <v>合规</v>
      </c>
      <c r="AJ19" s="1" t="n">
        <f aca="false">IF($A19="","",IFERROR(AF19/INDEX(账户总表!$O:$O,COUNTA(账户总表!$A:$A)),0))</f>
        <v>4337.14285714286</v>
      </c>
      <c r="AK19" s="1" t="n">
        <f aca="false">IF($A19="","",IFERROR(MAX(0,AJ19-INDEX(账户总表!$B:$B,COUNTA(账户总表!$A:$A)),AF19-INDEX(账户总表!$C:$C,COUNTA(账户总表!$A:$A))),0))</f>
        <v>0</v>
      </c>
      <c r="AL19" s="1" t="str">
        <f aca="false">IF($A19="","",IF(COUNTIF(持仓表!$C$2:$C$201,C19)&gt;0,"已有","新标的"))</f>
        <v>新标的</v>
      </c>
      <c r="AM19" s="1" t="n">
        <f aca="false">IF($A19="","",IFERROR(SUMIFS(持仓表!$N$2:$N$201,持仓表!$C$2:$C$201,C19,持仓表!$A$2:$A$201,$A19),0))</f>
        <v>0</v>
      </c>
      <c r="AN19" s="1" t="n">
        <f aca="false">IF($A19="","",IFERROR(AM19+AF19/INDEX(账户总表!$B:$B,COUNTA(账户总表!$A:$A)),0))</f>
        <v>0.0728325829370243</v>
      </c>
      <c r="AO19" s="1" t="str">
        <f aca="false">IF($A19="","",IF(AN19&gt;INDEX(账户总表!$O:$O,COUNTA(账户总表!$A:$A)),"超限","合规"))</f>
        <v>合规</v>
      </c>
      <c r="AP19" s="1" t="str">
        <f aca="false">IF($A19="","",IF(AND(AL19="新标的",INDEX(账户总表!$R:$R,COUNTA(账户总表!$A:$A))&gt;=INDEX(账户总表!$S:$S,COUNTA(账户总表!$A:$A))),"新增受限","可通过"))</f>
        <v>新增受限</v>
      </c>
      <c r="AQ19" s="1" t="str">
        <f aca="false">IF($A19="","",IF(K19&lt;&gt;"核心池","非核心池",IF(OR(AI19="超限",AO19="超限",AP19="新增受限"),"不可加仓","可加仓")))</f>
        <v>非核心池</v>
      </c>
      <c r="AR19" s="1" t="str">
        <f aca="false">IF($A19="","",TRIM(IF(AI19="超限","1手超单股上限；","")&amp;IF(AO19="超限","买后仓位超限；","")&amp;IF(AP19="新增受限","有效持仓数超限；","")&amp;IF(AF19&gt;INDEX(账户总表!$C:$C,COUNTA(账户总表!$A:$A)),"现金不足；","")))</f>
        <v>有效持仓数超限；</v>
      </c>
      <c r="AS19" s="1" t="n">
        <f aca="false">IF($A19="","",IFERROR(INDEX(候选池历史!$L:$L,MATCH(1,(候选池历史!$B:$B=C19)*(候选池历史!$A:$A=$A19),0)),0))</f>
        <v>0</v>
      </c>
      <c r="AT19" s="1" t="str">
        <f aca="false">IF($A19="","",IF(AS19&gt;=3,"★信号强化",IF(K19="核心池","核心观察","")))</f>
        <v/>
      </c>
      <c r="AU19" s="1" t="str">
        <f aca="false">IF($A19="","",IF(AK19&gt;30000-INDEX(账户总表!$B:$B,COUNTA(账户总表!$A:$A)),"不适合婴儿阶段","可纳入幼儿路径"))</f>
        <v>可纳入幼儿路径</v>
      </c>
    </row>
    <row r="20" customFormat="false" ht="15" hidden="false" customHeight="true" outlineLevel="0" collapsed="false">
      <c r="A20" s="48" t="n">
        <v>46229</v>
      </c>
      <c r="B20" s="49" t="s">
        <v>436</v>
      </c>
      <c r="C20" s="50" t="s">
        <v>437</v>
      </c>
      <c r="D20" s="51" t="n">
        <v>2.12</v>
      </c>
      <c r="E20" s="51" t="n">
        <v>2.12</v>
      </c>
      <c r="F20" s="51" t="n">
        <v>2.01</v>
      </c>
      <c r="G20" s="52" t="n">
        <v>0.174050352294355</v>
      </c>
      <c r="H20" s="50" t="n">
        <v>0.876951353251519</v>
      </c>
      <c r="I20" s="50" t="s">
        <v>155</v>
      </c>
      <c r="J20" s="49" t="s">
        <v>400</v>
      </c>
      <c r="K20" s="53" t="str">
        <f aca="false">IF($A20="","",IF(AND(G20&lt;20%,H20&gt;0.9),"核心池",IF(AND(H20&gt;=0.85),"观察池",IF(AND(H20&gt;=0.8),"边缘池",""))))</f>
        <v>观察池</v>
      </c>
      <c r="L20" s="54" t="str">
        <f aca="false">IF($A20="","",IF(AND(G20&lt;60%,H20&gt;0.8,I20="True"),"是","否"))</f>
        <v>是</v>
      </c>
      <c r="M20" s="54" t="str">
        <f aca="false">IF($A20="","",IF(AND(D20&gt;0,E20&gt;0,D20&lt;=E20*1.02),"是","否"))</f>
        <v>是</v>
      </c>
      <c r="N20" s="55" t="n">
        <f aca="false">IFERROR(INDEX(账户总表!$O:$O,COUNTA(账户总表!$A:$A)),0)</f>
        <v>0.35</v>
      </c>
      <c r="O20" s="56" t="n">
        <f aca="false">IFERROR(INDEX(账户总表!$B:$B,COUNTA(账户总表!$A:$A))*N20,0)</f>
        <v>7294.812</v>
      </c>
      <c r="P20" s="57" t="n">
        <f aca="false">IFERROR(O20/D20,0)</f>
        <v>3440.94905660377</v>
      </c>
      <c r="Q20" s="57" t="n">
        <f aca="false">IFERROR(FLOOR(P20,100),0)</f>
        <v>3400</v>
      </c>
      <c r="R20" s="57" t="n">
        <f aca="false">IFERROR(CEILING(800/(100*D20),1)*100,0)</f>
        <v>400</v>
      </c>
      <c r="S20" s="58"/>
      <c r="T20" s="56" t="n">
        <f aca="false">IFERROR(S20*D20,0)</f>
        <v>0</v>
      </c>
      <c r="U20" s="55" t="n">
        <f aca="false">IFERROR(T20/INDEX(账户总表!$B:$B,COUNTA(账户总表!$A:$A)),0)</f>
        <v>0</v>
      </c>
      <c r="V20" s="55" t="n">
        <f aca="false">IFERROR(INDEX(账户总表!$E:$E,COUNTA(账户总表!$A:$A))+U20,0)</f>
        <v>0.407056412146057</v>
      </c>
      <c r="W20" s="54" t="str">
        <f aca="false">IF($A20="","",IFERROR(IF(V20&lt;=INDEX(账户总表!$N:$N,COUNTA(账户总表!$A:$A)),"是","否"),"否"))</f>
        <v>否</v>
      </c>
      <c r="X20" s="56" t="n">
        <f aca="false">IF($A20="","",MAX(F20*0.98,D20*0.92))</f>
        <v>1.9698</v>
      </c>
      <c r="Y20" s="50"/>
      <c r="Z20" s="54" t="str">
        <f aca="false">IF($A20="","",IFERROR(IF(AND(T20&gt;INDEX(账户总表!$C:$C,COUNTA(账户总表!$A:$A)),L20="是"),"是","否"),"否"))</f>
        <v>否</v>
      </c>
      <c r="AA20" s="56" t="n">
        <f aca="false">IF($A20="","",IFERROR(IF(Z20="是",MAX(0,T20-INDEX(账户总表!$C:$C,COUNTA(账户总表!$A:$A)),IF(N20&gt;0,T20/N20-INDEX(账户总表!$B:$B,COUNTA(账户总表!$A:$A)),0)),0),0))</f>
        <v>0</v>
      </c>
      <c r="AB20" s="56" t="n">
        <f aca="false">IF($A20="","",IF(AND(Z20="是",INDEX(账户总表!$U:$U,COUNTA(账户总表!$A:$A))="是"),IF(INDEX(账户总表!$L:$L,COUNTA(账户总表!$A:$A))&gt;=4,AA20*1.5,AA20),0))</f>
        <v>0</v>
      </c>
      <c r="AC20" s="54" t="str">
        <f aca="false">IF($A20="","",IF(AND(L20="是",Q20&gt;=R20,S20&lt;=Q20,S20&gt;=R20,W20="是",X20&gt;0,M20="是",INDEX(账户总表!$M:$M,COUNTA(账户总表!$A:$A))&lt;=2,INDEX(账户总表!$V:$V,COUNTA(账户总表!$A:$A))="是",OR(T20&lt;=INDEX(账户总表!$C:$C,COUNTA(账户总表!$A:$A)),AND(Z20="是",INDEX(账户总表!$U:$U,COUNTA(账户总表!$A:$A))="是",AB20&gt;0))),"是","否"))</f>
        <v>否</v>
      </c>
      <c r="AD20" s="54" t="str">
        <f aca="false">IF($A20="","",IF(L20&lt;&gt;"是","信号未确认",IF(X20&lt;=0,"止损价未定义",IF(Q20&lt;R20,"100股约束不满足",IF(S20&gt;Q20,"计划股数超单股上限",IF(S20&lt;R20,"计划股数低于最小门槛",IF(W20&lt;&gt;"是","总仓位超限",IF(M20&lt;&gt;"是","追价",IF(INDEX(账户总表!$M:$M,COUNTA(账户总表!$A:$A))&gt;2,"亏钱效应偏高",IF(INDEX(账户总表!$V:$V,COUNTA(账户总表!$A:$A))&lt;&gt;"是","账户不允许新开仓",IF(AND(T20&gt;INDEX(账户总表!$C:$C,COUNTA(账户总表!$A:$A)),INDEX(账户总表!$U:$U,COUNTA(账户总表!$A:$A))&lt;&gt;"是"),"现金不足且不允许转入",IF(AND(Z20="是",AB20&lt;=0),"转入金额未满足",""))))))))))))</f>
        <v>计划股数低于最小门槛</v>
      </c>
      <c r="AE20" s="49"/>
      <c r="AF20" s="1" t="n">
        <f aca="false">IF($A20="","",D20*100)</f>
        <v>212</v>
      </c>
      <c r="AG20" s="1" t="n">
        <f aca="false">IF($A20="","",IFERROR(AF20/INDEX(账户总表!$B:$B,COUNTA(账户总表!$A:$A)),0))</f>
        <v>0.0101716123732867</v>
      </c>
      <c r="AH20" s="1" t="n">
        <f aca="false">IF($A20="","",IFERROR(INDEX(账户总表!$B:$B,COUNTA(账户总表!$A:$A))*INDEX(账户总表!$O:$O,COUNTA(账户总表!$A:$A)),0))</f>
        <v>7294.812</v>
      </c>
      <c r="AI20" s="1" t="str">
        <f aca="false">IF($A20="","",IF(AF20&gt;AH20,"超限","合规"))</f>
        <v>合规</v>
      </c>
      <c r="AJ20" s="1" t="n">
        <f aca="false">IF($A20="","",IFERROR(AF20/INDEX(账户总表!$O:$O,COUNTA(账户总表!$A:$A)),0))</f>
        <v>605.714285714286</v>
      </c>
      <c r="AK20" s="1" t="n">
        <f aca="false">IF($A20="","",IFERROR(MAX(0,AJ20-INDEX(账户总表!$B:$B,COUNTA(账户总表!$A:$A)),AF20-INDEX(账户总表!$C:$C,COUNTA(账户总表!$A:$A))),0))</f>
        <v>0</v>
      </c>
      <c r="AL20" s="1" t="str">
        <f aca="false">IF($A20="","",IF(COUNTIF(持仓表!$C$2:$C$201,C20)&gt;0,"已有","新标的"))</f>
        <v>新标的</v>
      </c>
      <c r="AM20" s="1" t="n">
        <f aca="false">IF($A20="","",IFERROR(SUMIFS(持仓表!$N$2:$N$201,持仓表!$C$2:$C$201,C20,持仓表!$A$2:$A$201,$A20),0))</f>
        <v>0</v>
      </c>
      <c r="AN20" s="1" t="n">
        <f aca="false">IF($A20="","",IFERROR(AM20+AF20/INDEX(账户总表!$B:$B,COUNTA(账户总表!$A:$A)),0))</f>
        <v>0.0101716123732867</v>
      </c>
      <c r="AO20" s="1" t="str">
        <f aca="false">IF($A20="","",IF(AN20&gt;INDEX(账户总表!$O:$O,COUNTA(账户总表!$A:$A)),"超限","合规"))</f>
        <v>合规</v>
      </c>
      <c r="AP20" s="1" t="str">
        <f aca="false">IF($A20="","",IF(AND(AL20="新标的",INDEX(账户总表!$R:$R,COUNTA(账户总表!$A:$A))&gt;=INDEX(账户总表!$S:$S,COUNTA(账户总表!$A:$A))),"新增受限","可通过"))</f>
        <v>新增受限</v>
      </c>
      <c r="AQ20" s="1" t="str">
        <f aca="false">IF($A20="","",IF(K20&lt;&gt;"核心池","非核心池",IF(OR(AI20="超限",AO20="超限",AP20="新增受限"),"不可加仓","可加仓")))</f>
        <v>非核心池</v>
      </c>
      <c r="AR20" s="1" t="str">
        <f aca="false">IF($A20="","",TRIM(IF(AI20="超限","1手超单股上限；","")&amp;IF(AO20="超限","买后仓位超限；","")&amp;IF(AP20="新增受限","有效持仓数超限；","")&amp;IF(AF20&gt;INDEX(账户总表!$C:$C,COUNTA(账户总表!$A:$A)),"现金不足；","")))</f>
        <v>有效持仓数超限；</v>
      </c>
      <c r="AS20" s="1" t="n">
        <f aca="false">IF($A20="","",IFERROR(INDEX(候选池历史!$L:$L,MATCH(1,(候选池历史!$B:$B=C20)*(候选池历史!$A:$A=$A20),0)),0))</f>
        <v>0</v>
      </c>
      <c r="AT20" s="1" t="str">
        <f aca="false">IF($A20="","",IF(AS20&gt;=3,"★信号强化",IF(K20="核心池","核心观察","")))</f>
        <v/>
      </c>
      <c r="AU20" s="1" t="str">
        <f aca="false">IF($A20="","",IF(AK20&gt;30000-INDEX(账户总表!$B:$B,COUNTA(账户总表!$A:$A)),"不适合婴儿阶段","可纳入幼儿路径"))</f>
        <v>可纳入幼儿路径</v>
      </c>
    </row>
    <row r="21" customFormat="false" ht="15" hidden="false" customHeight="true" outlineLevel="0" collapsed="false">
      <c r="A21" s="48" t="n">
        <v>46229</v>
      </c>
      <c r="B21" s="49" t="s">
        <v>438</v>
      </c>
      <c r="C21" s="50" t="s">
        <v>439</v>
      </c>
      <c r="D21" s="51" t="n">
        <v>7.08</v>
      </c>
      <c r="E21" s="51" t="n">
        <v>7.08</v>
      </c>
      <c r="F21" s="51" t="n">
        <v>6.73</v>
      </c>
      <c r="G21" s="52" t="n">
        <v>0.294703066087429</v>
      </c>
      <c r="H21" s="50" t="n">
        <v>0.867559280835112</v>
      </c>
      <c r="I21" s="50" t="s">
        <v>155</v>
      </c>
      <c r="J21" s="49" t="s">
        <v>400</v>
      </c>
      <c r="K21" s="53" t="str">
        <f aca="false">IF($A21="","",IF(AND(G21&lt;20%,H21&gt;0.9),"核心池",IF(AND(H21&gt;=0.85),"观察池",IF(AND(H21&gt;=0.8),"边缘池",""))))</f>
        <v>观察池</v>
      </c>
      <c r="L21" s="54" t="str">
        <f aca="false">IF($A21="","",IF(AND(G21&lt;60%,H21&gt;0.8,I21="True"),"是","否"))</f>
        <v>是</v>
      </c>
      <c r="M21" s="54" t="str">
        <f aca="false">IF($A21="","",IF(AND(D21&gt;0,E21&gt;0,D21&lt;=E21*1.02),"是","否"))</f>
        <v>是</v>
      </c>
      <c r="N21" s="55" t="n">
        <f aca="false">IFERROR(INDEX(账户总表!$O:$O,COUNTA(账户总表!$A:$A)),0)</f>
        <v>0.35</v>
      </c>
      <c r="O21" s="56" t="n">
        <f aca="false">IFERROR(INDEX(账户总表!$B:$B,COUNTA(账户总表!$A:$A))*N21,0)</f>
        <v>7294.812</v>
      </c>
      <c r="P21" s="57" t="n">
        <f aca="false">IFERROR(O21/D21,0)</f>
        <v>1030.3406779661</v>
      </c>
      <c r="Q21" s="57" t="n">
        <f aca="false">IFERROR(FLOOR(P21,100),0)</f>
        <v>1000</v>
      </c>
      <c r="R21" s="57" t="n">
        <f aca="false">IFERROR(CEILING(800/(100*D21),1)*100,0)</f>
        <v>200</v>
      </c>
      <c r="S21" s="58"/>
      <c r="T21" s="56" t="n">
        <f aca="false">IFERROR(S21*D21,0)</f>
        <v>0</v>
      </c>
      <c r="U21" s="55" t="n">
        <f aca="false">IFERROR(T21/INDEX(账户总表!$B:$B,COUNTA(账户总表!$A:$A)),0)</f>
        <v>0</v>
      </c>
      <c r="V21" s="55" t="n">
        <f aca="false">IFERROR(INDEX(账户总表!$E:$E,COUNTA(账户总表!$A:$A))+U21,0)</f>
        <v>0.407056412146057</v>
      </c>
      <c r="W21" s="54" t="str">
        <f aca="false">IF($A21="","",IFERROR(IF(V21&lt;=INDEX(账户总表!$N:$N,COUNTA(账户总表!$A:$A)),"是","否"),"否"))</f>
        <v>否</v>
      </c>
      <c r="X21" s="56" t="n">
        <f aca="false">IF($A21="","",MAX(F21*0.98,D21*0.92))</f>
        <v>6.5954</v>
      </c>
      <c r="Y21" s="50"/>
      <c r="Z21" s="54" t="str">
        <f aca="false">IF($A21="","",IFERROR(IF(AND(T21&gt;INDEX(账户总表!$C:$C,COUNTA(账户总表!$A:$A)),L21="是"),"是","否"),"否"))</f>
        <v>否</v>
      </c>
      <c r="AA21" s="56" t="n">
        <f aca="false">IF($A21="","",IFERROR(IF(Z21="是",MAX(0,T21-INDEX(账户总表!$C:$C,COUNTA(账户总表!$A:$A)),IF(N21&gt;0,T21/N21-INDEX(账户总表!$B:$B,COUNTA(账户总表!$A:$A)),0)),0),0))</f>
        <v>0</v>
      </c>
      <c r="AB21" s="56" t="n">
        <f aca="false">IF($A21="","",IF(AND(Z21="是",INDEX(账户总表!$U:$U,COUNTA(账户总表!$A:$A))="是"),IF(INDEX(账户总表!$L:$L,COUNTA(账户总表!$A:$A))&gt;=4,AA21*1.5,AA21),0))</f>
        <v>0</v>
      </c>
      <c r="AC21" s="54" t="str">
        <f aca="false">IF($A21="","",IF(AND(L21="是",Q21&gt;=R21,S21&lt;=Q21,S21&gt;=R21,W21="是",X21&gt;0,M21="是",INDEX(账户总表!$M:$M,COUNTA(账户总表!$A:$A))&lt;=2,INDEX(账户总表!$V:$V,COUNTA(账户总表!$A:$A))="是",OR(T21&lt;=INDEX(账户总表!$C:$C,COUNTA(账户总表!$A:$A)),AND(Z21="是",INDEX(账户总表!$U:$U,COUNTA(账户总表!$A:$A))="是",AB21&gt;0))),"是","否"))</f>
        <v>否</v>
      </c>
      <c r="AD21" s="54" t="str">
        <f aca="false">IF($A21="","",IF(L21&lt;&gt;"是","信号未确认",IF(X21&lt;=0,"止损价未定义",IF(Q21&lt;R21,"100股约束不满足",IF(S21&gt;Q21,"计划股数超单股上限",IF(S21&lt;R21,"计划股数低于最小门槛",IF(W21&lt;&gt;"是","总仓位超限",IF(M21&lt;&gt;"是","追价",IF(INDEX(账户总表!$M:$M,COUNTA(账户总表!$A:$A))&gt;2,"亏钱效应偏高",IF(INDEX(账户总表!$V:$V,COUNTA(账户总表!$A:$A))&lt;&gt;"是","账户不允许新开仓",IF(AND(T21&gt;INDEX(账户总表!$C:$C,COUNTA(账户总表!$A:$A)),INDEX(账户总表!$U:$U,COUNTA(账户总表!$A:$A))&lt;&gt;"是"),"现金不足且不允许转入",IF(AND(Z21="是",AB21&lt;=0),"转入金额未满足",""))))))))))))</f>
        <v>计划股数低于最小门槛</v>
      </c>
      <c r="AE21" s="49"/>
      <c r="AF21" s="1" t="n">
        <f aca="false">IF($A21="","",D21*100)</f>
        <v>708</v>
      </c>
      <c r="AG21" s="1" t="n">
        <f aca="false">IF($A21="","",IFERROR(AF21/INDEX(账户总表!$B:$B,COUNTA(账户总表!$A:$A)),0))</f>
        <v>0.0339693469824856</v>
      </c>
      <c r="AH21" s="1" t="n">
        <f aca="false">IF($A21="","",IFERROR(INDEX(账户总表!$B:$B,COUNTA(账户总表!$A:$A))*INDEX(账户总表!$O:$O,COUNTA(账户总表!$A:$A)),0))</f>
        <v>7294.812</v>
      </c>
      <c r="AI21" s="1" t="str">
        <f aca="false">IF($A21="","",IF(AF21&gt;AH21,"超限","合规"))</f>
        <v>合规</v>
      </c>
      <c r="AJ21" s="1" t="n">
        <f aca="false">IF($A21="","",IFERROR(AF21/INDEX(账户总表!$O:$O,COUNTA(账户总表!$A:$A)),0))</f>
        <v>2022.85714285714</v>
      </c>
      <c r="AK21" s="1" t="n">
        <f aca="false">IF($A21="","",IFERROR(MAX(0,AJ21-INDEX(账户总表!$B:$B,COUNTA(账户总表!$A:$A)),AF21-INDEX(账户总表!$C:$C,COUNTA(账户总表!$A:$A))),0))</f>
        <v>0</v>
      </c>
      <c r="AL21" s="1" t="str">
        <f aca="false">IF($A21="","",IF(COUNTIF(持仓表!$C$2:$C$201,C21)&gt;0,"已有","新标的"))</f>
        <v>新标的</v>
      </c>
      <c r="AM21" s="1" t="n">
        <f aca="false">IF($A21="","",IFERROR(SUMIFS(持仓表!$N$2:$N$201,持仓表!$C$2:$C$201,C21,持仓表!$A$2:$A$201,$A21),0))</f>
        <v>0</v>
      </c>
      <c r="AN21" s="1" t="n">
        <f aca="false">IF($A21="","",IFERROR(AM21+AF21/INDEX(账户总表!$B:$B,COUNTA(账户总表!$A:$A)),0))</f>
        <v>0.0339693469824856</v>
      </c>
      <c r="AO21" s="1" t="str">
        <f aca="false">IF($A21="","",IF(AN21&gt;INDEX(账户总表!$O:$O,COUNTA(账户总表!$A:$A)),"超限","合规"))</f>
        <v>合规</v>
      </c>
      <c r="AP21" s="1" t="str">
        <f aca="false">IF($A21="","",IF(AND(AL21="新标的",INDEX(账户总表!$R:$R,COUNTA(账户总表!$A:$A))&gt;=INDEX(账户总表!$S:$S,COUNTA(账户总表!$A:$A))),"新增受限","可通过"))</f>
        <v>新增受限</v>
      </c>
      <c r="AQ21" s="1" t="str">
        <f aca="false">IF($A21="","",IF(K21&lt;&gt;"核心池","非核心池",IF(OR(AI21="超限",AO21="超限",AP21="新增受限"),"不可加仓","可加仓")))</f>
        <v>非核心池</v>
      </c>
      <c r="AR21" s="1" t="str">
        <f aca="false">IF($A21="","",TRIM(IF(AI21="超限","1手超单股上限；","")&amp;IF(AO21="超限","买后仓位超限；","")&amp;IF(AP21="新增受限","有效持仓数超限；","")&amp;IF(AF21&gt;INDEX(账户总表!$C:$C,COUNTA(账户总表!$A:$A)),"现金不足；","")))</f>
        <v>有效持仓数超限；</v>
      </c>
      <c r="AS21" s="1" t="n">
        <f aca="false">IF($A21="","",IFERROR(INDEX(候选池历史!$L:$L,MATCH(1,(候选池历史!$B:$B=C21)*(候选池历史!$A:$A=$A21),0)),0))</f>
        <v>0</v>
      </c>
      <c r="AT21" s="1" t="str">
        <f aca="false">IF($A21="","",IF(AS21&gt;=3,"★信号强化",IF(K21="核心池","核心观察","")))</f>
        <v/>
      </c>
      <c r="AU21" s="1" t="str">
        <f aca="false">IF($A21="","",IF(AK21&gt;30000-INDEX(账户总表!$B:$B,COUNTA(账户总表!$A:$A)),"不适合婴儿阶段","可纳入幼儿路径"))</f>
        <v>可纳入幼儿路径</v>
      </c>
    </row>
    <row r="22" customFormat="false" ht="15" hidden="false" customHeight="true" outlineLevel="0" collapsed="false">
      <c r="A22" s="48" t="n">
        <v>46229</v>
      </c>
      <c r="B22" s="49" t="s">
        <v>440</v>
      </c>
      <c r="C22" s="50" t="s">
        <v>441</v>
      </c>
      <c r="D22" s="51" t="n">
        <v>14.88</v>
      </c>
      <c r="E22" s="51" t="n">
        <v>14.88</v>
      </c>
      <c r="F22" s="51" t="n">
        <v>14.14</v>
      </c>
      <c r="G22" s="52" t="n">
        <v>0.165948265449632</v>
      </c>
      <c r="H22" s="50" t="n">
        <v>0.867253369822946</v>
      </c>
      <c r="I22" s="50" t="s">
        <v>155</v>
      </c>
      <c r="J22" s="49" t="s">
        <v>400</v>
      </c>
      <c r="K22" s="53" t="str">
        <f aca="false">IF($A22="","",IF(AND(G22&lt;20%,H22&gt;0.9),"核心池",IF(AND(H22&gt;=0.85),"观察池",IF(AND(H22&gt;=0.8),"边缘池",""))))</f>
        <v>观察池</v>
      </c>
      <c r="L22" s="54" t="str">
        <f aca="false">IF($A22="","",IF(AND(G22&lt;60%,H22&gt;0.8,I22="True"),"是","否"))</f>
        <v>是</v>
      </c>
      <c r="M22" s="54" t="str">
        <f aca="false">IF($A22="","",IF(AND(D22&gt;0,E22&gt;0,D22&lt;=E22*1.02),"是","否"))</f>
        <v>是</v>
      </c>
      <c r="N22" s="55" t="n">
        <f aca="false">IFERROR(INDEX(账户总表!$O:$O,COUNTA(账户总表!$A:$A)),0)</f>
        <v>0.35</v>
      </c>
      <c r="O22" s="56" t="n">
        <f aca="false">IFERROR(INDEX(账户总表!$B:$B,COUNTA(账户总表!$A:$A))*N22,0)</f>
        <v>7294.812</v>
      </c>
      <c r="P22" s="57" t="n">
        <f aca="false">IFERROR(O22/D22,0)</f>
        <v>490.242741935484</v>
      </c>
      <c r="Q22" s="57" t="n">
        <f aca="false">IFERROR(FLOOR(P22,100),0)</f>
        <v>400</v>
      </c>
      <c r="R22" s="57" t="n">
        <f aca="false">IFERROR(CEILING(800/(100*D22),1)*100,0)</f>
        <v>100</v>
      </c>
      <c r="S22" s="58"/>
      <c r="T22" s="56" t="n">
        <f aca="false">IFERROR(S22*D22,0)</f>
        <v>0</v>
      </c>
      <c r="U22" s="55" t="n">
        <f aca="false">IFERROR(T22/INDEX(账户总表!$B:$B,COUNTA(账户总表!$A:$A)),0)</f>
        <v>0</v>
      </c>
      <c r="V22" s="55" t="n">
        <f aca="false">IFERROR(INDEX(账户总表!$E:$E,COUNTA(账户总表!$A:$A))+U22,0)</f>
        <v>0.407056412146057</v>
      </c>
      <c r="W22" s="54" t="str">
        <f aca="false">IF($A22="","",IFERROR(IF(V22&lt;=INDEX(账户总表!$N:$N,COUNTA(账户总表!$A:$A)),"是","否"),"否"))</f>
        <v>否</v>
      </c>
      <c r="X22" s="56" t="n">
        <f aca="false">IF($A22="","",MAX(F22*0.98,D22*0.92))</f>
        <v>13.8572</v>
      </c>
      <c r="Y22" s="50"/>
      <c r="Z22" s="54" t="str">
        <f aca="false">IF($A22="","",IFERROR(IF(AND(T22&gt;INDEX(账户总表!$C:$C,COUNTA(账户总表!$A:$A)),L22="是"),"是","否"),"否"))</f>
        <v>否</v>
      </c>
      <c r="AA22" s="56" t="n">
        <f aca="false">IF($A22="","",IFERROR(IF(Z22="是",MAX(0,T22-INDEX(账户总表!$C:$C,COUNTA(账户总表!$A:$A)),IF(N22&gt;0,T22/N22-INDEX(账户总表!$B:$B,COUNTA(账户总表!$A:$A)),0)),0),0))</f>
        <v>0</v>
      </c>
      <c r="AB22" s="56" t="n">
        <f aca="false">IF($A22="","",IF(AND(Z22="是",INDEX(账户总表!$U:$U,COUNTA(账户总表!$A:$A))="是"),IF(INDEX(账户总表!$L:$L,COUNTA(账户总表!$A:$A))&gt;=4,AA22*1.5,AA22),0))</f>
        <v>0</v>
      </c>
      <c r="AC22" s="54" t="str">
        <f aca="false">IF($A22="","",IF(AND(L22="是",Q22&gt;=R22,S22&lt;=Q22,S22&gt;=R22,W22="是",X22&gt;0,M22="是",INDEX(账户总表!$M:$M,COUNTA(账户总表!$A:$A))&lt;=2,INDEX(账户总表!$V:$V,COUNTA(账户总表!$A:$A))="是",OR(T22&lt;=INDEX(账户总表!$C:$C,COUNTA(账户总表!$A:$A)),AND(Z22="是",INDEX(账户总表!$U:$U,COUNTA(账户总表!$A:$A))="是",AB22&gt;0))),"是","否"))</f>
        <v>否</v>
      </c>
      <c r="AD22" s="54" t="str">
        <f aca="false">IF($A22="","",IF(L22&lt;&gt;"是","信号未确认",IF(X22&lt;=0,"止损价未定义",IF(Q22&lt;R22,"100股约束不满足",IF(S22&gt;Q22,"计划股数超单股上限",IF(S22&lt;R22,"计划股数低于最小门槛",IF(W22&lt;&gt;"是","总仓位超限",IF(M22&lt;&gt;"是","追价",IF(INDEX(账户总表!$M:$M,COUNTA(账户总表!$A:$A))&gt;2,"亏钱效应偏高",IF(INDEX(账户总表!$V:$V,COUNTA(账户总表!$A:$A))&lt;&gt;"是","账户不允许新开仓",IF(AND(T22&gt;INDEX(账户总表!$C:$C,COUNTA(账户总表!$A:$A)),INDEX(账户总表!$U:$U,COUNTA(账户总表!$A:$A))&lt;&gt;"是"),"现金不足且不允许转入",IF(AND(Z22="是",AB22&lt;=0),"转入金额未满足",""))))))))))))</f>
        <v>计划股数低于最小门槛</v>
      </c>
      <c r="AE22" s="49"/>
      <c r="AF22" s="1" t="n">
        <f aca="false">IF($A22="","",D22*100)</f>
        <v>1488</v>
      </c>
      <c r="AG22" s="1" t="n">
        <f aca="false">IF($A22="","",IFERROR(AF22/INDEX(账户总表!$B:$B,COUNTA(账户总表!$A:$A)),0))</f>
        <v>0.0713932038275969</v>
      </c>
      <c r="AH22" s="1" t="n">
        <f aca="false">IF($A22="","",IFERROR(INDEX(账户总表!$B:$B,COUNTA(账户总表!$A:$A))*INDEX(账户总表!$O:$O,COUNTA(账户总表!$A:$A)),0))</f>
        <v>7294.812</v>
      </c>
      <c r="AI22" s="1" t="str">
        <f aca="false">IF($A22="","",IF(AF22&gt;AH22,"超限","合规"))</f>
        <v>合规</v>
      </c>
      <c r="AJ22" s="1" t="n">
        <f aca="false">IF($A22="","",IFERROR(AF22/INDEX(账户总表!$O:$O,COUNTA(账户总表!$A:$A)),0))</f>
        <v>4251.42857142857</v>
      </c>
      <c r="AK22" s="1" t="n">
        <f aca="false">IF($A22="","",IFERROR(MAX(0,AJ22-INDEX(账户总表!$B:$B,COUNTA(账户总表!$A:$A)),AF22-INDEX(账户总表!$C:$C,COUNTA(账户总表!$A:$A))),0))</f>
        <v>0</v>
      </c>
      <c r="AL22" s="1" t="str">
        <f aca="false">IF($A22="","",IF(COUNTIF(持仓表!$C$2:$C$201,C22)&gt;0,"已有","新标的"))</f>
        <v>新标的</v>
      </c>
      <c r="AM22" s="1" t="n">
        <f aca="false">IF($A22="","",IFERROR(SUMIFS(持仓表!$N$2:$N$201,持仓表!$C$2:$C$201,C22,持仓表!$A$2:$A$201,$A22),0))</f>
        <v>0</v>
      </c>
      <c r="AN22" s="1" t="n">
        <f aca="false">IF($A22="","",IFERROR(AM22+AF22/INDEX(账户总表!$B:$B,COUNTA(账户总表!$A:$A)),0))</f>
        <v>0.0713932038275969</v>
      </c>
      <c r="AO22" s="1" t="str">
        <f aca="false">IF($A22="","",IF(AN22&gt;INDEX(账户总表!$O:$O,COUNTA(账户总表!$A:$A)),"超限","合规"))</f>
        <v>合规</v>
      </c>
      <c r="AP22" s="1" t="str">
        <f aca="false">IF($A22="","",IF(AND(AL22="新标的",INDEX(账户总表!$R:$R,COUNTA(账户总表!$A:$A))&gt;=INDEX(账户总表!$S:$S,COUNTA(账户总表!$A:$A))),"新增受限","可通过"))</f>
        <v>新增受限</v>
      </c>
      <c r="AQ22" s="1" t="str">
        <f aca="false">IF($A22="","",IF(K22&lt;&gt;"核心池","非核心池",IF(OR(AI22="超限",AO22="超限",AP22="新增受限"),"不可加仓","可加仓")))</f>
        <v>非核心池</v>
      </c>
      <c r="AR22" s="1" t="str">
        <f aca="false">IF($A22="","",TRIM(IF(AI22="超限","1手超单股上限；","")&amp;IF(AO22="超限","买后仓位超限；","")&amp;IF(AP22="新增受限","有效持仓数超限；","")&amp;IF(AF22&gt;INDEX(账户总表!$C:$C,COUNTA(账户总表!$A:$A)),"现金不足；","")))</f>
        <v>有效持仓数超限；</v>
      </c>
      <c r="AS22" s="1" t="n">
        <f aca="false">IF($A22="","",IFERROR(INDEX(候选池历史!$L:$L,MATCH(1,(候选池历史!$B:$B=C22)*(候选池历史!$A:$A=$A22),0)),0))</f>
        <v>0</v>
      </c>
      <c r="AT22" s="1" t="str">
        <f aca="false">IF($A22="","",IF(AS22&gt;=3,"★信号强化",IF(K22="核心池","核心观察","")))</f>
        <v/>
      </c>
      <c r="AU22" s="1" t="str">
        <f aca="false">IF($A22="","",IF(AK22&gt;30000-INDEX(账户总表!$B:$B,COUNTA(账户总表!$A:$A)),"不适合婴儿阶段","可纳入幼儿路径"))</f>
        <v>可纳入幼儿路径</v>
      </c>
    </row>
    <row r="23" customFormat="false" ht="15" hidden="false" customHeight="true" outlineLevel="0" collapsed="false">
      <c r="A23" s="59" t="n">
        <v>46229</v>
      </c>
      <c r="B23" s="60" t="s">
        <v>442</v>
      </c>
      <c r="C23" s="61" t="s">
        <v>443</v>
      </c>
      <c r="D23" s="62" t="n">
        <v>17.61</v>
      </c>
      <c r="E23" s="62" t="n">
        <v>17.61</v>
      </c>
      <c r="F23" s="62" t="n">
        <v>16.73</v>
      </c>
      <c r="G23" s="63" t="n">
        <v>0.253402303330322</v>
      </c>
      <c r="H23" s="61" t="n">
        <v>0.846751691580814</v>
      </c>
      <c r="I23" s="61" t="s">
        <v>155</v>
      </c>
      <c r="J23" s="60" t="s">
        <v>400</v>
      </c>
      <c r="K23" s="64" t="str">
        <f aca="false">IF($A23="","",IF(AND(G23&lt;20%,H23&gt;0.9),"核心池",IF(AND(H23&gt;=0.85),"观察池",IF(AND(H23&gt;=0.8),"边缘池",""))))</f>
        <v>边缘池</v>
      </c>
      <c r="L23" s="65" t="str">
        <f aca="false">IF($A23="","",IF(AND(G23&lt;60%,H23&gt;0.8,I23="True"),"是","否"))</f>
        <v>是</v>
      </c>
      <c r="M23" s="65" t="str">
        <f aca="false">IF($A23="","",IF(AND(D23&gt;0,E23&gt;0,D23&lt;=E23*1.02),"是","否"))</f>
        <v>是</v>
      </c>
      <c r="N23" s="66" t="n">
        <f aca="false">IFERROR(INDEX(账户总表!$O:$O,COUNTA(账户总表!$A:$A)),0)</f>
        <v>0.35</v>
      </c>
      <c r="O23" s="67" t="n">
        <f aca="false">IFERROR(INDEX(账户总表!$B:$B,COUNTA(账户总表!$A:$A))*N23,0)</f>
        <v>7294.812</v>
      </c>
      <c r="P23" s="68" t="n">
        <f aca="false">IFERROR(O23/D23,0)</f>
        <v>414.242589437819</v>
      </c>
      <c r="Q23" s="68" t="n">
        <f aca="false">IFERROR(FLOOR(P23,100),0)</f>
        <v>400</v>
      </c>
      <c r="R23" s="68" t="n">
        <f aca="false">IFERROR(CEILING(800/(100*D23),1)*100,0)</f>
        <v>100</v>
      </c>
      <c r="S23" s="69"/>
      <c r="T23" s="67" t="n">
        <f aca="false">IFERROR(S23*D23,0)</f>
        <v>0</v>
      </c>
      <c r="U23" s="66" t="n">
        <f aca="false">IFERROR(T23/INDEX(账户总表!$B:$B,COUNTA(账户总表!$A:$A)),0)</f>
        <v>0</v>
      </c>
      <c r="V23" s="66" t="n">
        <f aca="false">IFERROR(INDEX(账户总表!$E:$E,COUNTA(账户总表!$A:$A))+U23,0)</f>
        <v>0.407056412146057</v>
      </c>
      <c r="W23" s="65" t="str">
        <f aca="false">IF($A23="","",IFERROR(IF(V23&lt;=INDEX(账户总表!$N:$N,COUNTA(账户总表!$A:$A)),"是","否"),"否"))</f>
        <v>否</v>
      </c>
      <c r="X23" s="67" t="n">
        <f aca="false">IF($A23="","",MAX(F23*0.98,D23*0.92))</f>
        <v>16.3954</v>
      </c>
      <c r="Y23" s="61"/>
      <c r="Z23" s="65" t="str">
        <f aca="false">IF($A23="","",IFERROR(IF(AND(T23&gt;INDEX(账户总表!$C:$C,COUNTA(账户总表!$A:$A)),L23="是"),"是","否"),"否"))</f>
        <v>否</v>
      </c>
      <c r="AA23" s="67" t="n">
        <f aca="false">IF($A23="","",IFERROR(IF(Z23="是",MAX(0,T23-INDEX(账户总表!$C:$C,COUNTA(账户总表!$A:$A)),IF(N23&gt;0,T23/N23-INDEX(账户总表!$B:$B,COUNTA(账户总表!$A:$A)),0)),0),0))</f>
        <v>0</v>
      </c>
      <c r="AB23" s="67" t="n">
        <f aca="false">IF($A23="","",IF(AND(Z23="是",INDEX(账户总表!$U:$U,COUNTA(账户总表!$A:$A))="是"),IF(INDEX(账户总表!$L:$L,COUNTA(账户总表!$A:$A))&gt;=4,AA23*1.5,AA23),0))</f>
        <v>0</v>
      </c>
      <c r="AC23" s="65" t="str">
        <f aca="false">IF($A23="","",IF(AND(L23="是",Q23&gt;=R23,S23&lt;=Q23,S23&gt;=R23,W23="是",X23&gt;0,M23="是",INDEX(账户总表!$M:$M,COUNTA(账户总表!$A:$A))&lt;=2,INDEX(账户总表!$V:$V,COUNTA(账户总表!$A:$A))="是",OR(T23&lt;=INDEX(账户总表!$C:$C,COUNTA(账户总表!$A:$A)),AND(Z23="是",INDEX(账户总表!$U:$U,COUNTA(账户总表!$A:$A))="是",AB23&gt;0))),"是","否"))</f>
        <v>否</v>
      </c>
      <c r="AD23" s="65" t="str">
        <f aca="false">IF($A23="","",IF(L23&lt;&gt;"是","信号未确认",IF(X23&lt;=0,"止损价未定义",IF(Q23&lt;R23,"100股约束不满足",IF(S23&gt;Q23,"计划股数超单股上限",IF(S23&lt;R23,"计划股数低于最小门槛",IF(W23&lt;&gt;"是","总仓位超限",IF(M23&lt;&gt;"是","追价",IF(INDEX(账户总表!$M:$M,COUNTA(账户总表!$A:$A))&gt;2,"亏钱效应偏高",IF(INDEX(账户总表!$V:$V,COUNTA(账户总表!$A:$A))&lt;&gt;"是","账户不允许新开仓",IF(AND(T23&gt;INDEX(账户总表!$C:$C,COUNTA(账户总表!$A:$A)),INDEX(账户总表!$U:$U,COUNTA(账户总表!$A:$A))&lt;&gt;"是"),"现金不足且不允许转入",IF(AND(Z23="是",AB23&lt;=0),"转入金额未满足",""))))))))))))</f>
        <v>计划股数低于最小门槛</v>
      </c>
      <c r="AE23" s="60"/>
      <c r="AF23" s="1" t="n">
        <f aca="false">IF($A23="","",D23*100)</f>
        <v>1761</v>
      </c>
      <c r="AG23" s="1" t="n">
        <f aca="false">IF($A23="","",IFERROR(AF23/INDEX(账户总表!$B:$B,COUNTA(账户总表!$A:$A)),0))</f>
        <v>0.0844915537233859</v>
      </c>
      <c r="AH23" s="1" t="n">
        <f aca="false">IF($A23="","",IFERROR(INDEX(账户总表!$B:$B,COUNTA(账户总表!$A:$A))*INDEX(账户总表!$O:$O,COUNTA(账户总表!$A:$A)),0))</f>
        <v>7294.812</v>
      </c>
      <c r="AI23" s="1" t="str">
        <f aca="false">IF($A23="","",IF(AF23&gt;AH23,"超限","合规"))</f>
        <v>合规</v>
      </c>
      <c r="AJ23" s="1" t="n">
        <f aca="false">IF($A23="","",IFERROR(AF23/INDEX(账户总表!$O:$O,COUNTA(账户总表!$A:$A)),0))</f>
        <v>5031.42857142857</v>
      </c>
      <c r="AK23" s="1" t="n">
        <f aca="false">IF($A23="","",IFERROR(MAX(0,AJ23-INDEX(账户总表!$B:$B,COUNTA(账户总表!$A:$A)),AF23-INDEX(账户总表!$C:$C,COUNTA(账户总表!$A:$A))),0))</f>
        <v>0</v>
      </c>
      <c r="AL23" s="1" t="str">
        <f aca="false">IF($A23="","",IF(COUNTIF(持仓表!$C$2:$C$201,C23)&gt;0,"已有","新标的"))</f>
        <v>新标的</v>
      </c>
      <c r="AM23" s="1" t="n">
        <f aca="false">IF($A23="","",IFERROR(SUMIFS(持仓表!$N$2:$N$201,持仓表!$C$2:$C$201,C23,持仓表!$A$2:$A$201,$A23),0))</f>
        <v>0</v>
      </c>
      <c r="AN23" s="1" t="n">
        <f aca="false">IF($A23="","",IFERROR(AM23+AF23/INDEX(账户总表!$B:$B,COUNTA(账户总表!$A:$A)),0))</f>
        <v>0.0844915537233859</v>
      </c>
      <c r="AO23" s="1" t="str">
        <f aca="false">IF($A23="","",IF(AN23&gt;INDEX(账户总表!$O:$O,COUNTA(账户总表!$A:$A)),"超限","合规"))</f>
        <v>合规</v>
      </c>
      <c r="AP23" s="1" t="str">
        <f aca="false">IF($A23="","",IF(AND(AL23="新标的",INDEX(账户总表!$R:$R,COUNTA(账户总表!$A:$A))&gt;=INDEX(账户总表!$S:$S,COUNTA(账户总表!$A:$A))),"新增受限","可通过"))</f>
        <v>新增受限</v>
      </c>
      <c r="AQ23" s="1" t="str">
        <f aca="false">IF($A23="","",IF(K23&lt;&gt;"核心池","非核心池",IF(OR(AI23="超限",AO23="超限",AP23="新增受限"),"不可加仓","可加仓")))</f>
        <v>非核心池</v>
      </c>
      <c r="AR23" s="1" t="str">
        <f aca="false">IF($A23="","",TRIM(IF(AI23="超限","1手超单股上限；","")&amp;IF(AO23="超限","买后仓位超限；","")&amp;IF(AP23="新增受限","有效持仓数超限；","")&amp;IF(AF23&gt;INDEX(账户总表!$C:$C,COUNTA(账户总表!$A:$A)),"现金不足；","")))</f>
        <v>有效持仓数超限；</v>
      </c>
      <c r="AS23" s="1" t="n">
        <f aca="false">IF($A23="","",IFERROR(INDEX(候选池历史!$L:$L,MATCH(1,(候选池历史!$B:$B=C23)*(候选池历史!$A:$A=$A23),0)),0))</f>
        <v>0</v>
      </c>
      <c r="AT23" s="1" t="str">
        <f aca="false">IF($A23="","",IF(AS23&gt;=3,"★信号强化",IF(K23="核心池","核心观察","")))</f>
        <v/>
      </c>
      <c r="AU23" s="1" t="str">
        <f aca="false">IF($A23="","",IF(AK23&gt;30000-INDEX(账户总表!$B:$B,COUNTA(账户总表!$A:$A)),"不适合婴儿阶段","可纳入幼儿路径"))</f>
        <v>可纳入幼儿路径</v>
      </c>
    </row>
    <row r="24" customFormat="false" ht="15" hidden="false" customHeight="true" outlineLevel="0" collapsed="false">
      <c r="A24" s="59" t="n">
        <v>46229</v>
      </c>
      <c r="B24" s="60" t="s">
        <v>444</v>
      </c>
      <c r="C24" s="61" t="s">
        <v>445</v>
      </c>
      <c r="D24" s="62" t="n">
        <v>38.51</v>
      </c>
      <c r="E24" s="62" t="n">
        <v>38.51</v>
      </c>
      <c r="F24" s="62" t="n">
        <v>36.58</v>
      </c>
      <c r="G24" s="63" t="n">
        <v>0.188976912364795</v>
      </c>
      <c r="H24" s="61" t="n">
        <v>0.846564729481012</v>
      </c>
      <c r="I24" s="61" t="s">
        <v>155</v>
      </c>
      <c r="J24" s="60" t="s">
        <v>400</v>
      </c>
      <c r="K24" s="64" t="str">
        <f aca="false">IF($A24="","",IF(AND(G24&lt;20%,H24&gt;0.9),"核心池",IF(AND(H24&gt;=0.85),"观察池",IF(AND(H24&gt;=0.8),"边缘池",""))))</f>
        <v>边缘池</v>
      </c>
      <c r="L24" s="65" t="str">
        <f aca="false">IF($A24="","",IF(AND(G24&lt;60%,H24&gt;0.8,I24="True"),"是","否"))</f>
        <v>是</v>
      </c>
      <c r="M24" s="65" t="str">
        <f aca="false">IF($A24="","",IF(AND(D24&gt;0,E24&gt;0,D24&lt;=E24*1.02),"是","否"))</f>
        <v>是</v>
      </c>
      <c r="N24" s="66" t="n">
        <f aca="false">IFERROR(INDEX(账户总表!$O:$O,COUNTA(账户总表!$A:$A)),0)</f>
        <v>0.35</v>
      </c>
      <c r="O24" s="67" t="n">
        <f aca="false">IFERROR(INDEX(账户总表!$B:$B,COUNTA(账户总表!$A:$A))*N24,0)</f>
        <v>7294.812</v>
      </c>
      <c r="P24" s="68" t="n">
        <f aca="false">IFERROR(O24/D24,0)</f>
        <v>189.426434692288</v>
      </c>
      <c r="Q24" s="68" t="n">
        <f aca="false">IFERROR(FLOOR(P24,100),0)</f>
        <v>100</v>
      </c>
      <c r="R24" s="68" t="n">
        <f aca="false">IFERROR(CEILING(800/(100*D24),1)*100,0)</f>
        <v>100</v>
      </c>
      <c r="S24" s="69"/>
      <c r="T24" s="67" t="n">
        <f aca="false">IFERROR(S24*D24,0)</f>
        <v>0</v>
      </c>
      <c r="U24" s="66" t="n">
        <f aca="false">IFERROR(T24/INDEX(账户总表!$B:$B,COUNTA(账户总表!$A:$A)),0)</f>
        <v>0</v>
      </c>
      <c r="V24" s="66" t="n">
        <f aca="false">IFERROR(INDEX(账户总表!$E:$E,COUNTA(账户总表!$A:$A))+U24,0)</f>
        <v>0.407056412146057</v>
      </c>
      <c r="W24" s="65" t="str">
        <f aca="false">IF($A24="","",IFERROR(IF(V24&lt;=INDEX(账户总表!$N:$N,COUNTA(账户总表!$A:$A)),"是","否"),"否"))</f>
        <v>否</v>
      </c>
      <c r="X24" s="67" t="n">
        <f aca="false">IF($A24="","",MAX(F24*0.98,D24*0.92))</f>
        <v>35.8484</v>
      </c>
      <c r="Y24" s="61"/>
      <c r="Z24" s="65" t="str">
        <f aca="false">IF($A24="","",IFERROR(IF(AND(T24&gt;INDEX(账户总表!$C:$C,COUNTA(账户总表!$A:$A)),L24="是"),"是","否"),"否"))</f>
        <v>否</v>
      </c>
      <c r="AA24" s="67" t="n">
        <f aca="false">IF($A24="","",IFERROR(IF(Z24="是",MAX(0,T24-INDEX(账户总表!$C:$C,COUNTA(账户总表!$A:$A)),IF(N24&gt;0,T24/N24-INDEX(账户总表!$B:$B,COUNTA(账户总表!$A:$A)),0)),0),0))</f>
        <v>0</v>
      </c>
      <c r="AB24" s="67" t="n">
        <f aca="false">IF($A24="","",IF(AND(Z24="是",INDEX(账户总表!$U:$U,COUNTA(账户总表!$A:$A))="是"),IF(INDEX(账户总表!$L:$L,COUNTA(账户总表!$A:$A))&gt;=4,AA24*1.5,AA24),0))</f>
        <v>0</v>
      </c>
      <c r="AC24" s="65" t="str">
        <f aca="false">IF($A24="","",IF(AND(L24="是",Q24&gt;=R24,S24&lt;=Q24,S24&gt;=R24,W24="是",X24&gt;0,M24="是",INDEX(账户总表!$M:$M,COUNTA(账户总表!$A:$A))&lt;=2,INDEX(账户总表!$V:$V,COUNTA(账户总表!$A:$A))="是",OR(T24&lt;=INDEX(账户总表!$C:$C,COUNTA(账户总表!$A:$A)),AND(Z24="是",INDEX(账户总表!$U:$U,COUNTA(账户总表!$A:$A))="是",AB24&gt;0))),"是","否"))</f>
        <v>否</v>
      </c>
      <c r="AD24" s="65" t="str">
        <f aca="false">IF($A24="","",IF(L24&lt;&gt;"是","信号未确认",IF(X24&lt;=0,"止损价未定义",IF(Q24&lt;R24,"100股约束不满足",IF(S24&gt;Q24,"计划股数超单股上限",IF(S24&lt;R24,"计划股数低于最小门槛",IF(W24&lt;&gt;"是","总仓位超限",IF(M24&lt;&gt;"是","追价",IF(INDEX(账户总表!$M:$M,COUNTA(账户总表!$A:$A))&gt;2,"亏钱效应偏高",IF(INDEX(账户总表!$V:$V,COUNTA(账户总表!$A:$A))&lt;&gt;"是","账户不允许新开仓",IF(AND(T24&gt;INDEX(账户总表!$C:$C,COUNTA(账户总表!$A:$A)),INDEX(账户总表!$U:$U,COUNTA(账户总表!$A:$A))&lt;&gt;"是"),"现金不足且不允许转入",IF(AND(Z24="是",AB24&lt;=0),"转入金额未满足",""))))))))))))</f>
        <v>计划股数低于最小门槛</v>
      </c>
      <c r="AE24" s="60"/>
      <c r="AF24" s="1" t="n">
        <f aca="false">IF($A24="","",D24*100)</f>
        <v>3851</v>
      </c>
      <c r="AG24" s="1" t="n">
        <f aca="false">IF($A24="","",IFERROR(AF24/INDEX(账户总表!$B:$B,COUNTA(账户总表!$A:$A)),0))</f>
        <v>0.184768298346825</v>
      </c>
      <c r="AH24" s="1" t="n">
        <f aca="false">IF($A24="","",IFERROR(INDEX(账户总表!$B:$B,COUNTA(账户总表!$A:$A))*INDEX(账户总表!$O:$O,COUNTA(账户总表!$A:$A)),0))</f>
        <v>7294.812</v>
      </c>
      <c r="AI24" s="1" t="str">
        <f aca="false">IF($A24="","",IF(AF24&gt;AH24,"超限","合规"))</f>
        <v>合规</v>
      </c>
      <c r="AJ24" s="1" t="n">
        <f aca="false">IF($A24="","",IFERROR(AF24/INDEX(账户总表!$O:$O,COUNTA(账户总表!$A:$A)),0))</f>
        <v>11002.8571428571</v>
      </c>
      <c r="AK24" s="1" t="n">
        <f aca="false">IF($A24="","",IFERROR(MAX(0,AJ24-INDEX(账户总表!$B:$B,COUNTA(账户总表!$A:$A)),AF24-INDEX(账户总表!$C:$C,COUNTA(账户总表!$A:$A))),0))</f>
        <v>0</v>
      </c>
      <c r="AL24" s="1" t="str">
        <f aca="false">IF($A24="","",IF(COUNTIF(持仓表!$C$2:$C$201,C24)&gt;0,"已有","新标的"))</f>
        <v>新标的</v>
      </c>
      <c r="AM24" s="1" t="n">
        <f aca="false">IF($A24="","",IFERROR(SUMIFS(持仓表!$N$2:$N$201,持仓表!$C$2:$C$201,C24,持仓表!$A$2:$A$201,$A24),0))</f>
        <v>0</v>
      </c>
      <c r="AN24" s="1" t="n">
        <f aca="false">IF($A24="","",IFERROR(AM24+AF24/INDEX(账户总表!$B:$B,COUNTA(账户总表!$A:$A)),0))</f>
        <v>0.184768298346825</v>
      </c>
      <c r="AO24" s="1" t="str">
        <f aca="false">IF($A24="","",IF(AN24&gt;INDEX(账户总表!$O:$O,COUNTA(账户总表!$A:$A)),"超限","合规"))</f>
        <v>合规</v>
      </c>
      <c r="AP24" s="1" t="str">
        <f aca="false">IF($A24="","",IF(AND(AL24="新标的",INDEX(账户总表!$R:$R,COUNTA(账户总表!$A:$A))&gt;=INDEX(账户总表!$S:$S,COUNTA(账户总表!$A:$A))),"新增受限","可通过"))</f>
        <v>新增受限</v>
      </c>
      <c r="AQ24" s="1" t="str">
        <f aca="false">IF($A24="","",IF(K24&lt;&gt;"核心池","非核心池",IF(OR(AI24="超限",AO24="超限",AP24="新增受限"),"不可加仓","可加仓")))</f>
        <v>非核心池</v>
      </c>
      <c r="AR24" s="1" t="str">
        <f aca="false">IF($A24="","",TRIM(IF(AI24="超限","1手超单股上限；","")&amp;IF(AO24="超限","买后仓位超限；","")&amp;IF(AP24="新增受限","有效持仓数超限；","")&amp;IF(AF24&gt;INDEX(账户总表!$C:$C,COUNTA(账户总表!$A:$A)),"现金不足；","")))</f>
        <v>有效持仓数超限；</v>
      </c>
      <c r="AS24" s="1" t="n">
        <f aca="false">IF($A24="","",IFERROR(INDEX(候选池历史!$L:$L,MATCH(1,(候选池历史!$B:$B=C24)*(候选池历史!$A:$A=$A24),0)),0))</f>
        <v>0</v>
      </c>
      <c r="AT24" s="1" t="str">
        <f aca="false">IF($A24="","",IF(AS24&gt;=3,"★信号强化",IF(K24="核心池","核心观察","")))</f>
        <v/>
      </c>
      <c r="AU24" s="1" t="str">
        <f aca="false">IF($A24="","",IF(AK24&gt;30000-INDEX(账户总表!$B:$B,COUNTA(账户总表!$A:$A)),"不适合婴儿阶段","可纳入幼儿路径"))</f>
        <v>可纳入幼儿路径</v>
      </c>
    </row>
    <row r="25" customFormat="false" ht="15" hidden="false" customHeight="true" outlineLevel="0" collapsed="false">
      <c r="A25" s="59" t="n">
        <v>46229</v>
      </c>
      <c r="B25" s="60" t="s">
        <v>446</v>
      </c>
      <c r="C25" s="61" t="s">
        <v>447</v>
      </c>
      <c r="D25" s="62" t="n">
        <v>8.46</v>
      </c>
      <c r="E25" s="62" t="n">
        <v>8.46</v>
      </c>
      <c r="F25" s="62" t="n">
        <v>8.04</v>
      </c>
      <c r="G25" s="63" t="n">
        <v>0.384101052971927</v>
      </c>
      <c r="H25" s="61" t="n">
        <v>0.842620091964338</v>
      </c>
      <c r="I25" s="61" t="s">
        <v>155</v>
      </c>
      <c r="J25" s="60" t="s">
        <v>400</v>
      </c>
      <c r="K25" s="64" t="str">
        <f aca="false">IF($A25="","",IF(AND(G25&lt;20%,H25&gt;0.9),"核心池",IF(AND(H25&gt;=0.85),"观察池",IF(AND(H25&gt;=0.8),"边缘池",""))))</f>
        <v>边缘池</v>
      </c>
      <c r="L25" s="65" t="str">
        <f aca="false">IF($A25="","",IF(AND(G25&lt;60%,H25&gt;0.8,I25="True"),"是","否"))</f>
        <v>是</v>
      </c>
      <c r="M25" s="65" t="str">
        <f aca="false">IF($A25="","",IF(AND(D25&gt;0,E25&gt;0,D25&lt;=E25*1.02),"是","否"))</f>
        <v>是</v>
      </c>
      <c r="N25" s="66" t="n">
        <f aca="false">IFERROR(INDEX(账户总表!$O:$O,COUNTA(账户总表!$A:$A)),0)</f>
        <v>0.35</v>
      </c>
      <c r="O25" s="67" t="n">
        <f aca="false">IFERROR(INDEX(账户总表!$B:$B,COUNTA(账户总表!$A:$A))*N25,0)</f>
        <v>7294.812</v>
      </c>
      <c r="P25" s="68" t="n">
        <f aca="false">IFERROR(O25/D25,0)</f>
        <v>862.270921985816</v>
      </c>
      <c r="Q25" s="68" t="n">
        <f aca="false">IFERROR(FLOOR(P25,100),0)</f>
        <v>800</v>
      </c>
      <c r="R25" s="68" t="n">
        <f aca="false">IFERROR(CEILING(800/(100*D25),1)*100,0)</f>
        <v>100</v>
      </c>
      <c r="S25" s="69"/>
      <c r="T25" s="67" t="n">
        <f aca="false">IFERROR(S25*D25,0)</f>
        <v>0</v>
      </c>
      <c r="U25" s="66" t="n">
        <f aca="false">IFERROR(T25/INDEX(账户总表!$B:$B,COUNTA(账户总表!$A:$A)),0)</f>
        <v>0</v>
      </c>
      <c r="V25" s="66" t="n">
        <f aca="false">IFERROR(INDEX(账户总表!$E:$E,COUNTA(账户总表!$A:$A))+U25,0)</f>
        <v>0.407056412146057</v>
      </c>
      <c r="W25" s="65" t="str">
        <f aca="false">IF($A25="","",IFERROR(IF(V25&lt;=INDEX(账户总表!$N:$N,COUNTA(账户总表!$A:$A)),"是","否"),"否"))</f>
        <v>否</v>
      </c>
      <c r="X25" s="67" t="n">
        <f aca="false">IF($A25="","",MAX(F25*0.98,D25*0.92))</f>
        <v>7.8792</v>
      </c>
      <c r="Y25" s="61"/>
      <c r="Z25" s="65" t="str">
        <f aca="false">IF($A25="","",IFERROR(IF(AND(T25&gt;INDEX(账户总表!$C:$C,COUNTA(账户总表!$A:$A)),L25="是"),"是","否"),"否"))</f>
        <v>否</v>
      </c>
      <c r="AA25" s="67" t="n">
        <f aca="false">IF($A25="","",IFERROR(IF(Z25="是",MAX(0,T25-INDEX(账户总表!$C:$C,COUNTA(账户总表!$A:$A)),IF(N25&gt;0,T25/N25-INDEX(账户总表!$B:$B,COUNTA(账户总表!$A:$A)),0)),0),0))</f>
        <v>0</v>
      </c>
      <c r="AB25" s="67" t="n">
        <f aca="false">IF($A25="","",IF(AND(Z25="是",INDEX(账户总表!$U:$U,COUNTA(账户总表!$A:$A))="是"),IF(INDEX(账户总表!$L:$L,COUNTA(账户总表!$A:$A))&gt;=4,AA25*1.5,AA25),0))</f>
        <v>0</v>
      </c>
      <c r="AC25" s="65" t="str">
        <f aca="false">IF($A25="","",IF(AND(L25="是",Q25&gt;=R25,S25&lt;=Q25,S25&gt;=R25,W25="是",X25&gt;0,M25="是",INDEX(账户总表!$M:$M,COUNTA(账户总表!$A:$A))&lt;=2,INDEX(账户总表!$V:$V,COUNTA(账户总表!$A:$A))="是",OR(T25&lt;=INDEX(账户总表!$C:$C,COUNTA(账户总表!$A:$A)),AND(Z25="是",INDEX(账户总表!$U:$U,COUNTA(账户总表!$A:$A))="是",AB25&gt;0))),"是","否"))</f>
        <v>否</v>
      </c>
      <c r="AD25" s="65" t="str">
        <f aca="false">IF($A25="","",IF(L25&lt;&gt;"是","信号未确认",IF(X25&lt;=0,"止损价未定义",IF(Q25&lt;R25,"100股约束不满足",IF(S25&gt;Q25,"计划股数超单股上限",IF(S25&lt;R25,"计划股数低于最小门槛",IF(W25&lt;&gt;"是","总仓位超限",IF(M25&lt;&gt;"是","追价",IF(INDEX(账户总表!$M:$M,COUNTA(账户总表!$A:$A))&gt;2,"亏钱效应偏高",IF(INDEX(账户总表!$V:$V,COUNTA(账户总表!$A:$A))&lt;&gt;"是","账户不允许新开仓",IF(AND(T25&gt;INDEX(账户总表!$C:$C,COUNTA(账户总表!$A:$A)),INDEX(账户总表!$U:$U,COUNTA(账户总表!$A:$A))&lt;&gt;"是"),"现金不足且不允许转入",IF(AND(Z25="是",AB25&lt;=0),"转入金额未满足",""))))))))))))</f>
        <v>计划股数低于最小门槛</v>
      </c>
      <c r="AE25" s="60"/>
      <c r="AF25" s="1" t="n">
        <f aca="false">IF($A25="","",D25*100)</f>
        <v>846</v>
      </c>
      <c r="AG25" s="1" t="n">
        <f aca="false">IF($A25="","",IFERROR(AF25/INDEX(账户总表!$B:$B,COUNTA(账户总表!$A:$A)),0))</f>
        <v>0.0405904908858515</v>
      </c>
      <c r="AH25" s="1" t="n">
        <f aca="false">IF($A25="","",IFERROR(INDEX(账户总表!$B:$B,COUNTA(账户总表!$A:$A))*INDEX(账户总表!$O:$O,COUNTA(账户总表!$A:$A)),0))</f>
        <v>7294.812</v>
      </c>
      <c r="AI25" s="1" t="str">
        <f aca="false">IF($A25="","",IF(AF25&gt;AH25,"超限","合规"))</f>
        <v>合规</v>
      </c>
      <c r="AJ25" s="1" t="n">
        <f aca="false">IF($A25="","",IFERROR(AF25/INDEX(账户总表!$O:$O,COUNTA(账户总表!$A:$A)),0))</f>
        <v>2417.14285714286</v>
      </c>
      <c r="AK25" s="1" t="n">
        <f aca="false">IF($A25="","",IFERROR(MAX(0,AJ25-INDEX(账户总表!$B:$B,COUNTA(账户总表!$A:$A)),AF25-INDEX(账户总表!$C:$C,COUNTA(账户总表!$A:$A))),0))</f>
        <v>0</v>
      </c>
      <c r="AL25" s="1" t="str">
        <f aca="false">IF($A25="","",IF(COUNTIF(持仓表!$C$2:$C$201,C25)&gt;0,"已有","新标的"))</f>
        <v>新标的</v>
      </c>
      <c r="AM25" s="1" t="n">
        <f aca="false">IF($A25="","",IFERROR(SUMIFS(持仓表!$N$2:$N$201,持仓表!$C$2:$C$201,C25,持仓表!$A$2:$A$201,$A25),0))</f>
        <v>0</v>
      </c>
      <c r="AN25" s="1" t="n">
        <f aca="false">IF($A25="","",IFERROR(AM25+AF25/INDEX(账户总表!$B:$B,COUNTA(账户总表!$A:$A)),0))</f>
        <v>0.0405904908858515</v>
      </c>
      <c r="AO25" s="1" t="str">
        <f aca="false">IF($A25="","",IF(AN25&gt;INDEX(账户总表!$O:$O,COUNTA(账户总表!$A:$A)),"超限","合规"))</f>
        <v>合规</v>
      </c>
      <c r="AP25" s="1" t="str">
        <f aca="false">IF($A25="","",IF(AND(AL25="新标的",INDEX(账户总表!$R:$R,COUNTA(账户总表!$A:$A))&gt;=INDEX(账户总表!$S:$S,COUNTA(账户总表!$A:$A))),"新增受限","可通过"))</f>
        <v>新增受限</v>
      </c>
      <c r="AQ25" s="1" t="str">
        <f aca="false">IF($A25="","",IF(K25&lt;&gt;"核心池","非核心池",IF(OR(AI25="超限",AO25="超限",AP25="新增受限"),"不可加仓","可加仓")))</f>
        <v>非核心池</v>
      </c>
      <c r="AR25" s="1" t="str">
        <f aca="false">IF($A25="","",TRIM(IF(AI25="超限","1手超单股上限；","")&amp;IF(AO25="超限","买后仓位超限；","")&amp;IF(AP25="新增受限","有效持仓数超限；","")&amp;IF(AF25&gt;INDEX(账户总表!$C:$C,COUNTA(账户总表!$A:$A)),"现金不足；","")))</f>
        <v>有效持仓数超限；</v>
      </c>
      <c r="AS25" s="1" t="n">
        <f aca="false">IF($A25="","",IFERROR(INDEX(候选池历史!$L:$L,MATCH(1,(候选池历史!$B:$B=C25)*(候选池历史!$A:$A=$A25),0)),0))</f>
        <v>0</v>
      </c>
      <c r="AT25" s="1" t="str">
        <f aca="false">IF($A25="","",IF(AS25&gt;=3,"★信号强化",IF(K25="核心池","核心观察","")))</f>
        <v/>
      </c>
      <c r="AU25" s="1" t="str">
        <f aca="false">IF($A25="","",IF(AK25&gt;30000-INDEX(账户总表!$B:$B,COUNTA(账户总表!$A:$A)),"不适合婴儿阶段","可纳入幼儿路径"))</f>
        <v>可纳入幼儿路径</v>
      </c>
    </row>
    <row r="26" customFormat="false" ht="15" hidden="false" customHeight="true" outlineLevel="0" collapsed="false">
      <c r="A26" s="59" t="n">
        <v>46229</v>
      </c>
      <c r="B26" s="60" t="s">
        <v>448</v>
      </c>
      <c r="C26" s="61" t="s">
        <v>449</v>
      </c>
      <c r="D26" s="62" t="n">
        <v>16.01</v>
      </c>
      <c r="E26" s="62" t="n">
        <v>16.01</v>
      </c>
      <c r="F26" s="62" t="n">
        <v>15.21</v>
      </c>
      <c r="G26" s="63" t="n">
        <v>0.193741864254793</v>
      </c>
      <c r="H26" s="61" t="n">
        <v>0.84110522239601</v>
      </c>
      <c r="I26" s="61" t="s">
        <v>155</v>
      </c>
      <c r="J26" s="60" t="s">
        <v>400</v>
      </c>
      <c r="K26" s="64" t="str">
        <f aca="false">IF($A26="","",IF(AND(G26&lt;20%,H26&gt;0.9),"核心池",IF(AND(H26&gt;=0.85),"观察池",IF(AND(H26&gt;=0.8),"边缘池",""))))</f>
        <v>边缘池</v>
      </c>
      <c r="L26" s="65" t="str">
        <f aca="false">IF($A26="","",IF(AND(G26&lt;60%,H26&gt;0.8,I26="True"),"是","否"))</f>
        <v>是</v>
      </c>
      <c r="M26" s="65" t="str">
        <f aca="false">IF($A26="","",IF(AND(D26&gt;0,E26&gt;0,D26&lt;=E26*1.02),"是","否"))</f>
        <v>是</v>
      </c>
      <c r="N26" s="66" t="n">
        <f aca="false">IFERROR(INDEX(账户总表!$O:$O,COUNTA(账户总表!$A:$A)),0)</f>
        <v>0.35</v>
      </c>
      <c r="O26" s="67" t="n">
        <f aca="false">IFERROR(INDEX(账户总表!$B:$B,COUNTA(账户总表!$A:$A))*N26,0)</f>
        <v>7294.812</v>
      </c>
      <c r="P26" s="68" t="n">
        <f aca="false">IFERROR(O26/D26,0)</f>
        <v>455.640974391006</v>
      </c>
      <c r="Q26" s="68" t="n">
        <f aca="false">IFERROR(FLOOR(P26,100),0)</f>
        <v>400</v>
      </c>
      <c r="R26" s="68" t="n">
        <f aca="false">IFERROR(CEILING(800/(100*D26),1)*100,0)</f>
        <v>100</v>
      </c>
      <c r="S26" s="69"/>
      <c r="T26" s="67" t="n">
        <f aca="false">IFERROR(S26*D26,0)</f>
        <v>0</v>
      </c>
      <c r="U26" s="66" t="n">
        <f aca="false">IFERROR(T26/INDEX(账户总表!$B:$B,COUNTA(账户总表!$A:$A)),0)</f>
        <v>0</v>
      </c>
      <c r="V26" s="66" t="n">
        <f aca="false">IFERROR(INDEX(账户总表!$E:$E,COUNTA(账户总表!$A:$A))+U26,0)</f>
        <v>0.407056412146057</v>
      </c>
      <c r="W26" s="65" t="str">
        <f aca="false">IF($A26="","",IFERROR(IF(V26&lt;=INDEX(账户总表!$N:$N,COUNTA(账户总表!$A:$A)),"是","否"),"否"))</f>
        <v>否</v>
      </c>
      <c r="X26" s="67" t="n">
        <f aca="false">IF($A26="","",MAX(F26*0.98,D26*0.92))</f>
        <v>14.9058</v>
      </c>
      <c r="Y26" s="61"/>
      <c r="Z26" s="65" t="str">
        <f aca="false">IF($A26="","",IFERROR(IF(AND(T26&gt;INDEX(账户总表!$C:$C,COUNTA(账户总表!$A:$A)),L26="是"),"是","否"),"否"))</f>
        <v>否</v>
      </c>
      <c r="AA26" s="67" t="n">
        <f aca="false">IF($A26="","",IFERROR(IF(Z26="是",MAX(0,T26-INDEX(账户总表!$C:$C,COUNTA(账户总表!$A:$A)),IF(N26&gt;0,T26/N26-INDEX(账户总表!$B:$B,COUNTA(账户总表!$A:$A)),0)),0),0))</f>
        <v>0</v>
      </c>
      <c r="AB26" s="67" t="n">
        <f aca="false">IF($A26="","",IF(AND(Z26="是",INDEX(账户总表!$U:$U,COUNTA(账户总表!$A:$A))="是"),IF(INDEX(账户总表!$L:$L,COUNTA(账户总表!$A:$A))&gt;=4,AA26*1.5,AA26),0))</f>
        <v>0</v>
      </c>
      <c r="AC26" s="65" t="str">
        <f aca="false">IF($A26="","",IF(AND(L26="是",Q26&gt;=R26,S26&lt;=Q26,S26&gt;=R26,W26="是",X26&gt;0,M26="是",INDEX(账户总表!$M:$M,COUNTA(账户总表!$A:$A))&lt;=2,INDEX(账户总表!$V:$V,COUNTA(账户总表!$A:$A))="是",OR(T26&lt;=INDEX(账户总表!$C:$C,COUNTA(账户总表!$A:$A)),AND(Z26="是",INDEX(账户总表!$U:$U,COUNTA(账户总表!$A:$A))="是",AB26&gt;0))),"是","否"))</f>
        <v>否</v>
      </c>
      <c r="AD26" s="65" t="str">
        <f aca="false">IF($A26="","",IF(L26&lt;&gt;"是","信号未确认",IF(X26&lt;=0,"止损价未定义",IF(Q26&lt;R26,"100股约束不满足",IF(S26&gt;Q26,"计划股数超单股上限",IF(S26&lt;R26,"计划股数低于最小门槛",IF(W26&lt;&gt;"是","总仓位超限",IF(M26&lt;&gt;"是","追价",IF(INDEX(账户总表!$M:$M,COUNTA(账户总表!$A:$A))&gt;2,"亏钱效应偏高",IF(INDEX(账户总表!$V:$V,COUNTA(账户总表!$A:$A))&lt;&gt;"是","账户不允许新开仓",IF(AND(T26&gt;INDEX(账户总表!$C:$C,COUNTA(账户总表!$A:$A)),INDEX(账户总表!$U:$U,COUNTA(账户总表!$A:$A))&lt;&gt;"是"),"现金不足且不允许转入",IF(AND(Z26="是",AB26&lt;=0),"转入金额未满足",""))))))))))))</f>
        <v>计划股数低于最小门槛</v>
      </c>
      <c r="AE26" s="60"/>
      <c r="AF26" s="1" t="n">
        <f aca="false">IF($A26="","",D26*100)</f>
        <v>1601</v>
      </c>
      <c r="AG26" s="1" t="n">
        <f aca="false">IF($A26="","",IFERROR(AF26/INDEX(账户总表!$B:$B,COUNTA(账户总表!$A:$A)),0))</f>
        <v>0.0768148651397733</v>
      </c>
      <c r="AH26" s="1" t="n">
        <f aca="false">IF($A26="","",IFERROR(INDEX(账户总表!$B:$B,COUNTA(账户总表!$A:$A))*INDEX(账户总表!$O:$O,COUNTA(账户总表!$A:$A)),0))</f>
        <v>7294.812</v>
      </c>
      <c r="AI26" s="1" t="str">
        <f aca="false">IF($A26="","",IF(AF26&gt;AH26,"超限","合规"))</f>
        <v>合规</v>
      </c>
      <c r="AJ26" s="1" t="n">
        <f aca="false">IF($A26="","",IFERROR(AF26/INDEX(账户总表!$O:$O,COUNTA(账户总表!$A:$A)),0))</f>
        <v>4574.28571428572</v>
      </c>
      <c r="AK26" s="1" t="n">
        <f aca="false">IF($A26="","",IFERROR(MAX(0,AJ26-INDEX(账户总表!$B:$B,COUNTA(账户总表!$A:$A)),AF26-INDEX(账户总表!$C:$C,COUNTA(账户总表!$A:$A))),0))</f>
        <v>0</v>
      </c>
      <c r="AL26" s="1" t="str">
        <f aca="false">IF($A26="","",IF(COUNTIF(持仓表!$C$2:$C$201,C26)&gt;0,"已有","新标的"))</f>
        <v>新标的</v>
      </c>
      <c r="AM26" s="1" t="n">
        <f aca="false">IF($A26="","",IFERROR(SUMIFS(持仓表!$N$2:$N$201,持仓表!$C$2:$C$201,C26,持仓表!$A$2:$A$201,$A26),0))</f>
        <v>0</v>
      </c>
      <c r="AN26" s="1" t="n">
        <f aca="false">IF($A26="","",IFERROR(AM26+AF26/INDEX(账户总表!$B:$B,COUNTA(账户总表!$A:$A)),0))</f>
        <v>0.0768148651397733</v>
      </c>
      <c r="AO26" s="1" t="str">
        <f aca="false">IF($A26="","",IF(AN26&gt;INDEX(账户总表!$O:$O,COUNTA(账户总表!$A:$A)),"超限","合规"))</f>
        <v>合规</v>
      </c>
      <c r="AP26" s="1" t="str">
        <f aca="false">IF($A26="","",IF(AND(AL26="新标的",INDEX(账户总表!$R:$R,COUNTA(账户总表!$A:$A))&gt;=INDEX(账户总表!$S:$S,COUNTA(账户总表!$A:$A))),"新增受限","可通过"))</f>
        <v>新增受限</v>
      </c>
      <c r="AQ26" s="1" t="str">
        <f aca="false">IF($A26="","",IF(K26&lt;&gt;"核心池","非核心池",IF(OR(AI26="超限",AO26="超限",AP26="新增受限"),"不可加仓","可加仓")))</f>
        <v>非核心池</v>
      </c>
      <c r="AR26" s="1" t="str">
        <f aca="false">IF($A26="","",TRIM(IF(AI26="超限","1手超单股上限；","")&amp;IF(AO26="超限","买后仓位超限；","")&amp;IF(AP26="新增受限","有效持仓数超限；","")&amp;IF(AF26&gt;INDEX(账户总表!$C:$C,COUNTA(账户总表!$A:$A)),"现金不足；","")))</f>
        <v>有效持仓数超限；</v>
      </c>
      <c r="AS26" s="1" t="n">
        <f aca="false">IF($A26="","",IFERROR(INDEX(候选池历史!$L:$L,MATCH(1,(候选池历史!$B:$B=C26)*(候选池历史!$A:$A=$A26),0)),0))</f>
        <v>0</v>
      </c>
      <c r="AT26" s="1" t="str">
        <f aca="false">IF($A26="","",IF(AS26&gt;=3,"★信号强化",IF(K26="核心池","核心观察","")))</f>
        <v/>
      </c>
      <c r="AU26" s="1" t="str">
        <f aca="false">IF($A26="","",IF(AK26&gt;30000-INDEX(账户总表!$B:$B,COUNTA(账户总表!$A:$A)),"不适合婴儿阶段","可纳入幼儿路径"))</f>
        <v>可纳入幼儿路径</v>
      </c>
    </row>
    <row r="27" customFormat="false" ht="15" hidden="false" customHeight="true" outlineLevel="0" collapsed="false">
      <c r="A27" s="59" t="n">
        <v>46229</v>
      </c>
      <c r="B27" s="60" t="s">
        <v>450</v>
      </c>
      <c r="C27" s="61" t="s">
        <v>451</v>
      </c>
      <c r="D27" s="62" t="n">
        <v>8.49</v>
      </c>
      <c r="E27" s="62" t="n">
        <v>8.49</v>
      </c>
      <c r="F27" s="62" t="n">
        <v>8.07</v>
      </c>
      <c r="G27" s="63" t="n">
        <v>0.306636304093562</v>
      </c>
      <c r="H27" s="61" t="n">
        <v>0.825728706833739</v>
      </c>
      <c r="I27" s="61" t="s">
        <v>155</v>
      </c>
      <c r="J27" s="60" t="s">
        <v>400</v>
      </c>
      <c r="K27" s="64" t="str">
        <f aca="false">IF($A27="","",IF(AND(G27&lt;20%,H27&gt;0.9),"核心池",IF(AND(H27&gt;=0.85),"观察池",IF(AND(H27&gt;=0.8),"边缘池",""))))</f>
        <v>边缘池</v>
      </c>
      <c r="L27" s="65" t="str">
        <f aca="false">IF($A27="","",IF(AND(G27&lt;60%,H27&gt;0.8,I27="True"),"是","否"))</f>
        <v>是</v>
      </c>
      <c r="M27" s="65" t="str">
        <f aca="false">IF($A27="","",IF(AND(D27&gt;0,E27&gt;0,D27&lt;=E27*1.02),"是","否"))</f>
        <v>是</v>
      </c>
      <c r="N27" s="66" t="n">
        <f aca="false">IFERROR(INDEX(账户总表!$O:$O,COUNTA(账户总表!$A:$A)),0)</f>
        <v>0.35</v>
      </c>
      <c r="O27" s="67" t="n">
        <f aca="false">IFERROR(INDEX(账户总表!$B:$B,COUNTA(账户总表!$A:$A))*N27,0)</f>
        <v>7294.812</v>
      </c>
      <c r="P27" s="68" t="n">
        <f aca="false">IFERROR(O27/D27,0)</f>
        <v>859.224028268551</v>
      </c>
      <c r="Q27" s="68" t="n">
        <f aca="false">IFERROR(FLOOR(P27,100),0)</f>
        <v>800</v>
      </c>
      <c r="R27" s="68" t="n">
        <f aca="false">IFERROR(CEILING(800/(100*D27),1)*100,0)</f>
        <v>100</v>
      </c>
      <c r="S27" s="69"/>
      <c r="T27" s="67" t="n">
        <f aca="false">IFERROR(S27*D27,0)</f>
        <v>0</v>
      </c>
      <c r="U27" s="66" t="n">
        <f aca="false">IFERROR(T27/INDEX(账户总表!$B:$B,COUNTA(账户总表!$A:$A)),0)</f>
        <v>0</v>
      </c>
      <c r="V27" s="66" t="n">
        <f aca="false">IFERROR(INDEX(账户总表!$E:$E,COUNTA(账户总表!$A:$A))+U27,0)</f>
        <v>0.407056412146057</v>
      </c>
      <c r="W27" s="65" t="str">
        <f aca="false">IF($A27="","",IFERROR(IF(V27&lt;=INDEX(账户总表!$N:$N,COUNTA(账户总表!$A:$A)),"是","否"),"否"))</f>
        <v>否</v>
      </c>
      <c r="X27" s="67" t="n">
        <f aca="false">IF($A27="","",MAX(F27*0.98,D27*0.92))</f>
        <v>7.9086</v>
      </c>
      <c r="Y27" s="61"/>
      <c r="Z27" s="65" t="str">
        <f aca="false">IF($A27="","",IFERROR(IF(AND(T27&gt;INDEX(账户总表!$C:$C,COUNTA(账户总表!$A:$A)),L27="是"),"是","否"),"否"))</f>
        <v>否</v>
      </c>
      <c r="AA27" s="67" t="n">
        <f aca="false">IF($A27="","",IFERROR(IF(Z27="是",MAX(0,T27-INDEX(账户总表!$C:$C,COUNTA(账户总表!$A:$A)),IF(N27&gt;0,T27/N27-INDEX(账户总表!$B:$B,COUNTA(账户总表!$A:$A)),0)),0),0))</f>
        <v>0</v>
      </c>
      <c r="AB27" s="67" t="n">
        <f aca="false">IF($A27="","",IF(AND(Z27="是",INDEX(账户总表!$U:$U,COUNTA(账户总表!$A:$A))="是"),IF(INDEX(账户总表!$L:$L,COUNTA(账户总表!$A:$A))&gt;=4,AA27*1.5,AA27),0))</f>
        <v>0</v>
      </c>
      <c r="AC27" s="65" t="str">
        <f aca="false">IF($A27="","",IF(AND(L27="是",Q27&gt;=R27,S27&lt;=Q27,S27&gt;=R27,W27="是",X27&gt;0,M27="是",INDEX(账户总表!$M:$M,COUNTA(账户总表!$A:$A))&lt;=2,INDEX(账户总表!$V:$V,COUNTA(账户总表!$A:$A))="是",OR(T27&lt;=INDEX(账户总表!$C:$C,COUNTA(账户总表!$A:$A)),AND(Z27="是",INDEX(账户总表!$U:$U,COUNTA(账户总表!$A:$A))="是",AB27&gt;0))),"是","否"))</f>
        <v>否</v>
      </c>
      <c r="AD27" s="65" t="str">
        <f aca="false">IF($A27="","",IF(L27&lt;&gt;"是","信号未确认",IF(X27&lt;=0,"止损价未定义",IF(Q27&lt;R27,"100股约束不满足",IF(S27&gt;Q27,"计划股数超单股上限",IF(S27&lt;R27,"计划股数低于最小门槛",IF(W27&lt;&gt;"是","总仓位超限",IF(M27&lt;&gt;"是","追价",IF(INDEX(账户总表!$M:$M,COUNTA(账户总表!$A:$A))&gt;2,"亏钱效应偏高",IF(INDEX(账户总表!$V:$V,COUNTA(账户总表!$A:$A))&lt;&gt;"是","账户不允许新开仓",IF(AND(T27&gt;INDEX(账户总表!$C:$C,COUNTA(账户总表!$A:$A)),INDEX(账户总表!$U:$U,COUNTA(账户总表!$A:$A))&lt;&gt;"是"),"现金不足且不允许转入",IF(AND(Z27="是",AB27&lt;=0),"转入金额未满足",""))))))))))))</f>
        <v>计划股数低于最小门槛</v>
      </c>
      <c r="AE27" s="60"/>
      <c r="AF27" s="1" t="n">
        <f aca="false">IF($A27="","",D27*100)</f>
        <v>849</v>
      </c>
      <c r="AG27" s="1" t="n">
        <f aca="false">IF($A27="","",IFERROR(AF27/INDEX(账户总表!$B:$B,COUNTA(账户总表!$A:$A)),0))</f>
        <v>0.0407344287967942</v>
      </c>
      <c r="AH27" s="1" t="n">
        <f aca="false">IF($A27="","",IFERROR(INDEX(账户总表!$B:$B,COUNTA(账户总表!$A:$A))*INDEX(账户总表!$O:$O,COUNTA(账户总表!$A:$A)),0))</f>
        <v>7294.812</v>
      </c>
      <c r="AI27" s="1" t="str">
        <f aca="false">IF($A27="","",IF(AF27&gt;AH27,"超限","合规"))</f>
        <v>合规</v>
      </c>
      <c r="AJ27" s="1" t="n">
        <f aca="false">IF($A27="","",IFERROR(AF27/INDEX(账户总表!$O:$O,COUNTA(账户总表!$A:$A)),0))</f>
        <v>2425.71428571429</v>
      </c>
      <c r="AK27" s="1" t="n">
        <f aca="false">IF($A27="","",IFERROR(MAX(0,AJ27-INDEX(账户总表!$B:$B,COUNTA(账户总表!$A:$A)),AF27-INDEX(账户总表!$C:$C,COUNTA(账户总表!$A:$A))),0))</f>
        <v>0</v>
      </c>
      <c r="AL27" s="1" t="str">
        <f aca="false">IF($A27="","",IF(COUNTIF(持仓表!$C$2:$C$201,C27)&gt;0,"已有","新标的"))</f>
        <v>新标的</v>
      </c>
      <c r="AM27" s="1" t="n">
        <f aca="false">IF($A27="","",IFERROR(SUMIFS(持仓表!$N$2:$N$201,持仓表!$C$2:$C$201,C27,持仓表!$A$2:$A$201,$A27),0))</f>
        <v>0</v>
      </c>
      <c r="AN27" s="1" t="n">
        <f aca="false">IF($A27="","",IFERROR(AM27+AF27/INDEX(账户总表!$B:$B,COUNTA(账户总表!$A:$A)),0))</f>
        <v>0.0407344287967942</v>
      </c>
      <c r="AO27" s="1" t="str">
        <f aca="false">IF($A27="","",IF(AN27&gt;INDEX(账户总表!$O:$O,COUNTA(账户总表!$A:$A)),"超限","合规"))</f>
        <v>合规</v>
      </c>
      <c r="AP27" s="1" t="str">
        <f aca="false">IF($A27="","",IF(AND(AL27="新标的",INDEX(账户总表!$R:$R,COUNTA(账户总表!$A:$A))&gt;=INDEX(账户总表!$S:$S,COUNTA(账户总表!$A:$A))),"新增受限","可通过"))</f>
        <v>新增受限</v>
      </c>
      <c r="AQ27" s="1" t="str">
        <f aca="false">IF($A27="","",IF(K27&lt;&gt;"核心池","非核心池",IF(OR(AI27="超限",AO27="超限",AP27="新增受限"),"不可加仓","可加仓")))</f>
        <v>非核心池</v>
      </c>
      <c r="AR27" s="1" t="str">
        <f aca="false">IF($A27="","",TRIM(IF(AI27="超限","1手超单股上限；","")&amp;IF(AO27="超限","买后仓位超限；","")&amp;IF(AP27="新增受限","有效持仓数超限；","")&amp;IF(AF27&gt;INDEX(账户总表!$C:$C,COUNTA(账户总表!$A:$A)),"现金不足；","")))</f>
        <v>有效持仓数超限；</v>
      </c>
      <c r="AS27" s="1" t="n">
        <f aca="false">IF($A27="","",IFERROR(INDEX(候选池历史!$L:$L,MATCH(1,(候选池历史!$B:$B=C27)*(候选池历史!$A:$A=$A27),0)),0))</f>
        <v>0</v>
      </c>
      <c r="AT27" s="1" t="str">
        <f aca="false">IF($A27="","",IF(AS27&gt;=3,"★信号强化",IF(K27="核心池","核心观察","")))</f>
        <v/>
      </c>
      <c r="AU27" s="1" t="str">
        <f aca="false">IF($A27="","",IF(AK27&gt;30000-INDEX(账户总表!$B:$B,COUNTA(账户总表!$A:$A)),"不适合婴儿阶段","可纳入幼儿路径"))</f>
        <v>可纳入幼儿路径</v>
      </c>
    </row>
    <row r="28" customFormat="false" ht="15" hidden="false" customHeight="true" outlineLevel="0" collapsed="false">
      <c r="A28" s="59" t="n">
        <v>46229</v>
      </c>
      <c r="B28" s="60" t="s">
        <v>452</v>
      </c>
      <c r="C28" s="61" t="s">
        <v>453</v>
      </c>
      <c r="D28" s="62" t="n">
        <v>9.06</v>
      </c>
      <c r="E28" s="62" t="n">
        <v>9.06</v>
      </c>
      <c r="F28" s="62" t="n">
        <v>8.61</v>
      </c>
      <c r="G28" s="63" t="n">
        <v>0.198604737837616</v>
      </c>
      <c r="H28" s="61" t="n">
        <v>0.821510721573981</v>
      </c>
      <c r="I28" s="61" t="s">
        <v>155</v>
      </c>
      <c r="J28" s="60" t="s">
        <v>400</v>
      </c>
      <c r="K28" s="64" t="str">
        <f aca="false">IF($A28="","",IF(AND(G28&lt;20%,H28&gt;0.9),"核心池",IF(AND(H28&gt;=0.85),"观察池",IF(AND(H28&gt;=0.8),"边缘池",""))))</f>
        <v>边缘池</v>
      </c>
      <c r="L28" s="65" t="str">
        <f aca="false">IF($A28="","",IF(AND(G28&lt;60%,H28&gt;0.8,I28="True"),"是","否"))</f>
        <v>是</v>
      </c>
      <c r="M28" s="65" t="str">
        <f aca="false">IF($A28="","",IF(AND(D28&gt;0,E28&gt;0,D28&lt;=E28*1.02),"是","否"))</f>
        <v>是</v>
      </c>
      <c r="N28" s="66" t="n">
        <f aca="false">IFERROR(INDEX(账户总表!$O:$O,COUNTA(账户总表!$A:$A)),0)</f>
        <v>0.35</v>
      </c>
      <c r="O28" s="67" t="n">
        <f aca="false">IFERROR(INDEX(账户总表!$B:$B,COUNTA(账户总表!$A:$A))*N28,0)</f>
        <v>7294.812</v>
      </c>
      <c r="P28" s="68" t="n">
        <f aca="false">IFERROR(O28/D28,0)</f>
        <v>805.166887417219</v>
      </c>
      <c r="Q28" s="68" t="n">
        <f aca="false">IFERROR(FLOOR(P28,100),0)</f>
        <v>800</v>
      </c>
      <c r="R28" s="68" t="n">
        <f aca="false">IFERROR(CEILING(800/(100*D28),1)*100,0)</f>
        <v>100</v>
      </c>
      <c r="S28" s="69"/>
      <c r="T28" s="67" t="n">
        <f aca="false">IFERROR(S28*D28,0)</f>
        <v>0</v>
      </c>
      <c r="U28" s="66" t="n">
        <f aca="false">IFERROR(T28/INDEX(账户总表!$B:$B,COUNTA(账户总表!$A:$A)),0)</f>
        <v>0</v>
      </c>
      <c r="V28" s="66" t="n">
        <f aca="false">IFERROR(INDEX(账户总表!$E:$E,COUNTA(账户总表!$A:$A))+U28,0)</f>
        <v>0.407056412146057</v>
      </c>
      <c r="W28" s="65" t="str">
        <f aca="false">IF($A28="","",IFERROR(IF(V28&lt;=INDEX(账户总表!$N:$N,COUNTA(账户总表!$A:$A)),"是","否"),"否"))</f>
        <v>否</v>
      </c>
      <c r="X28" s="67" t="n">
        <f aca="false">IF($A28="","",MAX(F28*0.98,D28*0.92))</f>
        <v>8.4378</v>
      </c>
      <c r="Y28" s="61"/>
      <c r="Z28" s="65" t="str">
        <f aca="false">IF($A28="","",IFERROR(IF(AND(T28&gt;INDEX(账户总表!$C:$C,COUNTA(账户总表!$A:$A)),L28="是"),"是","否"),"否"))</f>
        <v>否</v>
      </c>
      <c r="AA28" s="67" t="n">
        <f aca="false">IF($A28="","",IFERROR(IF(Z28="是",MAX(0,T28-INDEX(账户总表!$C:$C,COUNTA(账户总表!$A:$A)),IF(N28&gt;0,T28/N28-INDEX(账户总表!$B:$B,COUNTA(账户总表!$A:$A)),0)),0),0))</f>
        <v>0</v>
      </c>
      <c r="AB28" s="67" t="n">
        <f aca="false">IF($A28="","",IF(AND(Z28="是",INDEX(账户总表!$U:$U,COUNTA(账户总表!$A:$A))="是"),IF(INDEX(账户总表!$L:$L,COUNTA(账户总表!$A:$A))&gt;=4,AA28*1.5,AA28),0))</f>
        <v>0</v>
      </c>
      <c r="AC28" s="65" t="str">
        <f aca="false">IF($A28="","",IF(AND(L28="是",Q28&gt;=R28,S28&lt;=Q28,S28&gt;=R28,W28="是",X28&gt;0,M28="是",INDEX(账户总表!$M:$M,COUNTA(账户总表!$A:$A))&lt;=2,INDEX(账户总表!$V:$V,COUNTA(账户总表!$A:$A))="是",OR(T28&lt;=INDEX(账户总表!$C:$C,COUNTA(账户总表!$A:$A)),AND(Z28="是",INDEX(账户总表!$U:$U,COUNTA(账户总表!$A:$A))="是",AB28&gt;0))),"是","否"))</f>
        <v>否</v>
      </c>
      <c r="AD28" s="65" t="str">
        <f aca="false">IF($A28="","",IF(L28&lt;&gt;"是","信号未确认",IF(X28&lt;=0,"止损价未定义",IF(Q28&lt;R28,"100股约束不满足",IF(S28&gt;Q28,"计划股数超单股上限",IF(S28&lt;R28,"计划股数低于最小门槛",IF(W28&lt;&gt;"是","总仓位超限",IF(M28&lt;&gt;"是","追价",IF(INDEX(账户总表!$M:$M,COUNTA(账户总表!$A:$A))&gt;2,"亏钱效应偏高",IF(INDEX(账户总表!$V:$V,COUNTA(账户总表!$A:$A))&lt;&gt;"是","账户不允许新开仓",IF(AND(T28&gt;INDEX(账户总表!$C:$C,COUNTA(账户总表!$A:$A)),INDEX(账户总表!$U:$U,COUNTA(账户总表!$A:$A))&lt;&gt;"是"),"现金不足且不允许转入",IF(AND(Z28="是",AB28&lt;=0),"转入金额未满足",""))))))))))))</f>
        <v>计划股数低于最小门槛</v>
      </c>
      <c r="AE28" s="60"/>
      <c r="AF28" s="1" t="n">
        <f aca="false">IF($A28="","",D28*100)</f>
        <v>906</v>
      </c>
      <c r="AG28" s="1" t="n">
        <f aca="false">IF($A28="","",IFERROR(AF28/INDEX(账户总表!$B:$B,COUNTA(账户总表!$A:$A)),0))</f>
        <v>0.0434692491047062</v>
      </c>
      <c r="AH28" s="1" t="n">
        <f aca="false">IF($A28="","",IFERROR(INDEX(账户总表!$B:$B,COUNTA(账户总表!$A:$A))*INDEX(账户总表!$O:$O,COUNTA(账户总表!$A:$A)),0))</f>
        <v>7294.812</v>
      </c>
      <c r="AI28" s="1" t="str">
        <f aca="false">IF($A28="","",IF(AF28&gt;AH28,"超限","合规"))</f>
        <v>合规</v>
      </c>
      <c r="AJ28" s="1" t="n">
        <f aca="false">IF($A28="","",IFERROR(AF28/INDEX(账户总表!$O:$O,COUNTA(账户总表!$A:$A)),0))</f>
        <v>2588.57142857143</v>
      </c>
      <c r="AK28" s="1" t="n">
        <f aca="false">IF($A28="","",IFERROR(MAX(0,AJ28-INDEX(账户总表!$B:$B,COUNTA(账户总表!$A:$A)),AF28-INDEX(账户总表!$C:$C,COUNTA(账户总表!$A:$A))),0))</f>
        <v>0</v>
      </c>
      <c r="AL28" s="1" t="str">
        <f aca="false">IF($A28="","",IF(COUNTIF(持仓表!$C$2:$C$201,C28)&gt;0,"已有","新标的"))</f>
        <v>新标的</v>
      </c>
      <c r="AM28" s="1" t="n">
        <f aca="false">IF($A28="","",IFERROR(SUMIFS(持仓表!$N$2:$N$201,持仓表!$C$2:$C$201,C28,持仓表!$A$2:$A$201,$A28),0))</f>
        <v>0</v>
      </c>
      <c r="AN28" s="1" t="n">
        <f aca="false">IF($A28="","",IFERROR(AM28+AF28/INDEX(账户总表!$B:$B,COUNTA(账户总表!$A:$A)),0))</f>
        <v>0.0434692491047062</v>
      </c>
      <c r="AO28" s="1" t="str">
        <f aca="false">IF($A28="","",IF(AN28&gt;INDEX(账户总表!$O:$O,COUNTA(账户总表!$A:$A)),"超限","合规"))</f>
        <v>合规</v>
      </c>
      <c r="AP28" s="1" t="str">
        <f aca="false">IF($A28="","",IF(AND(AL28="新标的",INDEX(账户总表!$R:$R,COUNTA(账户总表!$A:$A))&gt;=INDEX(账户总表!$S:$S,COUNTA(账户总表!$A:$A))),"新增受限","可通过"))</f>
        <v>新增受限</v>
      </c>
      <c r="AQ28" s="1" t="str">
        <f aca="false">IF($A28="","",IF(K28&lt;&gt;"核心池","非核心池",IF(OR(AI28="超限",AO28="超限",AP28="新增受限"),"不可加仓","可加仓")))</f>
        <v>非核心池</v>
      </c>
      <c r="AR28" s="1" t="str">
        <f aca="false">IF($A28="","",TRIM(IF(AI28="超限","1手超单股上限；","")&amp;IF(AO28="超限","买后仓位超限；","")&amp;IF(AP28="新增受限","有效持仓数超限；","")&amp;IF(AF28&gt;INDEX(账户总表!$C:$C,COUNTA(账户总表!$A:$A)),"现金不足；","")))</f>
        <v>有效持仓数超限；</v>
      </c>
      <c r="AS28" s="1" t="n">
        <f aca="false">IF($A28="","",IFERROR(INDEX(候选池历史!$L:$L,MATCH(1,(候选池历史!$B:$B=C28)*(候选池历史!$A:$A=$A28),0)),0))</f>
        <v>0</v>
      </c>
      <c r="AT28" s="1" t="str">
        <f aca="false">IF($A28="","",IF(AS28&gt;=3,"★信号强化",IF(K28="核心池","核心观察","")))</f>
        <v/>
      </c>
      <c r="AU28" s="1" t="str">
        <f aca="false">IF($A28="","",IF(AK28&gt;30000-INDEX(账户总表!$B:$B,COUNTA(账户总表!$A:$A)),"不适合婴儿阶段","可纳入幼儿路径"))</f>
        <v>可纳入幼儿路径</v>
      </c>
    </row>
    <row r="29" customFormat="false" ht="15" hidden="false" customHeight="true" outlineLevel="0" collapsed="false">
      <c r="A29" s="59" t="n">
        <v>46229</v>
      </c>
      <c r="B29" s="60" t="s">
        <v>454</v>
      </c>
      <c r="C29" s="61" t="s">
        <v>455</v>
      </c>
      <c r="D29" s="62" t="n">
        <v>30.78</v>
      </c>
      <c r="E29" s="62" t="n">
        <v>30.78</v>
      </c>
      <c r="F29" s="62" t="n">
        <v>29.24</v>
      </c>
      <c r="G29" s="63" t="n">
        <v>0.256598300008733</v>
      </c>
      <c r="H29" s="61" t="n">
        <v>0.818224023423837</v>
      </c>
      <c r="I29" s="61" t="s">
        <v>155</v>
      </c>
      <c r="J29" s="60" t="s">
        <v>400</v>
      </c>
      <c r="K29" s="64" t="str">
        <f aca="false">IF($A29="","",IF(AND(G29&lt;20%,H29&gt;0.9),"核心池",IF(AND(H29&gt;=0.85),"观察池",IF(AND(H29&gt;=0.8),"边缘池",""))))</f>
        <v>边缘池</v>
      </c>
      <c r="L29" s="65" t="str">
        <f aca="false">IF($A29="","",IF(AND(G29&lt;60%,H29&gt;0.8,I29="True"),"是","否"))</f>
        <v>是</v>
      </c>
      <c r="M29" s="65" t="str">
        <f aca="false">IF($A29="","",IF(AND(D29&gt;0,E29&gt;0,D29&lt;=E29*1.02),"是","否"))</f>
        <v>是</v>
      </c>
      <c r="N29" s="66" t="n">
        <f aca="false">IFERROR(INDEX(账户总表!$O:$O,COUNTA(账户总表!$A:$A)),0)</f>
        <v>0.35</v>
      </c>
      <c r="O29" s="67" t="n">
        <f aca="false">IFERROR(INDEX(账户总表!$B:$B,COUNTA(账户总表!$A:$A))*N29,0)</f>
        <v>7294.812</v>
      </c>
      <c r="P29" s="68" t="n">
        <f aca="false">IFERROR(O29/D29,0)</f>
        <v>236.998440545809</v>
      </c>
      <c r="Q29" s="68" t="n">
        <f aca="false">IFERROR(FLOOR(P29,100),0)</f>
        <v>200</v>
      </c>
      <c r="R29" s="68" t="n">
        <f aca="false">IFERROR(CEILING(800/(100*D29),1)*100,0)</f>
        <v>100</v>
      </c>
      <c r="S29" s="69"/>
      <c r="T29" s="67" t="n">
        <f aca="false">IFERROR(S29*D29,0)</f>
        <v>0</v>
      </c>
      <c r="U29" s="66" t="n">
        <f aca="false">IFERROR(T29/INDEX(账户总表!$B:$B,COUNTA(账户总表!$A:$A)),0)</f>
        <v>0</v>
      </c>
      <c r="V29" s="66" t="n">
        <f aca="false">IFERROR(INDEX(账户总表!$E:$E,COUNTA(账户总表!$A:$A))+U29,0)</f>
        <v>0.407056412146057</v>
      </c>
      <c r="W29" s="65" t="str">
        <f aca="false">IF($A29="","",IFERROR(IF(V29&lt;=INDEX(账户总表!$N:$N,COUNTA(账户总表!$A:$A)),"是","否"),"否"))</f>
        <v>否</v>
      </c>
      <c r="X29" s="67" t="n">
        <f aca="false">IF($A29="","",MAX(F29*0.98,D29*0.92))</f>
        <v>28.6552</v>
      </c>
      <c r="Y29" s="61"/>
      <c r="Z29" s="65" t="str">
        <f aca="false">IF($A29="","",IFERROR(IF(AND(T29&gt;INDEX(账户总表!$C:$C,COUNTA(账户总表!$A:$A)),L29="是"),"是","否"),"否"))</f>
        <v>否</v>
      </c>
      <c r="AA29" s="67" t="n">
        <f aca="false">IF($A29="","",IFERROR(IF(Z29="是",MAX(0,T29-INDEX(账户总表!$C:$C,COUNTA(账户总表!$A:$A)),IF(N29&gt;0,T29/N29-INDEX(账户总表!$B:$B,COUNTA(账户总表!$A:$A)),0)),0),0))</f>
        <v>0</v>
      </c>
      <c r="AB29" s="67" t="n">
        <f aca="false">IF($A29="","",IF(AND(Z29="是",INDEX(账户总表!$U:$U,COUNTA(账户总表!$A:$A))="是"),IF(INDEX(账户总表!$L:$L,COUNTA(账户总表!$A:$A))&gt;=4,AA29*1.5,AA29),0))</f>
        <v>0</v>
      </c>
      <c r="AC29" s="65" t="str">
        <f aca="false">IF($A29="","",IF(AND(L29="是",Q29&gt;=R29,S29&lt;=Q29,S29&gt;=R29,W29="是",X29&gt;0,M29="是",INDEX(账户总表!$M:$M,COUNTA(账户总表!$A:$A))&lt;=2,INDEX(账户总表!$V:$V,COUNTA(账户总表!$A:$A))="是",OR(T29&lt;=INDEX(账户总表!$C:$C,COUNTA(账户总表!$A:$A)),AND(Z29="是",INDEX(账户总表!$U:$U,COUNTA(账户总表!$A:$A))="是",AB29&gt;0))),"是","否"))</f>
        <v>否</v>
      </c>
      <c r="AD29" s="65" t="str">
        <f aca="false">IF($A29="","",IF(L29&lt;&gt;"是","信号未确认",IF(X29&lt;=0,"止损价未定义",IF(Q29&lt;R29,"100股约束不满足",IF(S29&gt;Q29,"计划股数超单股上限",IF(S29&lt;R29,"计划股数低于最小门槛",IF(W29&lt;&gt;"是","总仓位超限",IF(M29&lt;&gt;"是","追价",IF(INDEX(账户总表!$M:$M,COUNTA(账户总表!$A:$A))&gt;2,"亏钱效应偏高",IF(INDEX(账户总表!$V:$V,COUNTA(账户总表!$A:$A))&lt;&gt;"是","账户不允许新开仓",IF(AND(T29&gt;INDEX(账户总表!$C:$C,COUNTA(账户总表!$A:$A)),INDEX(账户总表!$U:$U,COUNTA(账户总表!$A:$A))&lt;&gt;"是"),"现金不足且不允许转入",IF(AND(Z29="是",AB29&lt;=0),"转入金额未满足",""))))))))))))</f>
        <v>计划股数低于最小门槛</v>
      </c>
      <c r="AE29" s="60"/>
      <c r="AF29" s="1" t="n">
        <f aca="false">IF($A29="","",D29*100)</f>
        <v>3078</v>
      </c>
      <c r="AG29" s="1" t="n">
        <f aca="false">IF($A29="","",IFERROR(AF29/INDEX(账户总表!$B:$B,COUNTA(账户总表!$A:$A)),0))</f>
        <v>0.147680296627247</v>
      </c>
      <c r="AH29" s="1" t="n">
        <f aca="false">IF($A29="","",IFERROR(INDEX(账户总表!$B:$B,COUNTA(账户总表!$A:$A))*INDEX(账户总表!$O:$O,COUNTA(账户总表!$A:$A)),0))</f>
        <v>7294.812</v>
      </c>
      <c r="AI29" s="1" t="str">
        <f aca="false">IF($A29="","",IF(AF29&gt;AH29,"超限","合规"))</f>
        <v>合规</v>
      </c>
      <c r="AJ29" s="1" t="n">
        <f aca="false">IF($A29="","",IFERROR(AF29/INDEX(账户总表!$O:$O,COUNTA(账户总表!$A:$A)),0))</f>
        <v>8794.28571428572</v>
      </c>
      <c r="AK29" s="1" t="n">
        <f aca="false">IF($A29="","",IFERROR(MAX(0,AJ29-INDEX(账户总表!$B:$B,COUNTA(账户总表!$A:$A)),AF29-INDEX(账户总表!$C:$C,COUNTA(账户总表!$A:$A))),0))</f>
        <v>0</v>
      </c>
      <c r="AL29" s="1" t="str">
        <f aca="false">IF($A29="","",IF(COUNTIF(持仓表!$C$2:$C$201,C29)&gt;0,"已有","新标的"))</f>
        <v>新标的</v>
      </c>
      <c r="AM29" s="1" t="n">
        <f aca="false">IF($A29="","",IFERROR(SUMIFS(持仓表!$N$2:$N$201,持仓表!$C$2:$C$201,C29,持仓表!$A$2:$A$201,$A29),0))</f>
        <v>0</v>
      </c>
      <c r="AN29" s="1" t="n">
        <f aca="false">IF($A29="","",IFERROR(AM29+AF29/INDEX(账户总表!$B:$B,COUNTA(账户总表!$A:$A)),0))</f>
        <v>0.147680296627247</v>
      </c>
      <c r="AO29" s="1" t="str">
        <f aca="false">IF($A29="","",IF(AN29&gt;INDEX(账户总表!$O:$O,COUNTA(账户总表!$A:$A)),"超限","合规"))</f>
        <v>合规</v>
      </c>
      <c r="AP29" s="1" t="str">
        <f aca="false">IF($A29="","",IF(AND(AL29="新标的",INDEX(账户总表!$R:$R,COUNTA(账户总表!$A:$A))&gt;=INDEX(账户总表!$S:$S,COUNTA(账户总表!$A:$A))),"新增受限","可通过"))</f>
        <v>新增受限</v>
      </c>
      <c r="AQ29" s="1" t="str">
        <f aca="false">IF($A29="","",IF(K29&lt;&gt;"核心池","非核心池",IF(OR(AI29="超限",AO29="超限",AP29="新增受限"),"不可加仓","可加仓")))</f>
        <v>非核心池</v>
      </c>
      <c r="AR29" s="1" t="str">
        <f aca="false">IF($A29="","",TRIM(IF(AI29="超限","1手超单股上限；","")&amp;IF(AO29="超限","买后仓位超限；","")&amp;IF(AP29="新增受限","有效持仓数超限；","")&amp;IF(AF29&gt;INDEX(账户总表!$C:$C,COUNTA(账户总表!$A:$A)),"现金不足；","")))</f>
        <v>有效持仓数超限；</v>
      </c>
      <c r="AS29" s="1" t="n">
        <f aca="false">IF($A29="","",IFERROR(INDEX(候选池历史!$L:$L,MATCH(1,(候选池历史!$B:$B=C29)*(候选池历史!$A:$A=$A29),0)),0))</f>
        <v>0</v>
      </c>
      <c r="AT29" s="1" t="str">
        <f aca="false">IF($A29="","",IF(AS29&gt;=3,"★信号强化",IF(K29="核心池","核心观察","")))</f>
        <v/>
      </c>
      <c r="AU29" s="1" t="str">
        <f aca="false">IF($A29="","",IF(AK29&gt;30000-INDEX(账户总表!$B:$B,COUNTA(账户总表!$A:$A)),"不适合婴儿阶段","可纳入幼儿路径"))</f>
        <v>可纳入幼儿路径</v>
      </c>
    </row>
    <row r="30" customFormat="false" ht="15" hidden="false" customHeight="true" outlineLevel="0" collapsed="false">
      <c r="A30" s="59" t="n">
        <v>46229</v>
      </c>
      <c r="B30" s="60" t="s">
        <v>456</v>
      </c>
      <c r="C30" s="61" t="s">
        <v>457</v>
      </c>
      <c r="D30" s="62" t="n">
        <v>14.68</v>
      </c>
      <c r="E30" s="62" t="n">
        <v>14.68</v>
      </c>
      <c r="F30" s="62" t="n">
        <v>13.95</v>
      </c>
      <c r="G30" s="63" t="n">
        <v>0.263771783517079</v>
      </c>
      <c r="H30" s="61" t="n">
        <v>0.816513962155352</v>
      </c>
      <c r="I30" s="61" t="s">
        <v>155</v>
      </c>
      <c r="J30" s="60" t="s">
        <v>400</v>
      </c>
      <c r="K30" s="64" t="str">
        <f aca="false">IF($A30="","",IF(AND(G30&lt;20%,H30&gt;0.9),"核心池",IF(AND(H30&gt;=0.85),"观察池",IF(AND(H30&gt;=0.8),"边缘池",""))))</f>
        <v>边缘池</v>
      </c>
      <c r="L30" s="65" t="str">
        <f aca="false">IF($A30="","",IF(AND(G30&lt;60%,H30&gt;0.8,I30="True"),"是","否"))</f>
        <v>是</v>
      </c>
      <c r="M30" s="65" t="str">
        <f aca="false">IF($A30="","",IF(AND(D30&gt;0,E30&gt;0,D30&lt;=E30*1.02),"是","否"))</f>
        <v>是</v>
      </c>
      <c r="N30" s="66" t="n">
        <f aca="false">IFERROR(INDEX(账户总表!$O:$O,COUNTA(账户总表!$A:$A)),0)</f>
        <v>0.35</v>
      </c>
      <c r="O30" s="67" t="n">
        <f aca="false">IFERROR(INDEX(账户总表!$B:$B,COUNTA(账户总表!$A:$A))*N30,0)</f>
        <v>7294.812</v>
      </c>
      <c r="P30" s="68" t="n">
        <f aca="false">IFERROR(O30/D30,0)</f>
        <v>496.921798365123</v>
      </c>
      <c r="Q30" s="68" t="n">
        <f aca="false">IFERROR(FLOOR(P30,100),0)</f>
        <v>400</v>
      </c>
      <c r="R30" s="68" t="n">
        <f aca="false">IFERROR(CEILING(800/(100*D30),1)*100,0)</f>
        <v>100</v>
      </c>
      <c r="S30" s="69"/>
      <c r="T30" s="67" t="n">
        <f aca="false">IFERROR(S30*D30,0)</f>
        <v>0</v>
      </c>
      <c r="U30" s="66" t="n">
        <f aca="false">IFERROR(T30/INDEX(账户总表!$B:$B,COUNTA(账户总表!$A:$A)),0)</f>
        <v>0</v>
      </c>
      <c r="V30" s="66" t="n">
        <f aca="false">IFERROR(INDEX(账户总表!$E:$E,COUNTA(账户总表!$A:$A))+U30,0)</f>
        <v>0.407056412146057</v>
      </c>
      <c r="W30" s="65" t="str">
        <f aca="false">IF($A30="","",IFERROR(IF(V30&lt;=INDEX(账户总表!$N:$N,COUNTA(账户总表!$A:$A)),"是","否"),"否"))</f>
        <v>否</v>
      </c>
      <c r="X30" s="67" t="n">
        <f aca="false">IF($A30="","",MAX(F30*0.98,D30*0.92))</f>
        <v>13.671</v>
      </c>
      <c r="Y30" s="61"/>
      <c r="Z30" s="65" t="str">
        <f aca="false">IF($A30="","",IFERROR(IF(AND(T30&gt;INDEX(账户总表!$C:$C,COUNTA(账户总表!$A:$A)),L30="是"),"是","否"),"否"))</f>
        <v>否</v>
      </c>
      <c r="AA30" s="67" t="n">
        <f aca="false">IF($A30="","",IFERROR(IF(Z30="是",MAX(0,T30-INDEX(账户总表!$C:$C,COUNTA(账户总表!$A:$A)),IF(N30&gt;0,T30/N30-INDEX(账户总表!$B:$B,COUNTA(账户总表!$A:$A)),0)),0),0))</f>
        <v>0</v>
      </c>
      <c r="AB30" s="67" t="n">
        <f aca="false">IF($A30="","",IF(AND(Z30="是",INDEX(账户总表!$U:$U,COUNTA(账户总表!$A:$A))="是"),IF(INDEX(账户总表!$L:$L,COUNTA(账户总表!$A:$A))&gt;=4,AA30*1.5,AA30),0))</f>
        <v>0</v>
      </c>
      <c r="AC30" s="65" t="str">
        <f aca="false">IF($A30="","",IF(AND(L30="是",Q30&gt;=R30,S30&lt;=Q30,S30&gt;=R30,W30="是",X30&gt;0,M30="是",INDEX(账户总表!$M:$M,COUNTA(账户总表!$A:$A))&lt;=2,INDEX(账户总表!$V:$V,COUNTA(账户总表!$A:$A))="是",OR(T30&lt;=INDEX(账户总表!$C:$C,COUNTA(账户总表!$A:$A)),AND(Z30="是",INDEX(账户总表!$U:$U,COUNTA(账户总表!$A:$A))="是",AB30&gt;0))),"是","否"))</f>
        <v>否</v>
      </c>
      <c r="AD30" s="65" t="str">
        <f aca="false">IF($A30="","",IF(L30&lt;&gt;"是","信号未确认",IF(X30&lt;=0,"止损价未定义",IF(Q30&lt;R30,"100股约束不满足",IF(S30&gt;Q30,"计划股数超单股上限",IF(S30&lt;R30,"计划股数低于最小门槛",IF(W30&lt;&gt;"是","总仓位超限",IF(M30&lt;&gt;"是","追价",IF(INDEX(账户总表!$M:$M,COUNTA(账户总表!$A:$A))&gt;2,"亏钱效应偏高",IF(INDEX(账户总表!$V:$V,COUNTA(账户总表!$A:$A))&lt;&gt;"是","账户不允许新开仓",IF(AND(T30&gt;INDEX(账户总表!$C:$C,COUNTA(账户总表!$A:$A)),INDEX(账户总表!$U:$U,COUNTA(账户总表!$A:$A))&lt;&gt;"是"),"现金不足且不允许转入",IF(AND(Z30="是",AB30&lt;=0),"转入金额未满足",""))))))))))))</f>
        <v>计划股数低于最小门槛</v>
      </c>
      <c r="AE30" s="60"/>
      <c r="AF30" s="1" t="n">
        <f aca="false">IF($A30="","",D30*100)</f>
        <v>1468</v>
      </c>
      <c r="AG30" s="1" t="n">
        <f aca="false">IF($A30="","",IFERROR(AF30/INDEX(账户总表!$B:$B,COUNTA(账户总表!$A:$A)),0))</f>
        <v>0.0704336177546454</v>
      </c>
      <c r="AH30" s="1" t="n">
        <f aca="false">IF($A30="","",IFERROR(INDEX(账户总表!$B:$B,COUNTA(账户总表!$A:$A))*INDEX(账户总表!$O:$O,COUNTA(账户总表!$A:$A)),0))</f>
        <v>7294.812</v>
      </c>
      <c r="AI30" s="1" t="str">
        <f aca="false">IF($A30="","",IF(AF30&gt;AH30,"超限","合规"))</f>
        <v>合规</v>
      </c>
      <c r="AJ30" s="1" t="n">
        <f aca="false">IF($A30="","",IFERROR(AF30/INDEX(账户总表!$O:$O,COUNTA(账户总表!$A:$A)),0))</f>
        <v>4194.28571428572</v>
      </c>
      <c r="AK30" s="1" t="n">
        <f aca="false">IF($A30="","",IFERROR(MAX(0,AJ30-INDEX(账户总表!$B:$B,COUNTA(账户总表!$A:$A)),AF30-INDEX(账户总表!$C:$C,COUNTA(账户总表!$A:$A))),0))</f>
        <v>0</v>
      </c>
      <c r="AL30" s="1" t="str">
        <f aca="false">IF($A30="","",IF(COUNTIF(持仓表!$C$2:$C$201,C30)&gt;0,"已有","新标的"))</f>
        <v>新标的</v>
      </c>
      <c r="AM30" s="1" t="n">
        <f aca="false">IF($A30="","",IFERROR(SUMIFS(持仓表!$N$2:$N$201,持仓表!$C$2:$C$201,C30,持仓表!$A$2:$A$201,$A30),0))</f>
        <v>0</v>
      </c>
      <c r="AN30" s="1" t="n">
        <f aca="false">IF($A30="","",IFERROR(AM30+AF30/INDEX(账户总表!$B:$B,COUNTA(账户总表!$A:$A)),0))</f>
        <v>0.0704336177546454</v>
      </c>
      <c r="AO30" s="1" t="str">
        <f aca="false">IF($A30="","",IF(AN30&gt;INDEX(账户总表!$O:$O,COUNTA(账户总表!$A:$A)),"超限","合规"))</f>
        <v>合规</v>
      </c>
      <c r="AP30" s="1" t="str">
        <f aca="false">IF($A30="","",IF(AND(AL30="新标的",INDEX(账户总表!$R:$R,COUNTA(账户总表!$A:$A))&gt;=INDEX(账户总表!$S:$S,COUNTA(账户总表!$A:$A))),"新增受限","可通过"))</f>
        <v>新增受限</v>
      </c>
      <c r="AQ30" s="1" t="str">
        <f aca="false">IF($A30="","",IF(K30&lt;&gt;"核心池","非核心池",IF(OR(AI30="超限",AO30="超限",AP30="新增受限"),"不可加仓","可加仓")))</f>
        <v>非核心池</v>
      </c>
      <c r="AR30" s="1" t="str">
        <f aca="false">IF($A30="","",TRIM(IF(AI30="超限","1手超单股上限；","")&amp;IF(AO30="超限","买后仓位超限；","")&amp;IF(AP30="新增受限","有效持仓数超限；","")&amp;IF(AF30&gt;INDEX(账户总表!$C:$C,COUNTA(账户总表!$A:$A)),"现金不足；","")))</f>
        <v>有效持仓数超限；</v>
      </c>
      <c r="AS30" s="1" t="n">
        <f aca="false">IF($A30="","",IFERROR(INDEX(候选池历史!$L:$L,MATCH(1,(候选池历史!$B:$B=C30)*(候选池历史!$A:$A=$A30),0)),0))</f>
        <v>0</v>
      </c>
      <c r="AT30" s="1" t="str">
        <f aca="false">IF($A30="","",IF(AS30&gt;=3,"★信号强化",IF(K30="核心池","核心观察","")))</f>
        <v/>
      </c>
      <c r="AU30" s="1" t="str">
        <f aca="false">IF($A30="","",IF(AK30&gt;30000-INDEX(账户总表!$B:$B,COUNTA(账户总表!$A:$A)),"不适合婴儿阶段","可纳入幼儿路径"))</f>
        <v>可纳入幼儿路径</v>
      </c>
    </row>
    <row r="31" customFormat="false" ht="15" hidden="false" customHeight="true" outlineLevel="0" collapsed="false">
      <c r="A31" s="59" t="n">
        <v>46229</v>
      </c>
      <c r="B31" s="60" t="s">
        <v>458</v>
      </c>
      <c r="C31" s="61" t="s">
        <v>459</v>
      </c>
      <c r="D31" s="62" t="n">
        <v>7.71</v>
      </c>
      <c r="E31" s="62" t="n">
        <v>7.71</v>
      </c>
      <c r="F31" s="62" t="n">
        <v>7.32</v>
      </c>
      <c r="G31" s="63" t="n">
        <v>0.17665125667976</v>
      </c>
      <c r="H31" s="61" t="n">
        <v>0.810842164228016</v>
      </c>
      <c r="I31" s="61" t="s">
        <v>155</v>
      </c>
      <c r="J31" s="60" t="s">
        <v>400</v>
      </c>
      <c r="K31" s="64" t="str">
        <f aca="false">IF($A31="","",IF(AND(G31&lt;20%,H31&gt;0.9),"核心池",IF(AND(H31&gt;=0.85),"观察池",IF(AND(H31&gt;=0.8),"边缘池",""))))</f>
        <v>边缘池</v>
      </c>
      <c r="L31" s="65" t="str">
        <f aca="false">IF($A31="","",IF(AND(G31&lt;60%,H31&gt;0.8,I31="True"),"是","否"))</f>
        <v>是</v>
      </c>
      <c r="M31" s="65" t="str">
        <f aca="false">IF($A31="","",IF(AND(D31&gt;0,E31&gt;0,D31&lt;=E31*1.02),"是","否"))</f>
        <v>是</v>
      </c>
      <c r="N31" s="66" t="n">
        <f aca="false">IFERROR(INDEX(账户总表!$O:$O,COUNTA(账户总表!$A:$A)),0)</f>
        <v>0.35</v>
      </c>
      <c r="O31" s="67" t="n">
        <f aca="false">IFERROR(INDEX(账户总表!$B:$B,COUNTA(账户总表!$A:$A))*N31,0)</f>
        <v>7294.812</v>
      </c>
      <c r="P31" s="68" t="n">
        <f aca="false">IFERROR(O31/D31,0)</f>
        <v>946.149416342412</v>
      </c>
      <c r="Q31" s="68" t="n">
        <f aca="false">IFERROR(FLOOR(P31,100),0)</f>
        <v>900</v>
      </c>
      <c r="R31" s="68" t="n">
        <f aca="false">IFERROR(CEILING(800/(100*D31),1)*100,0)</f>
        <v>200</v>
      </c>
      <c r="S31" s="69"/>
      <c r="T31" s="67" t="n">
        <f aca="false">IFERROR(S31*D31,0)</f>
        <v>0</v>
      </c>
      <c r="U31" s="66" t="n">
        <f aca="false">IFERROR(T31/INDEX(账户总表!$B:$B,COUNTA(账户总表!$A:$A)),0)</f>
        <v>0</v>
      </c>
      <c r="V31" s="66" t="n">
        <f aca="false">IFERROR(INDEX(账户总表!$E:$E,COUNTA(账户总表!$A:$A))+U31,0)</f>
        <v>0.407056412146057</v>
      </c>
      <c r="W31" s="65" t="str">
        <f aca="false">IF($A31="","",IFERROR(IF(V31&lt;=INDEX(账户总表!$N:$N,COUNTA(账户总表!$A:$A)),"是","否"),"否"))</f>
        <v>否</v>
      </c>
      <c r="X31" s="67" t="n">
        <f aca="false">IF($A31="","",MAX(F31*0.98,D31*0.92))</f>
        <v>7.1736</v>
      </c>
      <c r="Y31" s="61"/>
      <c r="Z31" s="65" t="str">
        <f aca="false">IF($A31="","",IFERROR(IF(AND(T31&gt;INDEX(账户总表!$C:$C,COUNTA(账户总表!$A:$A)),L31="是"),"是","否"),"否"))</f>
        <v>否</v>
      </c>
      <c r="AA31" s="67" t="n">
        <f aca="false">IF($A31="","",IFERROR(IF(Z31="是",MAX(0,T31-INDEX(账户总表!$C:$C,COUNTA(账户总表!$A:$A)),IF(N31&gt;0,T31/N31-INDEX(账户总表!$B:$B,COUNTA(账户总表!$A:$A)),0)),0),0))</f>
        <v>0</v>
      </c>
      <c r="AB31" s="67" t="n">
        <f aca="false">IF($A31="","",IF(AND(Z31="是",INDEX(账户总表!$U:$U,COUNTA(账户总表!$A:$A))="是"),IF(INDEX(账户总表!$L:$L,COUNTA(账户总表!$A:$A))&gt;=4,AA31*1.5,AA31),0))</f>
        <v>0</v>
      </c>
      <c r="AC31" s="65" t="str">
        <f aca="false">IF($A31="","",IF(AND(L31="是",Q31&gt;=R31,S31&lt;=Q31,S31&gt;=R31,W31="是",X31&gt;0,M31="是",INDEX(账户总表!$M:$M,COUNTA(账户总表!$A:$A))&lt;=2,INDEX(账户总表!$V:$V,COUNTA(账户总表!$A:$A))="是",OR(T31&lt;=INDEX(账户总表!$C:$C,COUNTA(账户总表!$A:$A)),AND(Z31="是",INDEX(账户总表!$U:$U,COUNTA(账户总表!$A:$A))="是",AB31&gt;0))),"是","否"))</f>
        <v>否</v>
      </c>
      <c r="AD31" s="65" t="str">
        <f aca="false">IF($A31="","",IF(L31&lt;&gt;"是","信号未确认",IF(X31&lt;=0,"止损价未定义",IF(Q31&lt;R31,"100股约束不满足",IF(S31&gt;Q31,"计划股数超单股上限",IF(S31&lt;R31,"计划股数低于最小门槛",IF(W31&lt;&gt;"是","总仓位超限",IF(M31&lt;&gt;"是","追价",IF(INDEX(账户总表!$M:$M,COUNTA(账户总表!$A:$A))&gt;2,"亏钱效应偏高",IF(INDEX(账户总表!$V:$V,COUNTA(账户总表!$A:$A))&lt;&gt;"是","账户不允许新开仓",IF(AND(T31&gt;INDEX(账户总表!$C:$C,COUNTA(账户总表!$A:$A)),INDEX(账户总表!$U:$U,COUNTA(账户总表!$A:$A))&lt;&gt;"是"),"现金不足且不允许转入",IF(AND(Z31="是",AB31&lt;=0),"转入金额未满足",""))))))))))))</f>
        <v>计划股数低于最小门槛</v>
      </c>
      <c r="AE31" s="60"/>
      <c r="AF31" s="1" t="n">
        <f aca="false">IF($A31="","",D31*100)</f>
        <v>771</v>
      </c>
      <c r="AG31" s="1" t="n">
        <f aca="false">IF($A31="","",IFERROR(AF31/INDEX(账户总表!$B:$B,COUNTA(账户总表!$A:$A)),0))</f>
        <v>0.0369920431122831</v>
      </c>
      <c r="AH31" s="1" t="n">
        <f aca="false">IF($A31="","",IFERROR(INDEX(账户总表!$B:$B,COUNTA(账户总表!$A:$A))*INDEX(账户总表!$O:$O,COUNTA(账户总表!$A:$A)),0))</f>
        <v>7294.812</v>
      </c>
      <c r="AI31" s="1" t="str">
        <f aca="false">IF($A31="","",IF(AF31&gt;AH31,"超限","合规"))</f>
        <v>合规</v>
      </c>
      <c r="AJ31" s="1" t="n">
        <f aca="false">IF($A31="","",IFERROR(AF31/INDEX(账户总表!$O:$O,COUNTA(账户总表!$A:$A)),0))</f>
        <v>2202.85714285714</v>
      </c>
      <c r="AK31" s="1" t="n">
        <f aca="false">IF($A31="","",IFERROR(MAX(0,AJ31-INDEX(账户总表!$B:$B,COUNTA(账户总表!$A:$A)),AF31-INDEX(账户总表!$C:$C,COUNTA(账户总表!$A:$A))),0))</f>
        <v>0</v>
      </c>
      <c r="AL31" s="1" t="str">
        <f aca="false">IF($A31="","",IF(COUNTIF(持仓表!$C$2:$C$201,C31)&gt;0,"已有","新标的"))</f>
        <v>新标的</v>
      </c>
      <c r="AM31" s="1" t="n">
        <f aca="false">IF($A31="","",IFERROR(SUMIFS(持仓表!$N$2:$N$201,持仓表!$C$2:$C$201,C31,持仓表!$A$2:$A$201,$A31),0))</f>
        <v>0</v>
      </c>
      <c r="AN31" s="1" t="n">
        <f aca="false">IF($A31="","",IFERROR(AM31+AF31/INDEX(账户总表!$B:$B,COUNTA(账户总表!$A:$A)),0))</f>
        <v>0.0369920431122831</v>
      </c>
      <c r="AO31" s="1" t="str">
        <f aca="false">IF($A31="","",IF(AN31&gt;INDEX(账户总表!$O:$O,COUNTA(账户总表!$A:$A)),"超限","合规"))</f>
        <v>合规</v>
      </c>
      <c r="AP31" s="1" t="str">
        <f aca="false">IF($A31="","",IF(AND(AL31="新标的",INDEX(账户总表!$R:$R,COUNTA(账户总表!$A:$A))&gt;=INDEX(账户总表!$S:$S,COUNTA(账户总表!$A:$A))),"新增受限","可通过"))</f>
        <v>新增受限</v>
      </c>
      <c r="AQ31" s="1" t="str">
        <f aca="false">IF($A31="","",IF(K31&lt;&gt;"核心池","非核心池",IF(OR(AI31="超限",AO31="超限",AP31="新增受限"),"不可加仓","可加仓")))</f>
        <v>非核心池</v>
      </c>
      <c r="AR31" s="1" t="str">
        <f aca="false">IF($A31="","",TRIM(IF(AI31="超限","1手超单股上限；","")&amp;IF(AO31="超限","买后仓位超限；","")&amp;IF(AP31="新增受限","有效持仓数超限；","")&amp;IF(AF31&gt;INDEX(账户总表!$C:$C,COUNTA(账户总表!$A:$A)),"现金不足；","")))</f>
        <v>有效持仓数超限；</v>
      </c>
      <c r="AS31" s="1" t="n">
        <f aca="false">IF($A31="","",IFERROR(INDEX(候选池历史!$L:$L,MATCH(1,(候选池历史!$B:$B=C31)*(候选池历史!$A:$A=$A31),0)),0))</f>
        <v>0</v>
      </c>
      <c r="AT31" s="1" t="str">
        <f aca="false">IF($A31="","",IF(AS31&gt;=3,"★信号强化",IF(K31="核心池","核心观察","")))</f>
        <v/>
      </c>
      <c r="AU31" s="1" t="str">
        <f aca="false">IF($A31="","",IF(AK31&gt;30000-INDEX(账户总表!$B:$B,COUNTA(账户总表!$A:$A)),"不适合婴儿阶段","可纳入幼儿路径"))</f>
        <v>可纳入幼儿路径</v>
      </c>
    </row>
    <row r="32" customFormat="false" ht="15" hidden="false" customHeight="true" outlineLevel="0" collapsed="false">
      <c r="A32" s="70"/>
      <c r="B32" s="71"/>
      <c r="C32" s="72"/>
      <c r="D32" s="73"/>
      <c r="E32" s="73"/>
      <c r="F32" s="73"/>
      <c r="G32" s="74"/>
      <c r="H32" s="72"/>
      <c r="I32" s="72"/>
      <c r="J32" s="71"/>
      <c r="K32" s="75" t="str">
        <f aca="false">IF($A32="","",IF(AND(G32&lt;45%,H32&gt;=0.9),"A",IF(AND(G32&lt;60%,H32&gt;0.8),"B","C")))</f>
        <v/>
      </c>
      <c r="L32" s="75" t="str">
        <f aca="false">IF($A32="","",IF(AND(G32&lt;60%,H32&gt;0.8,I32="True"),"是","否"))</f>
        <v/>
      </c>
      <c r="M32" s="75" t="str">
        <f aca="false">IF($A32="","",IF(AND(D32&gt;0,E32&gt;0,D32&lt;=E32*1.02),"是","否"))</f>
        <v/>
      </c>
      <c r="N32" s="76" t="n">
        <f aca="false">IFERROR(INDEX(账户总表!$O:$O,COUNTA(账户总表!$A:$A)),0)</f>
        <v>0.35</v>
      </c>
      <c r="O32" s="77" t="n">
        <f aca="false">IFERROR(INDEX(账户总表!$B:$B,COUNTA(账户总表!$A:$A))*N32,0)</f>
        <v>7294.812</v>
      </c>
      <c r="P32" s="78" t="n">
        <f aca="false">IFERROR(O32/D32,0)</f>
        <v>0</v>
      </c>
      <c r="Q32" s="78" t="n">
        <f aca="false">IFERROR(FLOOR(P32,100),0)</f>
        <v>0</v>
      </c>
      <c r="R32" s="78" t="n">
        <f aca="false">IFERROR(CEILING(800/(100*D32),1)*100,0)</f>
        <v>0</v>
      </c>
      <c r="S32" s="79"/>
      <c r="T32" s="77" t="n">
        <f aca="false">IFERROR(S32*D32,0)</f>
        <v>0</v>
      </c>
      <c r="U32" s="76" t="n">
        <f aca="false">IFERROR(T32/INDEX(账户总表!$B:$B,COUNTA(账户总表!$A:$A)),0)</f>
        <v>0</v>
      </c>
      <c r="V32" s="76" t="n">
        <f aca="false">IFERROR(INDEX(账户总表!$E:$E,COUNTA(账户总表!$A:$A))+U32,0)</f>
        <v>0.407056412146057</v>
      </c>
      <c r="W32" s="75" t="str">
        <f aca="false">IF($A32="","",IFERROR(IF(V32&lt;=INDEX(账户总表!$N:$N,COUNTA(账户总表!$A:$A)),"是","否"),"否"))</f>
        <v/>
      </c>
      <c r="X32" s="77" t="str">
        <f aca="false">IF($A32="","",MAX(F32*0.98,D32*0.92))</f>
        <v/>
      </c>
      <c r="Y32" s="72"/>
      <c r="Z32" s="75" t="str">
        <f aca="false">IF($A32="","",IFERROR(IF(AND(T32&gt;INDEX(账户总表!$C:$C,COUNTA(账户总表!$A:$A)),L32="是"),"是","否"),"否"))</f>
        <v/>
      </c>
      <c r="AA32" s="77" t="str">
        <f aca="false">IF($A32="","",IFERROR(IF(Z32="是",MAX(0,T32-INDEX(账户总表!$C:$C,COUNTA(账户总表!$A:$A)),IF(N32&gt;0,T32/N32-INDEX(账户总表!$B:$B,COUNTA(账户总表!$A:$A)),0)),0),0))</f>
        <v/>
      </c>
      <c r="AB32" s="77" t="str">
        <f aca="false">IF($A32="","",IF(AND(Z32="是",INDEX(账户总表!$U:$U,COUNTA(账户总表!$A:$A))="是"),IF(INDEX(账户总表!$L:$L,COUNTA(账户总表!$A:$A))&gt;=4,AA32*1.5,AA32),0))</f>
        <v/>
      </c>
      <c r="AC32" s="75" t="str">
        <f aca="false">IF($A32="","",IF(AND(L32="是",Q32&gt;=R32,S32&lt;=Q32,S32&gt;=R32,W32="是",X32&gt;0,M32="是",INDEX(账户总表!$M:$M,COUNTA(账户总表!$A:$A))&lt;=2,INDEX(账户总表!$V:$V,COUNTA(账户总表!$A:$A))="是",OR(T32&lt;=INDEX(账户总表!$C:$C,COUNTA(账户总表!$A:$A)),AND(Z32="是",INDEX(账户总表!$U:$U,COUNTA(账户总表!$A:$A))="是",AB32&gt;0))),"是","否"))</f>
        <v/>
      </c>
      <c r="AD32" s="75" t="str">
        <f aca="false">IF($A32="","",IF(L32&lt;&gt;"是","信号未确认",IF(X32&lt;=0,"止损价未定义",IF(Q32&lt;R32,"100股约束不满足",IF(S32&gt;Q32,"计划股数超单股上限",IF(S32&lt;R32,"计划股数低于最小门槛",IF(W32&lt;&gt;"是","总仓位超限",IF(M32&lt;&gt;"是","追价",IF(INDEX(账户总表!$M:$M,COUNTA(账户总表!$A:$A))&gt;2,"亏钱效应偏高",IF(INDEX(账户总表!$V:$V,COUNTA(账户总表!$A:$A))&lt;&gt;"是","账户不允许新开仓",IF(AND(T32&gt;INDEX(账户总表!$C:$C,COUNTA(账户总表!$A:$A)),INDEX(账户总表!$U:$U,COUNTA(账户总表!$A:$A))&lt;&gt;"是"),"现金不足且不允许转入",IF(AND(Z32="是",AB32&lt;=0),"转入金额未满足",""))))))))))))</f>
        <v/>
      </c>
      <c r="AE32" s="71"/>
      <c r="AF32" s="1" t="str">
        <f aca="false">IF($A32="","",D32*100)</f>
        <v/>
      </c>
      <c r="AG32" s="1" t="str">
        <f aca="false">IF($A32="","",IFERROR(AF32/INDEX(账户总表!$B:$B,COUNTA(账户总表!$A:$A)),0))</f>
        <v/>
      </c>
      <c r="AH32" s="1" t="str">
        <f aca="false">IF($A32="","",IFERROR(INDEX(账户总表!$B:$B,COUNTA(账户总表!$A:$A))*INDEX(账户总表!$O:$O,COUNTA(账户总表!$A:$A)),0))</f>
        <v/>
      </c>
      <c r="AI32" s="1" t="str">
        <f aca="false">IF($A32="","",IF(AF32&gt;AH32,"超限","合规"))</f>
        <v/>
      </c>
      <c r="AJ32" s="1" t="str">
        <f aca="false">IF($A32="","",IFERROR(AF32/INDEX(账户总表!$O:$O,COUNTA(账户总表!$A:$A)),0))</f>
        <v/>
      </c>
      <c r="AK32" s="1" t="str">
        <f aca="false">IF($A32="","",IFERROR(MAX(0,AJ32-INDEX(账户总表!$B:$B,COUNTA(账户总表!$A:$A)),AF32-INDEX(账户总表!$C:$C,COUNTA(账户总表!$A:$A))),0))</f>
        <v/>
      </c>
      <c r="AL32" s="1" t="str">
        <f aca="false">IF($A32="","",IF(COUNTIF(持仓表!$C$2:$C$201,C32)&gt;0,"已有","新标的"))</f>
        <v/>
      </c>
      <c r="AM32" s="1" t="str">
        <f aca="false">IF($A32="","",IFERROR(SUMIFS(持仓表!$N$2:$N$201,持仓表!$C$2:$C$201,C32,持仓表!$A$2:$A$201,$A32),0))</f>
        <v/>
      </c>
      <c r="AN32" s="1" t="str">
        <f aca="false">IF($A32="","",IFERROR(AM32+AF32/INDEX(账户总表!$B:$B,COUNTA(账户总表!$A:$A)),0))</f>
        <v/>
      </c>
      <c r="AO32" s="1" t="str">
        <f aca="false">IF($A32="","",IF(AN32&gt;INDEX(账户总表!$O:$O,COUNTA(账户总表!$A:$A)),"超限","合规"))</f>
        <v/>
      </c>
      <c r="AP32" s="1" t="str">
        <f aca="false">IF($A32="","",IF(AND(AL32="新标的",INDEX(账户总表!$R:$R,COUNTA(账户总表!$A:$A))&gt;=INDEX(账户总表!$S:$S,COUNTA(账户总表!$A:$A))),"新增受限","可通过"))</f>
        <v/>
      </c>
      <c r="AQ32" s="1" t="str">
        <f aca="false">IF($A32="","",IF(K32&lt;&gt;"核心池","非核心池",IF(OR(AI32="超限",AO32="超限",AP32="新增受限"),"不可加仓","可加仓")))</f>
        <v/>
      </c>
      <c r="AR32" s="1" t="str">
        <f aca="false">IF($A32="","",TRIM(IF(AI32="超限","1手超单股上限；","")&amp;IF(AO32="超限","买后仓位超限；","")&amp;IF(AP32="新增受限","有效持仓数超限；","")&amp;IF(AF32&gt;INDEX(账户总表!$C:$C,COUNTA(账户总表!$A:$A)),"现金不足；","")))</f>
        <v/>
      </c>
      <c r="AS32" s="1" t="str">
        <f aca="false">IF($A32="","",IFERROR(INDEX(候选池历史!$L:$L,MATCH(1,(候选池历史!$B:$B=C32)*(候选池历史!$A:$A=$A32),0)),0))</f>
        <v/>
      </c>
      <c r="AT32" s="1" t="str">
        <f aca="false">IF($A32="","",IF(AS32&gt;=3,"★信号强化",IF(K32="核心池","核心观察","")))</f>
        <v/>
      </c>
      <c r="AU32" s="1" t="str">
        <f aca="false">IF($A32="","",IF(AK32&gt;30000-INDEX(账户总表!$B:$B,COUNTA(账户总表!$A:$A)),"不适合婴儿阶段","可纳入幼儿路径"))</f>
        <v/>
      </c>
    </row>
    <row r="33" customFormat="false" ht="15" hidden="false" customHeight="true" outlineLevel="0" collapsed="false">
      <c r="A33" s="70"/>
      <c r="B33" s="71"/>
      <c r="C33" s="72"/>
      <c r="D33" s="73"/>
      <c r="E33" s="73"/>
      <c r="F33" s="73"/>
      <c r="G33" s="74"/>
      <c r="H33" s="72"/>
      <c r="I33" s="72"/>
      <c r="J33" s="71"/>
      <c r="K33" s="75" t="str">
        <f aca="false">IF($A33="","",IF(AND(G33&lt;45%,H33&gt;=0.9),"A",IF(AND(G33&lt;60%,H33&gt;0.8),"B","C")))</f>
        <v/>
      </c>
      <c r="L33" s="75" t="str">
        <f aca="false">IF($A33="","",IF(AND(G33&lt;60%,H33&gt;0.8,I33="True"),"是","否"))</f>
        <v/>
      </c>
      <c r="M33" s="75" t="str">
        <f aca="false">IF($A33="","",IF(AND(D33&gt;0,E33&gt;0,D33&lt;=E33*1.02),"是","否"))</f>
        <v/>
      </c>
      <c r="N33" s="76" t="n">
        <f aca="false">IFERROR(INDEX(账户总表!$O:$O,COUNTA(账户总表!$A:$A)),0)</f>
        <v>0.35</v>
      </c>
      <c r="O33" s="77" t="n">
        <f aca="false">IFERROR(INDEX(账户总表!$B:$B,COUNTA(账户总表!$A:$A))*N33,0)</f>
        <v>7294.812</v>
      </c>
      <c r="P33" s="78" t="n">
        <f aca="false">IFERROR(O33/D33,0)</f>
        <v>0</v>
      </c>
      <c r="Q33" s="78" t="n">
        <f aca="false">IFERROR(FLOOR(P33,100),0)</f>
        <v>0</v>
      </c>
      <c r="R33" s="78" t="n">
        <f aca="false">IFERROR(CEILING(800/(100*D33),1)*100,0)</f>
        <v>0</v>
      </c>
      <c r="S33" s="79"/>
      <c r="T33" s="77" t="n">
        <f aca="false">IFERROR(S33*D33,0)</f>
        <v>0</v>
      </c>
      <c r="U33" s="76" t="n">
        <f aca="false">IFERROR(T33/INDEX(账户总表!$B:$B,COUNTA(账户总表!$A:$A)),0)</f>
        <v>0</v>
      </c>
      <c r="V33" s="76" t="n">
        <f aca="false">IFERROR(INDEX(账户总表!$E:$E,COUNTA(账户总表!$A:$A))+U33,0)</f>
        <v>0.407056412146057</v>
      </c>
      <c r="W33" s="75" t="str">
        <f aca="false">IF($A33="","",IFERROR(IF(V33&lt;=INDEX(账户总表!$N:$N,COUNTA(账户总表!$A:$A)),"是","否"),"否"))</f>
        <v/>
      </c>
      <c r="X33" s="77" t="str">
        <f aca="false">IF($A33="","",MAX(F33*0.98,D33*0.92))</f>
        <v/>
      </c>
      <c r="Y33" s="72"/>
      <c r="Z33" s="75" t="str">
        <f aca="false">IF($A33="","",IFERROR(IF(AND(T33&gt;INDEX(账户总表!$C:$C,COUNTA(账户总表!$A:$A)),L33="是"),"是","否"),"否"))</f>
        <v/>
      </c>
      <c r="AA33" s="77" t="str">
        <f aca="false">IF($A33="","",IFERROR(IF(Z33="是",MAX(0,T33-INDEX(账户总表!$C:$C,COUNTA(账户总表!$A:$A)),IF(N33&gt;0,T33/N33-INDEX(账户总表!$B:$B,COUNTA(账户总表!$A:$A)),0)),0),0))</f>
        <v/>
      </c>
      <c r="AB33" s="77" t="str">
        <f aca="false">IF($A33="","",IF(AND(Z33="是",INDEX(账户总表!$U:$U,COUNTA(账户总表!$A:$A))="是"),IF(INDEX(账户总表!$L:$L,COUNTA(账户总表!$A:$A))&gt;=4,AA33*1.5,AA33),0))</f>
        <v/>
      </c>
      <c r="AC33" s="75" t="str">
        <f aca="false">IF($A33="","",IF(AND(L33="是",Q33&gt;=R33,S33&lt;=Q33,S33&gt;=R33,W33="是",X33&gt;0,M33="是",INDEX(账户总表!$M:$M,COUNTA(账户总表!$A:$A))&lt;=2,INDEX(账户总表!$V:$V,COUNTA(账户总表!$A:$A))="是",OR(T33&lt;=INDEX(账户总表!$C:$C,COUNTA(账户总表!$A:$A)),AND(Z33="是",INDEX(账户总表!$U:$U,COUNTA(账户总表!$A:$A))="是",AB33&gt;0))),"是","否"))</f>
        <v/>
      </c>
      <c r="AD33" s="75" t="str">
        <f aca="false">IF($A33="","",IF(L33&lt;&gt;"是","信号未确认",IF(X33&lt;=0,"止损价未定义",IF(Q33&lt;R33,"100股约束不满足",IF(S33&gt;Q33,"计划股数超单股上限",IF(S33&lt;R33,"计划股数低于最小门槛",IF(W33&lt;&gt;"是","总仓位超限",IF(M33&lt;&gt;"是","追价",IF(INDEX(账户总表!$M:$M,COUNTA(账户总表!$A:$A))&gt;2,"亏钱效应偏高",IF(INDEX(账户总表!$V:$V,COUNTA(账户总表!$A:$A))&lt;&gt;"是","账户不允许新开仓",IF(AND(T33&gt;INDEX(账户总表!$C:$C,COUNTA(账户总表!$A:$A)),INDEX(账户总表!$U:$U,COUNTA(账户总表!$A:$A))&lt;&gt;"是"),"现金不足且不允许转入",IF(AND(Z33="是",AB33&lt;=0),"转入金额未满足",""))))))))))))</f>
        <v/>
      </c>
      <c r="AE33" s="71"/>
      <c r="AF33" s="1" t="str">
        <f aca="false">IF($A33="","",D33*100)</f>
        <v/>
      </c>
      <c r="AG33" s="1" t="str">
        <f aca="false">IF($A33="","",IFERROR(AF33/INDEX(账户总表!$B:$B,COUNTA(账户总表!$A:$A)),0))</f>
        <v/>
      </c>
      <c r="AH33" s="1" t="str">
        <f aca="false">IF($A33="","",IFERROR(INDEX(账户总表!$B:$B,COUNTA(账户总表!$A:$A))*INDEX(账户总表!$O:$O,COUNTA(账户总表!$A:$A)),0))</f>
        <v/>
      </c>
      <c r="AI33" s="1" t="str">
        <f aca="false">IF($A33="","",IF(AF33&gt;AH33,"超限","合规"))</f>
        <v/>
      </c>
      <c r="AJ33" s="1" t="str">
        <f aca="false">IF($A33="","",IFERROR(AF33/INDEX(账户总表!$O:$O,COUNTA(账户总表!$A:$A)),0))</f>
        <v/>
      </c>
      <c r="AK33" s="1" t="str">
        <f aca="false">IF($A33="","",IFERROR(MAX(0,AJ33-INDEX(账户总表!$B:$B,COUNTA(账户总表!$A:$A)),AF33-INDEX(账户总表!$C:$C,COUNTA(账户总表!$A:$A))),0))</f>
        <v/>
      </c>
      <c r="AL33" s="1" t="str">
        <f aca="false">IF($A33="","",IF(COUNTIF(持仓表!$C$2:$C$201,C33)&gt;0,"已有","新标的"))</f>
        <v/>
      </c>
      <c r="AM33" s="1" t="str">
        <f aca="false">IF($A33="","",IFERROR(SUMIFS(持仓表!$N$2:$N$201,持仓表!$C$2:$C$201,C33,持仓表!$A$2:$A$201,$A33),0))</f>
        <v/>
      </c>
      <c r="AN33" s="1" t="str">
        <f aca="false">IF($A33="","",IFERROR(AM33+AF33/INDEX(账户总表!$B:$B,COUNTA(账户总表!$A:$A)),0))</f>
        <v/>
      </c>
      <c r="AO33" s="1" t="str">
        <f aca="false">IF($A33="","",IF(AN33&gt;INDEX(账户总表!$O:$O,COUNTA(账户总表!$A:$A)),"超限","合规"))</f>
        <v/>
      </c>
      <c r="AP33" s="1" t="str">
        <f aca="false">IF($A33="","",IF(AND(AL33="新标的",INDEX(账户总表!$R:$R,COUNTA(账户总表!$A:$A))&gt;=INDEX(账户总表!$S:$S,COUNTA(账户总表!$A:$A))),"新增受限","可通过"))</f>
        <v/>
      </c>
      <c r="AQ33" s="1" t="str">
        <f aca="false">IF($A33="","",IF(K33&lt;&gt;"核心池","非核心池",IF(OR(AI33="超限",AO33="超限",AP33="新增受限"),"不可加仓","可加仓")))</f>
        <v/>
      </c>
      <c r="AR33" s="1" t="str">
        <f aca="false">IF($A33="","",TRIM(IF(AI33="超限","1手超单股上限；","")&amp;IF(AO33="超限","买后仓位超限；","")&amp;IF(AP33="新增受限","有效持仓数超限；","")&amp;IF(AF33&gt;INDEX(账户总表!$C:$C,COUNTA(账户总表!$A:$A)),"现金不足；","")))</f>
        <v/>
      </c>
      <c r="AS33" s="1" t="str">
        <f aca="false">IF($A33="","",IFERROR(INDEX(候选池历史!$L:$L,MATCH(1,(候选池历史!$B:$B=C33)*(候选池历史!$A:$A=$A33),0)),0))</f>
        <v/>
      </c>
      <c r="AT33" s="1" t="str">
        <f aca="false">IF($A33="","",IF(AS33&gt;=3,"★信号强化",IF(K33="核心池","核心观察","")))</f>
        <v/>
      </c>
      <c r="AU33" s="1" t="str">
        <f aca="false">IF($A33="","",IF(AK33&gt;30000-INDEX(账户总表!$B:$B,COUNTA(账户总表!$A:$A)),"不适合婴儿阶段","可纳入幼儿路径"))</f>
        <v/>
      </c>
    </row>
    <row r="34" customFormat="false" ht="15" hidden="false" customHeight="true" outlineLevel="0" collapsed="false">
      <c r="A34" s="70"/>
      <c r="B34" s="71"/>
      <c r="C34" s="72"/>
      <c r="D34" s="73"/>
      <c r="E34" s="73"/>
      <c r="F34" s="73"/>
      <c r="G34" s="74"/>
      <c r="H34" s="72"/>
      <c r="I34" s="72"/>
      <c r="J34" s="71"/>
      <c r="K34" s="75" t="str">
        <f aca="false">IF($A34="","",IF(AND(G34&lt;45%,H34&gt;=0.9),"A",IF(AND(G34&lt;60%,H34&gt;0.8),"B","C")))</f>
        <v/>
      </c>
      <c r="L34" s="75" t="str">
        <f aca="false">IF($A34="","",IF(AND(G34&lt;60%,H34&gt;0.8,I34="True"),"是","否"))</f>
        <v/>
      </c>
      <c r="M34" s="75" t="str">
        <f aca="false">IF($A34="","",IF(AND(D34&gt;0,E34&gt;0,D34&lt;=E34*1.02),"是","否"))</f>
        <v/>
      </c>
      <c r="N34" s="76" t="n">
        <f aca="false">IFERROR(INDEX(账户总表!$O:$O,COUNTA(账户总表!$A:$A)),0)</f>
        <v>0.35</v>
      </c>
      <c r="O34" s="77" t="n">
        <f aca="false">IFERROR(INDEX(账户总表!$B:$B,COUNTA(账户总表!$A:$A))*N34,0)</f>
        <v>7294.812</v>
      </c>
      <c r="P34" s="78" t="n">
        <f aca="false">IFERROR(O34/D34,0)</f>
        <v>0</v>
      </c>
      <c r="Q34" s="78" t="n">
        <f aca="false">IFERROR(FLOOR(P34,100),0)</f>
        <v>0</v>
      </c>
      <c r="R34" s="78" t="n">
        <f aca="false">IFERROR(CEILING(800/(100*D34),1)*100,0)</f>
        <v>0</v>
      </c>
      <c r="S34" s="79"/>
      <c r="T34" s="77" t="n">
        <f aca="false">IFERROR(S34*D34,0)</f>
        <v>0</v>
      </c>
      <c r="U34" s="76" t="n">
        <f aca="false">IFERROR(T34/INDEX(账户总表!$B:$B,COUNTA(账户总表!$A:$A)),0)</f>
        <v>0</v>
      </c>
      <c r="V34" s="76" t="n">
        <f aca="false">IFERROR(INDEX(账户总表!$E:$E,COUNTA(账户总表!$A:$A))+U34,0)</f>
        <v>0.407056412146057</v>
      </c>
      <c r="W34" s="75" t="str">
        <f aca="false">IF($A34="","",IFERROR(IF(V34&lt;=INDEX(账户总表!$N:$N,COUNTA(账户总表!$A:$A)),"是","否"),"否"))</f>
        <v/>
      </c>
      <c r="X34" s="77" t="str">
        <f aca="false">IF($A34="","",MAX(F34*0.98,D34*0.92))</f>
        <v/>
      </c>
      <c r="Y34" s="72"/>
      <c r="Z34" s="75" t="str">
        <f aca="false">IF($A34="","",IFERROR(IF(AND(T34&gt;INDEX(账户总表!$C:$C,COUNTA(账户总表!$A:$A)),L34="是"),"是","否"),"否"))</f>
        <v/>
      </c>
      <c r="AA34" s="77" t="str">
        <f aca="false">IF($A34="","",IFERROR(IF(Z34="是",MAX(0,T34-INDEX(账户总表!$C:$C,COUNTA(账户总表!$A:$A)),IF(N34&gt;0,T34/N34-INDEX(账户总表!$B:$B,COUNTA(账户总表!$A:$A)),0)),0),0))</f>
        <v/>
      </c>
      <c r="AB34" s="77" t="str">
        <f aca="false">IF($A34="","",IF(AND(Z34="是",INDEX(账户总表!$U:$U,COUNTA(账户总表!$A:$A))="是"),IF(INDEX(账户总表!$L:$L,COUNTA(账户总表!$A:$A))&gt;=4,AA34*1.5,AA34),0))</f>
        <v/>
      </c>
      <c r="AC34" s="75" t="str">
        <f aca="false">IF($A34="","",IF(AND(L34="是",Q34&gt;=R34,S34&lt;=Q34,S34&gt;=R34,W34="是",X34&gt;0,M34="是",INDEX(账户总表!$M:$M,COUNTA(账户总表!$A:$A))&lt;=2,INDEX(账户总表!$V:$V,COUNTA(账户总表!$A:$A))="是",OR(T34&lt;=INDEX(账户总表!$C:$C,COUNTA(账户总表!$A:$A)),AND(Z34="是",INDEX(账户总表!$U:$U,COUNTA(账户总表!$A:$A))="是",AB34&gt;0))),"是","否"))</f>
        <v/>
      </c>
      <c r="AD34" s="75" t="str">
        <f aca="false">IF($A34="","",IF(L34&lt;&gt;"是","信号未确认",IF(X34&lt;=0,"止损价未定义",IF(Q34&lt;R34,"100股约束不满足",IF(S34&gt;Q34,"计划股数超单股上限",IF(S34&lt;R34,"计划股数低于最小门槛",IF(W34&lt;&gt;"是","总仓位超限",IF(M34&lt;&gt;"是","追价",IF(INDEX(账户总表!$M:$M,COUNTA(账户总表!$A:$A))&gt;2,"亏钱效应偏高",IF(INDEX(账户总表!$V:$V,COUNTA(账户总表!$A:$A))&lt;&gt;"是","账户不允许新开仓",IF(AND(T34&gt;INDEX(账户总表!$C:$C,COUNTA(账户总表!$A:$A)),INDEX(账户总表!$U:$U,COUNTA(账户总表!$A:$A))&lt;&gt;"是"),"现金不足且不允许转入",IF(AND(Z34="是",AB34&lt;=0),"转入金额未满足",""))))))))))))</f>
        <v/>
      </c>
      <c r="AE34" s="71"/>
      <c r="AF34" s="1" t="str">
        <f aca="false">IF($A34="","",D34*100)</f>
        <v/>
      </c>
      <c r="AG34" s="1" t="str">
        <f aca="false">IF($A34="","",IFERROR(AF34/INDEX(账户总表!$B:$B,COUNTA(账户总表!$A:$A)),0))</f>
        <v/>
      </c>
      <c r="AH34" s="1" t="str">
        <f aca="false">IF($A34="","",IFERROR(INDEX(账户总表!$B:$B,COUNTA(账户总表!$A:$A))*INDEX(账户总表!$O:$O,COUNTA(账户总表!$A:$A)),0))</f>
        <v/>
      </c>
      <c r="AI34" s="1" t="str">
        <f aca="false">IF($A34="","",IF(AF34&gt;AH34,"超限","合规"))</f>
        <v/>
      </c>
      <c r="AJ34" s="1" t="str">
        <f aca="false">IF($A34="","",IFERROR(AF34/INDEX(账户总表!$O:$O,COUNTA(账户总表!$A:$A)),0))</f>
        <v/>
      </c>
      <c r="AK34" s="1" t="str">
        <f aca="false">IF($A34="","",IFERROR(MAX(0,AJ34-INDEX(账户总表!$B:$B,COUNTA(账户总表!$A:$A)),AF34-INDEX(账户总表!$C:$C,COUNTA(账户总表!$A:$A))),0))</f>
        <v/>
      </c>
      <c r="AL34" s="1" t="str">
        <f aca="false">IF($A34="","",IF(COUNTIF(持仓表!$C$2:$C$201,C34)&gt;0,"已有","新标的"))</f>
        <v/>
      </c>
      <c r="AM34" s="1" t="str">
        <f aca="false">IF($A34="","",IFERROR(SUMIFS(持仓表!$N$2:$N$201,持仓表!$C$2:$C$201,C34,持仓表!$A$2:$A$201,$A34),0))</f>
        <v/>
      </c>
      <c r="AN34" s="1" t="str">
        <f aca="false">IF($A34="","",IFERROR(AM34+AF34/INDEX(账户总表!$B:$B,COUNTA(账户总表!$A:$A)),0))</f>
        <v/>
      </c>
      <c r="AO34" s="1" t="str">
        <f aca="false">IF($A34="","",IF(AN34&gt;INDEX(账户总表!$O:$O,COUNTA(账户总表!$A:$A)),"超限","合规"))</f>
        <v/>
      </c>
      <c r="AP34" s="1" t="str">
        <f aca="false">IF($A34="","",IF(AND(AL34="新标的",INDEX(账户总表!$R:$R,COUNTA(账户总表!$A:$A))&gt;=INDEX(账户总表!$S:$S,COUNTA(账户总表!$A:$A))),"新增受限","可通过"))</f>
        <v/>
      </c>
      <c r="AQ34" s="1" t="str">
        <f aca="false">IF($A34="","",IF(K34&lt;&gt;"核心池","非核心池",IF(OR(AI34="超限",AO34="超限",AP34="新增受限"),"不可加仓","可加仓")))</f>
        <v/>
      </c>
      <c r="AR34" s="1" t="str">
        <f aca="false">IF($A34="","",TRIM(IF(AI34="超限","1手超单股上限；","")&amp;IF(AO34="超限","买后仓位超限；","")&amp;IF(AP34="新增受限","有效持仓数超限；","")&amp;IF(AF34&gt;INDEX(账户总表!$C:$C,COUNTA(账户总表!$A:$A)),"现金不足；","")))</f>
        <v/>
      </c>
      <c r="AS34" s="1" t="str">
        <f aca="false">IF($A34="","",IFERROR(INDEX(候选池历史!$L:$L,MATCH(1,(候选池历史!$B:$B=C34)*(候选池历史!$A:$A=$A34),0)),0))</f>
        <v/>
      </c>
      <c r="AT34" s="1" t="str">
        <f aca="false">IF($A34="","",IF(AS34&gt;=3,"★信号强化",IF(K34="核心池","核心观察","")))</f>
        <v/>
      </c>
      <c r="AU34" s="1" t="str">
        <f aca="false">IF($A34="","",IF(AK34&gt;30000-INDEX(账户总表!$B:$B,COUNTA(账户总表!$A:$A)),"不适合婴儿阶段","可纳入幼儿路径"))</f>
        <v/>
      </c>
    </row>
    <row r="35" customFormat="false" ht="15" hidden="false" customHeight="true" outlineLevel="0" collapsed="false">
      <c r="A35" s="70"/>
      <c r="B35" s="71"/>
      <c r="C35" s="72"/>
      <c r="D35" s="73"/>
      <c r="E35" s="73"/>
      <c r="F35" s="73"/>
      <c r="G35" s="74"/>
      <c r="H35" s="72"/>
      <c r="I35" s="72"/>
      <c r="J35" s="71"/>
      <c r="K35" s="75" t="str">
        <f aca="false">IF($A35="","",IF(AND(G35&lt;45%,H35&gt;=0.9),"A",IF(AND(G35&lt;60%,H35&gt;0.8),"B","C")))</f>
        <v/>
      </c>
      <c r="L35" s="75" t="str">
        <f aca="false">IF($A35="","",IF(AND(G35&lt;60%,H35&gt;0.8,I35="True"),"是","否"))</f>
        <v/>
      </c>
      <c r="M35" s="75" t="str">
        <f aca="false">IF($A35="","",IF(AND(D35&gt;0,E35&gt;0,D35&lt;=E35*1.02),"是","否"))</f>
        <v/>
      </c>
      <c r="N35" s="76" t="n">
        <f aca="false">IFERROR(INDEX(账户总表!$O:$O,COUNTA(账户总表!$A:$A)),0)</f>
        <v>0.35</v>
      </c>
      <c r="O35" s="77" t="n">
        <f aca="false">IFERROR(INDEX(账户总表!$B:$B,COUNTA(账户总表!$A:$A))*N35,0)</f>
        <v>7294.812</v>
      </c>
      <c r="P35" s="78" t="n">
        <f aca="false">IFERROR(O35/D35,0)</f>
        <v>0</v>
      </c>
      <c r="Q35" s="78" t="n">
        <f aca="false">IFERROR(FLOOR(P35,100),0)</f>
        <v>0</v>
      </c>
      <c r="R35" s="78" t="n">
        <f aca="false">IFERROR(CEILING(800/(100*D35),1)*100,0)</f>
        <v>0</v>
      </c>
      <c r="S35" s="79"/>
      <c r="T35" s="77" t="n">
        <f aca="false">IFERROR(S35*D35,0)</f>
        <v>0</v>
      </c>
      <c r="U35" s="76" t="n">
        <f aca="false">IFERROR(T35/INDEX(账户总表!$B:$B,COUNTA(账户总表!$A:$A)),0)</f>
        <v>0</v>
      </c>
      <c r="V35" s="76" t="n">
        <f aca="false">IFERROR(INDEX(账户总表!$E:$E,COUNTA(账户总表!$A:$A))+U35,0)</f>
        <v>0.407056412146057</v>
      </c>
      <c r="W35" s="75" t="str">
        <f aca="false">IF($A35="","",IFERROR(IF(V35&lt;=INDEX(账户总表!$N:$N,COUNTA(账户总表!$A:$A)),"是","否"),"否"))</f>
        <v/>
      </c>
      <c r="X35" s="77" t="str">
        <f aca="false">IF($A35="","",MAX(F35*0.98,D35*0.92))</f>
        <v/>
      </c>
      <c r="Y35" s="72"/>
      <c r="Z35" s="75" t="str">
        <f aca="false">IF($A35="","",IFERROR(IF(AND(T35&gt;INDEX(账户总表!$C:$C,COUNTA(账户总表!$A:$A)),L35="是"),"是","否"),"否"))</f>
        <v/>
      </c>
      <c r="AA35" s="77" t="str">
        <f aca="false">IF($A35="","",IFERROR(IF(Z35="是",MAX(0,T35-INDEX(账户总表!$C:$C,COUNTA(账户总表!$A:$A)),IF(N35&gt;0,T35/N35-INDEX(账户总表!$B:$B,COUNTA(账户总表!$A:$A)),0)),0),0))</f>
        <v/>
      </c>
      <c r="AB35" s="77" t="str">
        <f aca="false">IF($A35="","",IF(AND(Z35="是",INDEX(账户总表!$U:$U,COUNTA(账户总表!$A:$A))="是"),IF(INDEX(账户总表!$L:$L,COUNTA(账户总表!$A:$A))&gt;=4,AA35*1.5,AA35),0))</f>
        <v/>
      </c>
      <c r="AC35" s="75" t="str">
        <f aca="false">IF($A35="","",IF(AND(L35="是",Q35&gt;=R35,S35&lt;=Q35,S35&gt;=R35,W35="是",X35&gt;0,M35="是",INDEX(账户总表!$M:$M,COUNTA(账户总表!$A:$A))&lt;=2,INDEX(账户总表!$V:$V,COUNTA(账户总表!$A:$A))="是",OR(T35&lt;=INDEX(账户总表!$C:$C,COUNTA(账户总表!$A:$A)),AND(Z35="是",INDEX(账户总表!$U:$U,COUNTA(账户总表!$A:$A))="是",AB35&gt;0))),"是","否"))</f>
        <v/>
      </c>
      <c r="AD35" s="75" t="str">
        <f aca="false">IF($A35="","",IF(L35&lt;&gt;"是","信号未确认",IF(X35&lt;=0,"止损价未定义",IF(Q35&lt;R35,"100股约束不满足",IF(S35&gt;Q35,"计划股数超单股上限",IF(S35&lt;R35,"计划股数低于最小门槛",IF(W35&lt;&gt;"是","总仓位超限",IF(M35&lt;&gt;"是","追价",IF(INDEX(账户总表!$M:$M,COUNTA(账户总表!$A:$A))&gt;2,"亏钱效应偏高",IF(INDEX(账户总表!$V:$V,COUNTA(账户总表!$A:$A))&lt;&gt;"是","账户不允许新开仓",IF(AND(T35&gt;INDEX(账户总表!$C:$C,COUNTA(账户总表!$A:$A)),INDEX(账户总表!$U:$U,COUNTA(账户总表!$A:$A))&lt;&gt;"是"),"现金不足且不允许转入",IF(AND(Z35="是",AB35&lt;=0),"转入金额未满足",""))))))))))))</f>
        <v/>
      </c>
      <c r="AE35" s="71"/>
      <c r="AF35" s="1" t="str">
        <f aca="false">IF($A35="","",D35*100)</f>
        <v/>
      </c>
      <c r="AG35" s="1" t="str">
        <f aca="false">IF($A35="","",IFERROR(AF35/INDEX(账户总表!$B:$B,COUNTA(账户总表!$A:$A)),0))</f>
        <v/>
      </c>
      <c r="AH35" s="1" t="str">
        <f aca="false">IF($A35="","",IFERROR(INDEX(账户总表!$B:$B,COUNTA(账户总表!$A:$A))*INDEX(账户总表!$O:$O,COUNTA(账户总表!$A:$A)),0))</f>
        <v/>
      </c>
      <c r="AI35" s="1" t="str">
        <f aca="false">IF($A35="","",IF(AF35&gt;AH35,"超限","合规"))</f>
        <v/>
      </c>
      <c r="AJ35" s="1" t="str">
        <f aca="false">IF($A35="","",IFERROR(AF35/INDEX(账户总表!$O:$O,COUNTA(账户总表!$A:$A)),0))</f>
        <v/>
      </c>
      <c r="AK35" s="1" t="str">
        <f aca="false">IF($A35="","",IFERROR(MAX(0,AJ35-INDEX(账户总表!$B:$B,COUNTA(账户总表!$A:$A)),AF35-INDEX(账户总表!$C:$C,COUNTA(账户总表!$A:$A))),0))</f>
        <v/>
      </c>
      <c r="AL35" s="1" t="str">
        <f aca="false">IF($A35="","",IF(COUNTIF(持仓表!$C$2:$C$201,C35)&gt;0,"已有","新标的"))</f>
        <v/>
      </c>
      <c r="AM35" s="1" t="str">
        <f aca="false">IF($A35="","",IFERROR(SUMIFS(持仓表!$N$2:$N$201,持仓表!$C$2:$C$201,C35,持仓表!$A$2:$A$201,$A35),0))</f>
        <v/>
      </c>
      <c r="AN35" s="1" t="str">
        <f aca="false">IF($A35="","",IFERROR(AM35+AF35/INDEX(账户总表!$B:$B,COUNTA(账户总表!$A:$A)),0))</f>
        <v/>
      </c>
      <c r="AO35" s="1" t="str">
        <f aca="false">IF($A35="","",IF(AN35&gt;INDEX(账户总表!$O:$O,COUNTA(账户总表!$A:$A)),"超限","合规"))</f>
        <v/>
      </c>
      <c r="AP35" s="1" t="str">
        <f aca="false">IF($A35="","",IF(AND(AL35="新标的",INDEX(账户总表!$R:$R,COUNTA(账户总表!$A:$A))&gt;=INDEX(账户总表!$S:$S,COUNTA(账户总表!$A:$A))),"新增受限","可通过"))</f>
        <v/>
      </c>
      <c r="AQ35" s="1" t="str">
        <f aca="false">IF($A35="","",IF(K35&lt;&gt;"核心池","非核心池",IF(OR(AI35="超限",AO35="超限",AP35="新增受限"),"不可加仓","可加仓")))</f>
        <v/>
      </c>
      <c r="AR35" s="1" t="str">
        <f aca="false">IF($A35="","",TRIM(IF(AI35="超限","1手超单股上限；","")&amp;IF(AO35="超限","买后仓位超限；","")&amp;IF(AP35="新增受限","有效持仓数超限；","")&amp;IF(AF35&gt;INDEX(账户总表!$C:$C,COUNTA(账户总表!$A:$A)),"现金不足；","")))</f>
        <v/>
      </c>
      <c r="AS35" s="1" t="str">
        <f aca="false">IF($A35="","",IFERROR(INDEX(候选池历史!$L:$L,MATCH(1,(候选池历史!$B:$B=C35)*(候选池历史!$A:$A=$A35),0)),0))</f>
        <v/>
      </c>
      <c r="AT35" s="1" t="str">
        <f aca="false">IF($A35="","",IF(AS35&gt;=3,"★信号强化",IF(K35="核心池","核心观察","")))</f>
        <v/>
      </c>
      <c r="AU35" s="1" t="str">
        <f aca="false">IF($A35="","",IF(AK35&gt;30000-INDEX(账户总表!$B:$B,COUNTA(账户总表!$A:$A)),"不适合婴儿阶段","可纳入幼儿路径"))</f>
        <v/>
      </c>
    </row>
    <row r="36" customFormat="false" ht="15" hidden="false" customHeight="true" outlineLevel="0" collapsed="false">
      <c r="A36" s="70"/>
      <c r="B36" s="71"/>
      <c r="C36" s="72"/>
      <c r="D36" s="73"/>
      <c r="E36" s="73"/>
      <c r="F36" s="73"/>
      <c r="G36" s="74"/>
      <c r="H36" s="72"/>
      <c r="I36" s="72"/>
      <c r="J36" s="71"/>
      <c r="K36" s="75" t="str">
        <f aca="false">IF($A36="","",IF(AND(G36&lt;45%,H36&gt;=0.9),"A",IF(AND(G36&lt;60%,H36&gt;0.8),"B","C")))</f>
        <v/>
      </c>
      <c r="L36" s="75" t="str">
        <f aca="false">IF($A36="","",IF(AND(G36&lt;60%,H36&gt;0.8,I36="True"),"是","否"))</f>
        <v/>
      </c>
      <c r="M36" s="75" t="str">
        <f aca="false">IF($A36="","",IF(AND(D36&gt;0,E36&gt;0,D36&lt;=E36*1.02),"是","否"))</f>
        <v/>
      </c>
      <c r="N36" s="76" t="n">
        <f aca="false">IFERROR(INDEX(账户总表!$O:$O,COUNTA(账户总表!$A:$A)),0)</f>
        <v>0.35</v>
      </c>
      <c r="O36" s="77" t="n">
        <f aca="false">IFERROR(INDEX(账户总表!$B:$B,COUNTA(账户总表!$A:$A))*N36,0)</f>
        <v>7294.812</v>
      </c>
      <c r="P36" s="78" t="n">
        <f aca="false">IFERROR(O36/D36,0)</f>
        <v>0</v>
      </c>
      <c r="Q36" s="78" t="n">
        <f aca="false">IFERROR(FLOOR(P36,100),0)</f>
        <v>0</v>
      </c>
      <c r="R36" s="78" t="n">
        <f aca="false">IFERROR(CEILING(800/(100*D36),1)*100,0)</f>
        <v>0</v>
      </c>
      <c r="S36" s="79"/>
      <c r="T36" s="77" t="n">
        <f aca="false">IFERROR(S36*D36,0)</f>
        <v>0</v>
      </c>
      <c r="U36" s="76" t="n">
        <f aca="false">IFERROR(T36/INDEX(账户总表!$B:$B,COUNTA(账户总表!$A:$A)),0)</f>
        <v>0</v>
      </c>
      <c r="V36" s="76" t="n">
        <f aca="false">IFERROR(INDEX(账户总表!$E:$E,COUNTA(账户总表!$A:$A))+U36,0)</f>
        <v>0.407056412146057</v>
      </c>
      <c r="W36" s="75" t="str">
        <f aca="false">IF($A36="","",IFERROR(IF(V36&lt;=INDEX(账户总表!$N:$N,COUNTA(账户总表!$A:$A)),"是","否"),"否"))</f>
        <v/>
      </c>
      <c r="X36" s="77" t="str">
        <f aca="false">IF($A36="","",MAX(F36*0.98,D36*0.92))</f>
        <v/>
      </c>
      <c r="Y36" s="72"/>
      <c r="Z36" s="75" t="str">
        <f aca="false">IF($A36="","",IFERROR(IF(AND(T36&gt;INDEX(账户总表!$C:$C,COUNTA(账户总表!$A:$A)),L36="是"),"是","否"),"否"))</f>
        <v/>
      </c>
      <c r="AA36" s="77" t="str">
        <f aca="false">IF($A36="","",IFERROR(IF(Z36="是",MAX(0,T36-INDEX(账户总表!$C:$C,COUNTA(账户总表!$A:$A)),IF(N36&gt;0,T36/N36-INDEX(账户总表!$B:$B,COUNTA(账户总表!$A:$A)),0)),0),0))</f>
        <v/>
      </c>
      <c r="AB36" s="77" t="str">
        <f aca="false">IF($A36="","",IF(AND(Z36="是",INDEX(账户总表!$U:$U,COUNTA(账户总表!$A:$A))="是"),IF(INDEX(账户总表!$L:$L,COUNTA(账户总表!$A:$A))&gt;=4,AA36*1.5,AA36),0))</f>
        <v/>
      </c>
      <c r="AC36" s="75" t="str">
        <f aca="false">IF($A36="","",IF(AND(L36="是",Q36&gt;=R36,S36&lt;=Q36,S36&gt;=R36,W36="是",X36&gt;0,M36="是",INDEX(账户总表!$M:$M,COUNTA(账户总表!$A:$A))&lt;=2,INDEX(账户总表!$V:$V,COUNTA(账户总表!$A:$A))="是",OR(T36&lt;=INDEX(账户总表!$C:$C,COUNTA(账户总表!$A:$A)),AND(Z36="是",INDEX(账户总表!$U:$U,COUNTA(账户总表!$A:$A))="是",AB36&gt;0))),"是","否"))</f>
        <v/>
      </c>
      <c r="AD36" s="75" t="str">
        <f aca="false">IF($A36="","",IF(L36&lt;&gt;"是","信号未确认",IF(X36&lt;=0,"止损价未定义",IF(Q36&lt;R36,"100股约束不满足",IF(S36&gt;Q36,"计划股数超单股上限",IF(S36&lt;R36,"计划股数低于最小门槛",IF(W36&lt;&gt;"是","总仓位超限",IF(M36&lt;&gt;"是","追价",IF(INDEX(账户总表!$M:$M,COUNTA(账户总表!$A:$A))&gt;2,"亏钱效应偏高",IF(INDEX(账户总表!$V:$V,COUNTA(账户总表!$A:$A))&lt;&gt;"是","账户不允许新开仓",IF(AND(T36&gt;INDEX(账户总表!$C:$C,COUNTA(账户总表!$A:$A)),INDEX(账户总表!$U:$U,COUNTA(账户总表!$A:$A))&lt;&gt;"是"),"现金不足且不允许转入",IF(AND(Z36="是",AB36&lt;=0),"转入金额未满足",""))))))))))))</f>
        <v/>
      </c>
      <c r="AE36" s="71"/>
      <c r="AF36" s="1" t="str">
        <f aca="false">IF($A36="","",D36*100)</f>
        <v/>
      </c>
      <c r="AG36" s="1" t="str">
        <f aca="false">IF($A36="","",IFERROR(AF36/INDEX(账户总表!$B:$B,COUNTA(账户总表!$A:$A)),0))</f>
        <v/>
      </c>
      <c r="AH36" s="1" t="str">
        <f aca="false">IF($A36="","",IFERROR(INDEX(账户总表!$B:$B,COUNTA(账户总表!$A:$A))*INDEX(账户总表!$O:$O,COUNTA(账户总表!$A:$A)),0))</f>
        <v/>
      </c>
      <c r="AI36" s="1" t="str">
        <f aca="false">IF($A36="","",IF(AF36&gt;AH36,"超限","合规"))</f>
        <v/>
      </c>
      <c r="AJ36" s="1" t="str">
        <f aca="false">IF($A36="","",IFERROR(AF36/INDEX(账户总表!$O:$O,COUNTA(账户总表!$A:$A)),0))</f>
        <v/>
      </c>
      <c r="AK36" s="1" t="str">
        <f aca="false">IF($A36="","",IFERROR(MAX(0,AJ36-INDEX(账户总表!$B:$B,COUNTA(账户总表!$A:$A)),AF36-INDEX(账户总表!$C:$C,COUNTA(账户总表!$A:$A))),0))</f>
        <v/>
      </c>
      <c r="AL36" s="1" t="str">
        <f aca="false">IF($A36="","",IF(COUNTIF(持仓表!$C$2:$C$201,C36)&gt;0,"已有","新标的"))</f>
        <v/>
      </c>
      <c r="AM36" s="1" t="str">
        <f aca="false">IF($A36="","",IFERROR(SUMIFS(持仓表!$N$2:$N$201,持仓表!$C$2:$C$201,C36,持仓表!$A$2:$A$201,$A36),0))</f>
        <v/>
      </c>
      <c r="AN36" s="1" t="str">
        <f aca="false">IF($A36="","",IFERROR(AM36+AF36/INDEX(账户总表!$B:$B,COUNTA(账户总表!$A:$A)),0))</f>
        <v/>
      </c>
      <c r="AO36" s="1" t="str">
        <f aca="false">IF($A36="","",IF(AN36&gt;INDEX(账户总表!$O:$O,COUNTA(账户总表!$A:$A)),"超限","合规"))</f>
        <v/>
      </c>
      <c r="AP36" s="1" t="str">
        <f aca="false">IF($A36="","",IF(AND(AL36="新标的",INDEX(账户总表!$R:$R,COUNTA(账户总表!$A:$A))&gt;=INDEX(账户总表!$S:$S,COUNTA(账户总表!$A:$A))),"新增受限","可通过"))</f>
        <v/>
      </c>
      <c r="AQ36" s="1" t="str">
        <f aca="false">IF($A36="","",IF(K36&lt;&gt;"核心池","非核心池",IF(OR(AI36="超限",AO36="超限",AP36="新增受限"),"不可加仓","可加仓")))</f>
        <v/>
      </c>
      <c r="AR36" s="1" t="str">
        <f aca="false">IF($A36="","",TRIM(IF(AI36="超限","1手超单股上限；","")&amp;IF(AO36="超限","买后仓位超限；","")&amp;IF(AP36="新增受限","有效持仓数超限；","")&amp;IF(AF36&gt;INDEX(账户总表!$C:$C,COUNTA(账户总表!$A:$A)),"现金不足；","")))</f>
        <v/>
      </c>
      <c r="AS36" s="1" t="str">
        <f aca="false">IF($A36="","",IFERROR(INDEX(候选池历史!$L:$L,MATCH(1,(候选池历史!$B:$B=C36)*(候选池历史!$A:$A=$A36),0)),0))</f>
        <v/>
      </c>
      <c r="AT36" s="1" t="str">
        <f aca="false">IF($A36="","",IF(AS36&gt;=3,"★信号强化",IF(K36="核心池","核心观察","")))</f>
        <v/>
      </c>
      <c r="AU36" s="1" t="str">
        <f aca="false">IF($A36="","",IF(AK36&gt;30000-INDEX(账户总表!$B:$B,COUNTA(账户总表!$A:$A)),"不适合婴儿阶段","可纳入幼儿路径"))</f>
        <v/>
      </c>
    </row>
    <row r="37" customFormat="false" ht="15" hidden="false" customHeight="true" outlineLevel="0" collapsed="false">
      <c r="A37" s="70"/>
      <c r="B37" s="71"/>
      <c r="C37" s="72"/>
      <c r="D37" s="73"/>
      <c r="E37" s="73"/>
      <c r="F37" s="73"/>
      <c r="G37" s="74"/>
      <c r="H37" s="72"/>
      <c r="I37" s="72"/>
      <c r="J37" s="71"/>
      <c r="K37" s="75" t="str">
        <f aca="false">IF($A37="","",IF(AND(G37&lt;45%,H37&gt;=0.9),"A",IF(AND(G37&lt;60%,H37&gt;0.8),"B","C")))</f>
        <v/>
      </c>
      <c r="L37" s="75" t="str">
        <f aca="false">IF($A37="","",IF(AND(G37&lt;60%,H37&gt;0.8,I37="True"),"是","否"))</f>
        <v/>
      </c>
      <c r="M37" s="75" t="str">
        <f aca="false">IF($A37="","",IF(AND(D37&gt;0,E37&gt;0,D37&lt;=E37*1.02),"是","否"))</f>
        <v/>
      </c>
      <c r="N37" s="76" t="n">
        <f aca="false">IFERROR(INDEX(账户总表!$O:$O,COUNTA(账户总表!$A:$A)),0)</f>
        <v>0.35</v>
      </c>
      <c r="O37" s="77" t="n">
        <f aca="false">IFERROR(INDEX(账户总表!$B:$B,COUNTA(账户总表!$A:$A))*N37,0)</f>
        <v>7294.812</v>
      </c>
      <c r="P37" s="78" t="n">
        <f aca="false">IFERROR(O37/D37,0)</f>
        <v>0</v>
      </c>
      <c r="Q37" s="78" t="n">
        <f aca="false">IFERROR(FLOOR(P37,100),0)</f>
        <v>0</v>
      </c>
      <c r="R37" s="78" t="n">
        <f aca="false">IFERROR(CEILING(800/(100*D37),1)*100,0)</f>
        <v>0</v>
      </c>
      <c r="S37" s="79"/>
      <c r="T37" s="77" t="n">
        <f aca="false">IFERROR(S37*D37,0)</f>
        <v>0</v>
      </c>
      <c r="U37" s="76" t="n">
        <f aca="false">IFERROR(T37/INDEX(账户总表!$B:$B,COUNTA(账户总表!$A:$A)),0)</f>
        <v>0</v>
      </c>
      <c r="V37" s="76" t="n">
        <f aca="false">IFERROR(INDEX(账户总表!$E:$E,COUNTA(账户总表!$A:$A))+U37,0)</f>
        <v>0.407056412146057</v>
      </c>
      <c r="W37" s="75" t="str">
        <f aca="false">IF($A37="","",IFERROR(IF(V37&lt;=INDEX(账户总表!$N:$N,COUNTA(账户总表!$A:$A)),"是","否"),"否"))</f>
        <v/>
      </c>
      <c r="X37" s="77" t="str">
        <f aca="false">IF($A37="","",MAX(F37*0.98,D37*0.92))</f>
        <v/>
      </c>
      <c r="Y37" s="72"/>
      <c r="Z37" s="75" t="str">
        <f aca="false">IF($A37="","",IFERROR(IF(AND(T37&gt;INDEX(账户总表!$C:$C,COUNTA(账户总表!$A:$A)),L37="是"),"是","否"),"否"))</f>
        <v/>
      </c>
      <c r="AA37" s="77" t="str">
        <f aca="false">IF($A37="","",IFERROR(IF(Z37="是",MAX(0,T37-INDEX(账户总表!$C:$C,COUNTA(账户总表!$A:$A)),IF(N37&gt;0,T37/N37-INDEX(账户总表!$B:$B,COUNTA(账户总表!$A:$A)),0)),0),0))</f>
        <v/>
      </c>
      <c r="AB37" s="77" t="str">
        <f aca="false">IF($A37="","",IF(AND(Z37="是",INDEX(账户总表!$U:$U,COUNTA(账户总表!$A:$A))="是"),IF(INDEX(账户总表!$L:$L,COUNTA(账户总表!$A:$A))&gt;=4,AA37*1.5,AA37),0))</f>
        <v/>
      </c>
      <c r="AC37" s="75" t="str">
        <f aca="false">IF($A37="","",IF(AND(L37="是",Q37&gt;=R37,S37&lt;=Q37,S37&gt;=R37,W37="是",X37&gt;0,M37="是",INDEX(账户总表!$M:$M,COUNTA(账户总表!$A:$A))&lt;=2,INDEX(账户总表!$V:$V,COUNTA(账户总表!$A:$A))="是",OR(T37&lt;=INDEX(账户总表!$C:$C,COUNTA(账户总表!$A:$A)),AND(Z37="是",INDEX(账户总表!$U:$U,COUNTA(账户总表!$A:$A))="是",AB37&gt;0))),"是","否"))</f>
        <v/>
      </c>
      <c r="AD37" s="75" t="str">
        <f aca="false">IF($A37="","",IF(L37&lt;&gt;"是","信号未确认",IF(X37&lt;=0,"止损价未定义",IF(Q37&lt;R37,"100股约束不满足",IF(S37&gt;Q37,"计划股数超单股上限",IF(S37&lt;R37,"计划股数低于最小门槛",IF(W37&lt;&gt;"是","总仓位超限",IF(M37&lt;&gt;"是","追价",IF(INDEX(账户总表!$M:$M,COUNTA(账户总表!$A:$A))&gt;2,"亏钱效应偏高",IF(INDEX(账户总表!$V:$V,COUNTA(账户总表!$A:$A))&lt;&gt;"是","账户不允许新开仓",IF(AND(T37&gt;INDEX(账户总表!$C:$C,COUNTA(账户总表!$A:$A)),INDEX(账户总表!$U:$U,COUNTA(账户总表!$A:$A))&lt;&gt;"是"),"现金不足且不允许转入",IF(AND(Z37="是",AB37&lt;=0),"转入金额未满足",""))))))))))))</f>
        <v/>
      </c>
      <c r="AE37" s="71"/>
      <c r="AF37" s="1" t="str">
        <f aca="false">IF($A37="","",D37*100)</f>
        <v/>
      </c>
      <c r="AG37" s="1" t="str">
        <f aca="false">IF($A37="","",IFERROR(AF37/INDEX(账户总表!$B:$B,COUNTA(账户总表!$A:$A)),0))</f>
        <v/>
      </c>
      <c r="AH37" s="1" t="str">
        <f aca="false">IF($A37="","",IFERROR(INDEX(账户总表!$B:$B,COUNTA(账户总表!$A:$A))*INDEX(账户总表!$O:$O,COUNTA(账户总表!$A:$A)),0))</f>
        <v/>
      </c>
      <c r="AI37" s="1" t="str">
        <f aca="false">IF($A37="","",IF(AF37&gt;AH37,"超限","合规"))</f>
        <v/>
      </c>
      <c r="AJ37" s="1" t="str">
        <f aca="false">IF($A37="","",IFERROR(AF37/INDEX(账户总表!$O:$O,COUNTA(账户总表!$A:$A)),0))</f>
        <v/>
      </c>
      <c r="AK37" s="1" t="str">
        <f aca="false">IF($A37="","",IFERROR(MAX(0,AJ37-INDEX(账户总表!$B:$B,COUNTA(账户总表!$A:$A)),AF37-INDEX(账户总表!$C:$C,COUNTA(账户总表!$A:$A))),0))</f>
        <v/>
      </c>
      <c r="AL37" s="1" t="str">
        <f aca="false">IF($A37="","",IF(COUNTIF(持仓表!$C$2:$C$201,C37)&gt;0,"已有","新标的"))</f>
        <v/>
      </c>
      <c r="AM37" s="1" t="str">
        <f aca="false">IF($A37="","",IFERROR(SUMIFS(持仓表!$N$2:$N$201,持仓表!$C$2:$C$201,C37,持仓表!$A$2:$A$201,$A37),0))</f>
        <v/>
      </c>
      <c r="AN37" s="1" t="str">
        <f aca="false">IF($A37="","",IFERROR(AM37+AF37/INDEX(账户总表!$B:$B,COUNTA(账户总表!$A:$A)),0))</f>
        <v/>
      </c>
      <c r="AO37" s="1" t="str">
        <f aca="false">IF($A37="","",IF(AN37&gt;INDEX(账户总表!$O:$O,COUNTA(账户总表!$A:$A)),"超限","合规"))</f>
        <v/>
      </c>
      <c r="AP37" s="1" t="str">
        <f aca="false">IF($A37="","",IF(AND(AL37="新标的",INDEX(账户总表!$R:$R,COUNTA(账户总表!$A:$A))&gt;=INDEX(账户总表!$S:$S,COUNTA(账户总表!$A:$A))),"新增受限","可通过"))</f>
        <v/>
      </c>
      <c r="AQ37" s="1" t="str">
        <f aca="false">IF($A37="","",IF(K37&lt;&gt;"核心池","非核心池",IF(OR(AI37="超限",AO37="超限",AP37="新增受限"),"不可加仓","可加仓")))</f>
        <v/>
      </c>
      <c r="AR37" s="1" t="str">
        <f aca="false">IF($A37="","",TRIM(IF(AI37="超限","1手超单股上限；","")&amp;IF(AO37="超限","买后仓位超限；","")&amp;IF(AP37="新增受限","有效持仓数超限；","")&amp;IF(AF37&gt;INDEX(账户总表!$C:$C,COUNTA(账户总表!$A:$A)),"现金不足；","")))</f>
        <v/>
      </c>
      <c r="AS37" s="1" t="str">
        <f aca="false">IF($A37="","",IFERROR(INDEX(候选池历史!$L:$L,MATCH(1,(候选池历史!$B:$B=C37)*(候选池历史!$A:$A=$A37),0)),0))</f>
        <v/>
      </c>
      <c r="AT37" s="1" t="str">
        <f aca="false">IF($A37="","",IF(AS37&gt;=3,"★信号强化",IF(K37="核心池","核心观察","")))</f>
        <v/>
      </c>
      <c r="AU37" s="1" t="str">
        <f aca="false">IF($A37="","",IF(AK37&gt;30000-INDEX(账户总表!$B:$B,COUNTA(账户总表!$A:$A)),"不适合婴儿阶段","可纳入幼儿路径"))</f>
        <v/>
      </c>
    </row>
    <row r="38" customFormat="false" ht="15" hidden="false" customHeight="true" outlineLevel="0" collapsed="false">
      <c r="A38" s="70"/>
      <c r="B38" s="71"/>
      <c r="C38" s="72"/>
      <c r="D38" s="73"/>
      <c r="E38" s="73"/>
      <c r="F38" s="73"/>
      <c r="G38" s="74"/>
      <c r="H38" s="72"/>
      <c r="I38" s="72"/>
      <c r="J38" s="71"/>
      <c r="K38" s="75" t="str">
        <f aca="false">IF($A38="","",IF(AND(G38&lt;45%,H38&gt;=0.9),"A",IF(AND(G38&lt;60%,H38&gt;0.8),"B","C")))</f>
        <v/>
      </c>
      <c r="L38" s="75" t="str">
        <f aca="false">IF($A38="","",IF(AND(G38&lt;60%,H38&gt;0.8,I38="True"),"是","否"))</f>
        <v/>
      </c>
      <c r="M38" s="75" t="str">
        <f aca="false">IF($A38="","",IF(AND(D38&gt;0,E38&gt;0,D38&lt;=E38*1.02),"是","否"))</f>
        <v/>
      </c>
      <c r="N38" s="76" t="n">
        <f aca="false">IFERROR(INDEX(账户总表!$O:$O,COUNTA(账户总表!$A:$A)),0)</f>
        <v>0.35</v>
      </c>
      <c r="O38" s="77" t="n">
        <f aca="false">IFERROR(INDEX(账户总表!$B:$B,COUNTA(账户总表!$A:$A))*N38,0)</f>
        <v>7294.812</v>
      </c>
      <c r="P38" s="78" t="n">
        <f aca="false">IFERROR(O38/D38,0)</f>
        <v>0</v>
      </c>
      <c r="Q38" s="78" t="n">
        <f aca="false">IFERROR(FLOOR(P38,100),0)</f>
        <v>0</v>
      </c>
      <c r="R38" s="78" t="n">
        <f aca="false">IFERROR(CEILING(800/(100*D38),1)*100,0)</f>
        <v>0</v>
      </c>
      <c r="S38" s="79"/>
      <c r="T38" s="77" t="n">
        <f aca="false">IFERROR(S38*D38,0)</f>
        <v>0</v>
      </c>
      <c r="U38" s="76" t="n">
        <f aca="false">IFERROR(T38/INDEX(账户总表!$B:$B,COUNTA(账户总表!$A:$A)),0)</f>
        <v>0</v>
      </c>
      <c r="V38" s="76" t="n">
        <f aca="false">IFERROR(INDEX(账户总表!$E:$E,COUNTA(账户总表!$A:$A))+U38,0)</f>
        <v>0.407056412146057</v>
      </c>
      <c r="W38" s="75" t="str">
        <f aca="false">IF($A38="","",IFERROR(IF(V38&lt;=INDEX(账户总表!$N:$N,COUNTA(账户总表!$A:$A)),"是","否"),"否"))</f>
        <v/>
      </c>
      <c r="X38" s="77" t="str">
        <f aca="false">IF($A38="","",MAX(F38*0.98,D38*0.92))</f>
        <v/>
      </c>
      <c r="Y38" s="72"/>
      <c r="Z38" s="75" t="str">
        <f aca="false">IF($A38="","",IFERROR(IF(AND(T38&gt;INDEX(账户总表!$C:$C,COUNTA(账户总表!$A:$A)),L38="是"),"是","否"),"否"))</f>
        <v/>
      </c>
      <c r="AA38" s="77" t="str">
        <f aca="false">IF($A38="","",IFERROR(IF(Z38="是",MAX(0,T38-INDEX(账户总表!$C:$C,COUNTA(账户总表!$A:$A)),IF(N38&gt;0,T38/N38-INDEX(账户总表!$B:$B,COUNTA(账户总表!$A:$A)),0)),0),0))</f>
        <v/>
      </c>
      <c r="AB38" s="77" t="str">
        <f aca="false">IF($A38="","",IF(AND(Z38="是",INDEX(账户总表!$U:$U,COUNTA(账户总表!$A:$A))="是"),IF(INDEX(账户总表!$L:$L,COUNTA(账户总表!$A:$A))&gt;=4,AA38*1.5,AA38),0))</f>
        <v/>
      </c>
      <c r="AC38" s="75" t="str">
        <f aca="false">IF($A38="","",IF(AND(L38="是",Q38&gt;=R38,S38&lt;=Q38,S38&gt;=R38,W38="是",X38&gt;0,M38="是",INDEX(账户总表!$M:$M,COUNTA(账户总表!$A:$A))&lt;=2,INDEX(账户总表!$V:$V,COUNTA(账户总表!$A:$A))="是",OR(T38&lt;=INDEX(账户总表!$C:$C,COUNTA(账户总表!$A:$A)),AND(Z38="是",INDEX(账户总表!$U:$U,COUNTA(账户总表!$A:$A))="是",AB38&gt;0))),"是","否"))</f>
        <v/>
      </c>
      <c r="AD38" s="75" t="str">
        <f aca="false">IF($A38="","",IF(L38&lt;&gt;"是","信号未确认",IF(X38&lt;=0,"止损价未定义",IF(Q38&lt;R38,"100股约束不满足",IF(S38&gt;Q38,"计划股数超单股上限",IF(S38&lt;R38,"计划股数低于最小门槛",IF(W38&lt;&gt;"是","总仓位超限",IF(M38&lt;&gt;"是","追价",IF(INDEX(账户总表!$M:$M,COUNTA(账户总表!$A:$A))&gt;2,"亏钱效应偏高",IF(INDEX(账户总表!$V:$V,COUNTA(账户总表!$A:$A))&lt;&gt;"是","账户不允许新开仓",IF(AND(T38&gt;INDEX(账户总表!$C:$C,COUNTA(账户总表!$A:$A)),INDEX(账户总表!$U:$U,COUNTA(账户总表!$A:$A))&lt;&gt;"是"),"现金不足且不允许转入",IF(AND(Z38="是",AB38&lt;=0),"转入金额未满足",""))))))))))))</f>
        <v/>
      </c>
      <c r="AE38" s="71"/>
      <c r="AF38" s="1" t="str">
        <f aca="false">IF($A38="","",D38*100)</f>
        <v/>
      </c>
      <c r="AG38" s="1" t="str">
        <f aca="false">IF($A38="","",IFERROR(AF38/INDEX(账户总表!$B:$B,COUNTA(账户总表!$A:$A)),0))</f>
        <v/>
      </c>
      <c r="AH38" s="1" t="str">
        <f aca="false">IF($A38="","",IFERROR(INDEX(账户总表!$B:$B,COUNTA(账户总表!$A:$A))*INDEX(账户总表!$O:$O,COUNTA(账户总表!$A:$A)),0))</f>
        <v/>
      </c>
      <c r="AI38" s="1" t="str">
        <f aca="false">IF($A38="","",IF(AF38&gt;AH38,"超限","合规"))</f>
        <v/>
      </c>
      <c r="AJ38" s="1" t="str">
        <f aca="false">IF($A38="","",IFERROR(AF38/INDEX(账户总表!$O:$O,COUNTA(账户总表!$A:$A)),0))</f>
        <v/>
      </c>
      <c r="AK38" s="1" t="str">
        <f aca="false">IF($A38="","",IFERROR(MAX(0,AJ38-INDEX(账户总表!$B:$B,COUNTA(账户总表!$A:$A)),AF38-INDEX(账户总表!$C:$C,COUNTA(账户总表!$A:$A))),0))</f>
        <v/>
      </c>
      <c r="AL38" s="1" t="str">
        <f aca="false">IF($A38="","",IF(COUNTIF(持仓表!$C$2:$C$201,C38)&gt;0,"已有","新标的"))</f>
        <v/>
      </c>
      <c r="AM38" s="1" t="str">
        <f aca="false">IF($A38="","",IFERROR(SUMIFS(持仓表!$N$2:$N$201,持仓表!$C$2:$C$201,C38,持仓表!$A$2:$A$201,$A38),0))</f>
        <v/>
      </c>
      <c r="AN38" s="1" t="str">
        <f aca="false">IF($A38="","",IFERROR(AM38+AF38/INDEX(账户总表!$B:$B,COUNTA(账户总表!$A:$A)),0))</f>
        <v/>
      </c>
      <c r="AO38" s="1" t="str">
        <f aca="false">IF($A38="","",IF(AN38&gt;INDEX(账户总表!$O:$O,COUNTA(账户总表!$A:$A)),"超限","合规"))</f>
        <v/>
      </c>
      <c r="AP38" s="1" t="str">
        <f aca="false">IF($A38="","",IF(AND(AL38="新标的",INDEX(账户总表!$R:$R,COUNTA(账户总表!$A:$A))&gt;=INDEX(账户总表!$S:$S,COUNTA(账户总表!$A:$A))),"新增受限","可通过"))</f>
        <v/>
      </c>
      <c r="AQ38" s="1" t="str">
        <f aca="false">IF($A38="","",IF(K38&lt;&gt;"核心池","非核心池",IF(OR(AI38="超限",AO38="超限",AP38="新增受限"),"不可加仓","可加仓")))</f>
        <v/>
      </c>
      <c r="AR38" s="1" t="str">
        <f aca="false">IF($A38="","",TRIM(IF(AI38="超限","1手超单股上限；","")&amp;IF(AO38="超限","买后仓位超限；","")&amp;IF(AP38="新增受限","有效持仓数超限；","")&amp;IF(AF38&gt;INDEX(账户总表!$C:$C,COUNTA(账户总表!$A:$A)),"现金不足；","")))</f>
        <v/>
      </c>
      <c r="AS38" s="1" t="str">
        <f aca="false">IF($A38="","",IFERROR(INDEX(候选池历史!$L:$L,MATCH(1,(候选池历史!$B:$B=C38)*(候选池历史!$A:$A=$A38),0)),0))</f>
        <v/>
      </c>
      <c r="AT38" s="1" t="str">
        <f aca="false">IF($A38="","",IF(AS38&gt;=3,"★信号强化",IF(K38="核心池","核心观察","")))</f>
        <v/>
      </c>
      <c r="AU38" s="1" t="str">
        <f aca="false">IF($A38="","",IF(AK38&gt;30000-INDEX(账户总表!$B:$B,COUNTA(账户总表!$A:$A)),"不适合婴儿阶段","可纳入幼儿路径"))</f>
        <v/>
      </c>
    </row>
    <row r="39" customFormat="false" ht="15" hidden="false" customHeight="true" outlineLevel="0" collapsed="false">
      <c r="A39" s="70"/>
      <c r="B39" s="71"/>
      <c r="C39" s="72"/>
      <c r="D39" s="73"/>
      <c r="E39" s="73"/>
      <c r="F39" s="73"/>
      <c r="G39" s="74"/>
      <c r="H39" s="72"/>
      <c r="I39" s="72"/>
      <c r="J39" s="71"/>
      <c r="K39" s="75" t="str">
        <f aca="false">IF($A39="","",IF(AND(G39&lt;45%,H39&gt;=0.9),"A",IF(AND(G39&lt;60%,H39&gt;0.8),"B","C")))</f>
        <v/>
      </c>
      <c r="L39" s="75" t="str">
        <f aca="false">IF($A39="","",IF(AND(G39&lt;60%,H39&gt;0.8,I39="True"),"是","否"))</f>
        <v/>
      </c>
      <c r="M39" s="75" t="str">
        <f aca="false">IF($A39="","",IF(AND(D39&gt;0,E39&gt;0,D39&lt;=E39*1.02),"是","否"))</f>
        <v/>
      </c>
      <c r="N39" s="76" t="n">
        <f aca="false">IFERROR(INDEX(账户总表!$O:$O,COUNTA(账户总表!$A:$A)),0)</f>
        <v>0.35</v>
      </c>
      <c r="O39" s="77" t="n">
        <f aca="false">IFERROR(INDEX(账户总表!$B:$B,COUNTA(账户总表!$A:$A))*N39,0)</f>
        <v>7294.812</v>
      </c>
      <c r="P39" s="78" t="n">
        <f aca="false">IFERROR(O39/D39,0)</f>
        <v>0</v>
      </c>
      <c r="Q39" s="78" t="n">
        <f aca="false">IFERROR(FLOOR(P39,100),0)</f>
        <v>0</v>
      </c>
      <c r="R39" s="78" t="n">
        <f aca="false">IFERROR(CEILING(800/(100*D39),1)*100,0)</f>
        <v>0</v>
      </c>
      <c r="S39" s="79"/>
      <c r="T39" s="77" t="n">
        <f aca="false">IFERROR(S39*D39,0)</f>
        <v>0</v>
      </c>
      <c r="U39" s="76" t="n">
        <f aca="false">IFERROR(T39/INDEX(账户总表!$B:$B,COUNTA(账户总表!$A:$A)),0)</f>
        <v>0</v>
      </c>
      <c r="V39" s="76" t="n">
        <f aca="false">IFERROR(INDEX(账户总表!$E:$E,COUNTA(账户总表!$A:$A))+U39,0)</f>
        <v>0.407056412146057</v>
      </c>
      <c r="W39" s="75" t="str">
        <f aca="false">IF($A39="","",IFERROR(IF(V39&lt;=INDEX(账户总表!$N:$N,COUNTA(账户总表!$A:$A)),"是","否"),"否"))</f>
        <v/>
      </c>
      <c r="X39" s="77" t="str">
        <f aca="false">IF($A39="","",MAX(F39*0.98,D39*0.92))</f>
        <v/>
      </c>
      <c r="Y39" s="72"/>
      <c r="Z39" s="75" t="str">
        <f aca="false">IF($A39="","",IFERROR(IF(AND(T39&gt;INDEX(账户总表!$C:$C,COUNTA(账户总表!$A:$A)),L39="是"),"是","否"),"否"))</f>
        <v/>
      </c>
      <c r="AA39" s="77" t="str">
        <f aca="false">IF($A39="","",IFERROR(IF(Z39="是",MAX(0,T39-INDEX(账户总表!$C:$C,COUNTA(账户总表!$A:$A)),IF(N39&gt;0,T39/N39-INDEX(账户总表!$B:$B,COUNTA(账户总表!$A:$A)),0)),0),0))</f>
        <v/>
      </c>
      <c r="AB39" s="77" t="str">
        <f aca="false">IF($A39="","",IF(AND(Z39="是",INDEX(账户总表!$U:$U,COUNTA(账户总表!$A:$A))="是"),IF(INDEX(账户总表!$L:$L,COUNTA(账户总表!$A:$A))&gt;=4,AA39*1.5,AA39),0))</f>
        <v/>
      </c>
      <c r="AC39" s="75" t="str">
        <f aca="false">IF($A39="","",IF(AND(L39="是",Q39&gt;=R39,S39&lt;=Q39,S39&gt;=R39,W39="是",X39&gt;0,M39="是",INDEX(账户总表!$M:$M,COUNTA(账户总表!$A:$A))&lt;=2,INDEX(账户总表!$V:$V,COUNTA(账户总表!$A:$A))="是",OR(T39&lt;=INDEX(账户总表!$C:$C,COUNTA(账户总表!$A:$A)),AND(Z39="是",INDEX(账户总表!$U:$U,COUNTA(账户总表!$A:$A))="是",AB39&gt;0))),"是","否"))</f>
        <v/>
      </c>
      <c r="AD39" s="75" t="str">
        <f aca="false">IF($A39="","",IF(L39&lt;&gt;"是","信号未确认",IF(X39&lt;=0,"止损价未定义",IF(Q39&lt;R39,"100股约束不满足",IF(S39&gt;Q39,"计划股数超单股上限",IF(S39&lt;R39,"计划股数低于最小门槛",IF(W39&lt;&gt;"是","总仓位超限",IF(M39&lt;&gt;"是","追价",IF(INDEX(账户总表!$M:$M,COUNTA(账户总表!$A:$A))&gt;2,"亏钱效应偏高",IF(INDEX(账户总表!$V:$V,COUNTA(账户总表!$A:$A))&lt;&gt;"是","账户不允许新开仓",IF(AND(T39&gt;INDEX(账户总表!$C:$C,COUNTA(账户总表!$A:$A)),INDEX(账户总表!$U:$U,COUNTA(账户总表!$A:$A))&lt;&gt;"是"),"现金不足且不允许转入",IF(AND(Z39="是",AB39&lt;=0),"转入金额未满足",""))))))))))))</f>
        <v/>
      </c>
      <c r="AE39" s="71"/>
      <c r="AF39" s="1" t="str">
        <f aca="false">IF($A39="","",D39*100)</f>
        <v/>
      </c>
      <c r="AG39" s="1" t="str">
        <f aca="false">IF($A39="","",IFERROR(AF39/INDEX(账户总表!$B:$B,COUNTA(账户总表!$A:$A)),0))</f>
        <v/>
      </c>
      <c r="AH39" s="1" t="str">
        <f aca="false">IF($A39="","",IFERROR(INDEX(账户总表!$B:$B,COUNTA(账户总表!$A:$A))*INDEX(账户总表!$O:$O,COUNTA(账户总表!$A:$A)),0))</f>
        <v/>
      </c>
      <c r="AI39" s="1" t="str">
        <f aca="false">IF($A39="","",IF(AF39&gt;AH39,"超限","合规"))</f>
        <v/>
      </c>
      <c r="AJ39" s="1" t="str">
        <f aca="false">IF($A39="","",IFERROR(AF39/INDEX(账户总表!$O:$O,COUNTA(账户总表!$A:$A)),0))</f>
        <v/>
      </c>
      <c r="AK39" s="1" t="str">
        <f aca="false">IF($A39="","",IFERROR(MAX(0,AJ39-INDEX(账户总表!$B:$B,COUNTA(账户总表!$A:$A)),AF39-INDEX(账户总表!$C:$C,COUNTA(账户总表!$A:$A))),0))</f>
        <v/>
      </c>
      <c r="AL39" s="1" t="str">
        <f aca="false">IF($A39="","",IF(COUNTIF(持仓表!$C$2:$C$201,C39)&gt;0,"已有","新标的"))</f>
        <v/>
      </c>
      <c r="AM39" s="1" t="str">
        <f aca="false">IF($A39="","",IFERROR(SUMIFS(持仓表!$N$2:$N$201,持仓表!$C$2:$C$201,C39,持仓表!$A$2:$A$201,$A39),0))</f>
        <v/>
      </c>
      <c r="AN39" s="1" t="str">
        <f aca="false">IF($A39="","",IFERROR(AM39+AF39/INDEX(账户总表!$B:$B,COUNTA(账户总表!$A:$A)),0))</f>
        <v/>
      </c>
      <c r="AO39" s="1" t="str">
        <f aca="false">IF($A39="","",IF(AN39&gt;INDEX(账户总表!$O:$O,COUNTA(账户总表!$A:$A)),"超限","合规"))</f>
        <v/>
      </c>
      <c r="AP39" s="1" t="str">
        <f aca="false">IF($A39="","",IF(AND(AL39="新标的",INDEX(账户总表!$R:$R,COUNTA(账户总表!$A:$A))&gt;=INDEX(账户总表!$S:$S,COUNTA(账户总表!$A:$A))),"新增受限","可通过"))</f>
        <v/>
      </c>
      <c r="AQ39" s="1" t="str">
        <f aca="false">IF($A39="","",IF(K39&lt;&gt;"核心池","非核心池",IF(OR(AI39="超限",AO39="超限",AP39="新增受限"),"不可加仓","可加仓")))</f>
        <v/>
      </c>
      <c r="AR39" s="1" t="str">
        <f aca="false">IF($A39="","",TRIM(IF(AI39="超限","1手超单股上限；","")&amp;IF(AO39="超限","买后仓位超限；","")&amp;IF(AP39="新增受限","有效持仓数超限；","")&amp;IF(AF39&gt;INDEX(账户总表!$C:$C,COUNTA(账户总表!$A:$A)),"现金不足；","")))</f>
        <v/>
      </c>
      <c r="AS39" s="1" t="str">
        <f aca="false">IF($A39="","",IFERROR(INDEX(候选池历史!$L:$L,MATCH(1,(候选池历史!$B:$B=C39)*(候选池历史!$A:$A=$A39),0)),0))</f>
        <v/>
      </c>
      <c r="AT39" s="1" t="str">
        <f aca="false">IF($A39="","",IF(AS39&gt;=3,"★信号强化",IF(K39="核心池","核心观察","")))</f>
        <v/>
      </c>
      <c r="AU39" s="1" t="str">
        <f aca="false">IF($A39="","",IF(AK39&gt;30000-INDEX(账户总表!$B:$B,COUNTA(账户总表!$A:$A)),"不适合婴儿阶段","可纳入幼儿路径"))</f>
        <v/>
      </c>
    </row>
    <row r="40" customFormat="false" ht="15" hidden="false" customHeight="true" outlineLevel="0" collapsed="false">
      <c r="A40" s="70"/>
      <c r="B40" s="71"/>
      <c r="C40" s="72"/>
      <c r="D40" s="73"/>
      <c r="E40" s="73"/>
      <c r="F40" s="73"/>
      <c r="G40" s="74"/>
      <c r="H40" s="72"/>
      <c r="I40" s="72"/>
      <c r="J40" s="71"/>
      <c r="K40" s="75" t="str">
        <f aca="false">IF($A40="","",IF(AND(G40&lt;45%,H40&gt;=0.9),"A",IF(AND(G40&lt;60%,H40&gt;0.8),"B","C")))</f>
        <v/>
      </c>
      <c r="L40" s="75" t="str">
        <f aca="false">IF($A40="","",IF(AND(G40&lt;60%,H40&gt;0.8,I40="True"),"是","否"))</f>
        <v/>
      </c>
      <c r="M40" s="75" t="str">
        <f aca="false">IF($A40="","",IF(AND(D40&gt;0,E40&gt;0,D40&lt;=E40*1.02),"是","否"))</f>
        <v/>
      </c>
      <c r="N40" s="76" t="n">
        <f aca="false">IFERROR(INDEX(账户总表!$O:$O,COUNTA(账户总表!$A:$A)),0)</f>
        <v>0.35</v>
      </c>
      <c r="O40" s="77" t="n">
        <f aca="false">IFERROR(INDEX(账户总表!$B:$B,COUNTA(账户总表!$A:$A))*N40,0)</f>
        <v>7294.812</v>
      </c>
      <c r="P40" s="78" t="n">
        <f aca="false">IFERROR(O40/D40,0)</f>
        <v>0</v>
      </c>
      <c r="Q40" s="78" t="n">
        <f aca="false">IFERROR(FLOOR(P40,100),0)</f>
        <v>0</v>
      </c>
      <c r="R40" s="78" t="n">
        <f aca="false">IFERROR(CEILING(800/(100*D40),1)*100,0)</f>
        <v>0</v>
      </c>
      <c r="S40" s="79"/>
      <c r="T40" s="77" t="n">
        <f aca="false">IFERROR(S40*D40,0)</f>
        <v>0</v>
      </c>
      <c r="U40" s="76" t="n">
        <f aca="false">IFERROR(T40/INDEX(账户总表!$B:$B,COUNTA(账户总表!$A:$A)),0)</f>
        <v>0</v>
      </c>
      <c r="V40" s="76" t="n">
        <f aca="false">IFERROR(INDEX(账户总表!$E:$E,COUNTA(账户总表!$A:$A))+U40,0)</f>
        <v>0.407056412146057</v>
      </c>
      <c r="W40" s="75" t="str">
        <f aca="false">IF($A40="","",IFERROR(IF(V40&lt;=INDEX(账户总表!$N:$N,COUNTA(账户总表!$A:$A)),"是","否"),"否"))</f>
        <v/>
      </c>
      <c r="X40" s="77" t="str">
        <f aca="false">IF($A40="","",MAX(F40*0.98,D40*0.92))</f>
        <v/>
      </c>
      <c r="Y40" s="72"/>
      <c r="Z40" s="75" t="str">
        <f aca="false">IF($A40="","",IFERROR(IF(AND(T40&gt;INDEX(账户总表!$C:$C,COUNTA(账户总表!$A:$A)),L40="是"),"是","否"),"否"))</f>
        <v/>
      </c>
      <c r="AA40" s="77" t="str">
        <f aca="false">IF($A40="","",IFERROR(IF(Z40="是",MAX(0,T40-INDEX(账户总表!$C:$C,COUNTA(账户总表!$A:$A)),IF(N40&gt;0,T40/N40-INDEX(账户总表!$B:$B,COUNTA(账户总表!$A:$A)),0)),0),0))</f>
        <v/>
      </c>
      <c r="AB40" s="77" t="str">
        <f aca="false">IF($A40="","",IF(AND(Z40="是",INDEX(账户总表!$U:$U,COUNTA(账户总表!$A:$A))="是"),IF(INDEX(账户总表!$L:$L,COUNTA(账户总表!$A:$A))&gt;=4,AA40*1.5,AA40),0))</f>
        <v/>
      </c>
      <c r="AC40" s="75" t="str">
        <f aca="false">IF($A40="","",IF(AND(L40="是",Q40&gt;=R40,S40&lt;=Q40,S40&gt;=R40,W40="是",X40&gt;0,M40="是",INDEX(账户总表!$M:$M,COUNTA(账户总表!$A:$A))&lt;=2,INDEX(账户总表!$V:$V,COUNTA(账户总表!$A:$A))="是",OR(T40&lt;=INDEX(账户总表!$C:$C,COUNTA(账户总表!$A:$A)),AND(Z40="是",INDEX(账户总表!$U:$U,COUNTA(账户总表!$A:$A))="是",AB40&gt;0))),"是","否"))</f>
        <v/>
      </c>
      <c r="AD40" s="75" t="str">
        <f aca="false">IF($A40="","",IF(L40&lt;&gt;"是","信号未确认",IF(X40&lt;=0,"止损价未定义",IF(Q40&lt;R40,"100股约束不满足",IF(S40&gt;Q40,"计划股数超单股上限",IF(S40&lt;R40,"计划股数低于最小门槛",IF(W40&lt;&gt;"是","总仓位超限",IF(M40&lt;&gt;"是","追价",IF(INDEX(账户总表!$M:$M,COUNTA(账户总表!$A:$A))&gt;2,"亏钱效应偏高",IF(INDEX(账户总表!$V:$V,COUNTA(账户总表!$A:$A))&lt;&gt;"是","账户不允许新开仓",IF(AND(T40&gt;INDEX(账户总表!$C:$C,COUNTA(账户总表!$A:$A)),INDEX(账户总表!$U:$U,COUNTA(账户总表!$A:$A))&lt;&gt;"是"),"现金不足且不允许转入",IF(AND(Z40="是",AB40&lt;=0),"转入金额未满足",""))))))))))))</f>
        <v/>
      </c>
      <c r="AE40" s="71"/>
      <c r="AF40" s="1" t="str">
        <f aca="false">IF($A40="","",D40*100)</f>
        <v/>
      </c>
      <c r="AG40" s="1" t="str">
        <f aca="false">IF($A40="","",IFERROR(AF40/INDEX(账户总表!$B:$B,COUNTA(账户总表!$A:$A)),0))</f>
        <v/>
      </c>
      <c r="AH40" s="1" t="str">
        <f aca="false">IF($A40="","",IFERROR(INDEX(账户总表!$B:$B,COUNTA(账户总表!$A:$A))*INDEX(账户总表!$O:$O,COUNTA(账户总表!$A:$A)),0))</f>
        <v/>
      </c>
      <c r="AI40" s="1" t="str">
        <f aca="false">IF($A40="","",IF(AF40&gt;AH40,"超限","合规"))</f>
        <v/>
      </c>
      <c r="AJ40" s="1" t="str">
        <f aca="false">IF($A40="","",IFERROR(AF40/INDEX(账户总表!$O:$O,COUNTA(账户总表!$A:$A)),0))</f>
        <v/>
      </c>
      <c r="AK40" s="1" t="str">
        <f aca="false">IF($A40="","",IFERROR(MAX(0,AJ40-INDEX(账户总表!$B:$B,COUNTA(账户总表!$A:$A)),AF40-INDEX(账户总表!$C:$C,COUNTA(账户总表!$A:$A))),0))</f>
        <v/>
      </c>
      <c r="AL40" s="1" t="str">
        <f aca="false">IF($A40="","",IF(COUNTIF(持仓表!$C$2:$C$201,C40)&gt;0,"已有","新标的"))</f>
        <v/>
      </c>
      <c r="AM40" s="1" t="str">
        <f aca="false">IF($A40="","",IFERROR(SUMIFS(持仓表!$N$2:$N$201,持仓表!$C$2:$C$201,C40,持仓表!$A$2:$A$201,$A40),0))</f>
        <v/>
      </c>
      <c r="AN40" s="1" t="str">
        <f aca="false">IF($A40="","",IFERROR(AM40+AF40/INDEX(账户总表!$B:$B,COUNTA(账户总表!$A:$A)),0))</f>
        <v/>
      </c>
      <c r="AO40" s="1" t="str">
        <f aca="false">IF($A40="","",IF(AN40&gt;INDEX(账户总表!$O:$O,COUNTA(账户总表!$A:$A)),"超限","合规"))</f>
        <v/>
      </c>
      <c r="AP40" s="1" t="str">
        <f aca="false">IF($A40="","",IF(AND(AL40="新标的",INDEX(账户总表!$R:$R,COUNTA(账户总表!$A:$A))&gt;=INDEX(账户总表!$S:$S,COUNTA(账户总表!$A:$A))),"新增受限","可通过"))</f>
        <v/>
      </c>
      <c r="AQ40" s="1" t="str">
        <f aca="false">IF($A40="","",IF(K40&lt;&gt;"核心池","非核心池",IF(OR(AI40="超限",AO40="超限",AP40="新增受限"),"不可加仓","可加仓")))</f>
        <v/>
      </c>
      <c r="AR40" s="1" t="str">
        <f aca="false">IF($A40="","",TRIM(IF(AI40="超限","1手超单股上限；","")&amp;IF(AO40="超限","买后仓位超限；","")&amp;IF(AP40="新增受限","有效持仓数超限；","")&amp;IF(AF40&gt;INDEX(账户总表!$C:$C,COUNTA(账户总表!$A:$A)),"现金不足；","")))</f>
        <v/>
      </c>
      <c r="AS40" s="1" t="str">
        <f aca="false">IF($A40="","",IFERROR(INDEX(候选池历史!$L:$L,MATCH(1,(候选池历史!$B:$B=C40)*(候选池历史!$A:$A=$A40),0)),0))</f>
        <v/>
      </c>
      <c r="AT40" s="1" t="str">
        <f aca="false">IF($A40="","",IF(AS40&gt;=3,"★信号强化",IF(K40="核心池","核心观察","")))</f>
        <v/>
      </c>
      <c r="AU40" s="1" t="str">
        <f aca="false">IF($A40="","",IF(AK40&gt;30000-INDEX(账户总表!$B:$B,COUNTA(账户总表!$A:$A)),"不适合婴儿阶段","可纳入幼儿路径"))</f>
        <v/>
      </c>
    </row>
    <row r="41" customFormat="false" ht="15" hidden="false" customHeight="true" outlineLevel="0" collapsed="false">
      <c r="A41" s="70"/>
      <c r="B41" s="71"/>
      <c r="C41" s="72"/>
      <c r="D41" s="73"/>
      <c r="E41" s="73"/>
      <c r="F41" s="73"/>
      <c r="G41" s="74"/>
      <c r="H41" s="72"/>
      <c r="I41" s="72"/>
      <c r="J41" s="71"/>
      <c r="K41" s="75" t="str">
        <f aca="false">IF($A41="","",IF(AND(G41&lt;45%,H41&gt;=0.9),"A",IF(AND(G41&lt;60%,H41&gt;0.8),"B","C")))</f>
        <v/>
      </c>
      <c r="L41" s="75" t="str">
        <f aca="false">IF($A41="","",IF(AND(G41&lt;60%,H41&gt;0.8,I41="True"),"是","否"))</f>
        <v/>
      </c>
      <c r="M41" s="75" t="str">
        <f aca="false">IF($A41="","",IF(AND(D41&gt;0,E41&gt;0,D41&lt;=E41*1.02),"是","否"))</f>
        <v/>
      </c>
      <c r="N41" s="76" t="n">
        <f aca="false">IFERROR(INDEX(账户总表!$O:$O,COUNTA(账户总表!$A:$A)),0)</f>
        <v>0.35</v>
      </c>
      <c r="O41" s="77" t="n">
        <f aca="false">IFERROR(INDEX(账户总表!$B:$B,COUNTA(账户总表!$A:$A))*N41,0)</f>
        <v>7294.812</v>
      </c>
      <c r="P41" s="78" t="n">
        <f aca="false">IFERROR(O41/D41,0)</f>
        <v>0</v>
      </c>
      <c r="Q41" s="78" t="n">
        <f aca="false">IFERROR(FLOOR(P41,100),0)</f>
        <v>0</v>
      </c>
      <c r="R41" s="78" t="n">
        <f aca="false">IFERROR(CEILING(800/(100*D41),1)*100,0)</f>
        <v>0</v>
      </c>
      <c r="S41" s="79"/>
      <c r="T41" s="77" t="n">
        <f aca="false">IFERROR(S41*D41,0)</f>
        <v>0</v>
      </c>
      <c r="U41" s="76" t="n">
        <f aca="false">IFERROR(T41/INDEX(账户总表!$B:$B,COUNTA(账户总表!$A:$A)),0)</f>
        <v>0</v>
      </c>
      <c r="V41" s="76" t="n">
        <f aca="false">IFERROR(INDEX(账户总表!$E:$E,COUNTA(账户总表!$A:$A))+U41,0)</f>
        <v>0.407056412146057</v>
      </c>
      <c r="W41" s="75" t="str">
        <f aca="false">IF($A41="","",IFERROR(IF(V41&lt;=INDEX(账户总表!$N:$N,COUNTA(账户总表!$A:$A)),"是","否"),"否"))</f>
        <v/>
      </c>
      <c r="X41" s="77" t="str">
        <f aca="false">IF($A41="","",MAX(F41*0.98,D41*0.92))</f>
        <v/>
      </c>
      <c r="Y41" s="72"/>
      <c r="Z41" s="75" t="str">
        <f aca="false">IF($A41="","",IFERROR(IF(AND(T41&gt;INDEX(账户总表!$C:$C,COUNTA(账户总表!$A:$A)),L41="是"),"是","否"),"否"))</f>
        <v/>
      </c>
      <c r="AA41" s="77" t="str">
        <f aca="false">IF($A41="","",IFERROR(IF(Z41="是",MAX(0,T41-INDEX(账户总表!$C:$C,COUNTA(账户总表!$A:$A)),IF(N41&gt;0,T41/N41-INDEX(账户总表!$B:$B,COUNTA(账户总表!$A:$A)),0)),0),0))</f>
        <v/>
      </c>
      <c r="AB41" s="77" t="str">
        <f aca="false">IF($A41="","",IF(AND(Z41="是",INDEX(账户总表!$U:$U,COUNTA(账户总表!$A:$A))="是"),IF(INDEX(账户总表!$L:$L,COUNTA(账户总表!$A:$A))&gt;=4,AA41*1.5,AA41),0))</f>
        <v/>
      </c>
      <c r="AC41" s="75" t="str">
        <f aca="false">IF($A41="","",IF(AND(L41="是",Q41&gt;=R41,S41&lt;=Q41,S41&gt;=R41,W41="是",X41&gt;0,M41="是",INDEX(账户总表!$M:$M,COUNTA(账户总表!$A:$A))&lt;=2,INDEX(账户总表!$V:$V,COUNTA(账户总表!$A:$A))="是",OR(T41&lt;=INDEX(账户总表!$C:$C,COUNTA(账户总表!$A:$A)),AND(Z41="是",INDEX(账户总表!$U:$U,COUNTA(账户总表!$A:$A))="是",AB41&gt;0))),"是","否"))</f>
        <v/>
      </c>
      <c r="AD41" s="75" t="str">
        <f aca="false">IF($A41="","",IF(L41&lt;&gt;"是","信号未确认",IF(X41&lt;=0,"止损价未定义",IF(Q41&lt;R41,"100股约束不满足",IF(S41&gt;Q41,"计划股数超单股上限",IF(S41&lt;R41,"计划股数低于最小门槛",IF(W41&lt;&gt;"是","总仓位超限",IF(M41&lt;&gt;"是","追价",IF(INDEX(账户总表!$M:$M,COUNTA(账户总表!$A:$A))&gt;2,"亏钱效应偏高",IF(INDEX(账户总表!$V:$V,COUNTA(账户总表!$A:$A))&lt;&gt;"是","账户不允许新开仓",IF(AND(T41&gt;INDEX(账户总表!$C:$C,COUNTA(账户总表!$A:$A)),INDEX(账户总表!$U:$U,COUNTA(账户总表!$A:$A))&lt;&gt;"是"),"现金不足且不允许转入",IF(AND(Z41="是",AB41&lt;=0),"转入金额未满足",""))))))))))))</f>
        <v/>
      </c>
      <c r="AE41" s="71"/>
      <c r="AF41" s="1" t="str">
        <f aca="false">IF($A41="","",D41*100)</f>
        <v/>
      </c>
      <c r="AG41" s="1" t="str">
        <f aca="false">IF($A41="","",IFERROR(AF41/INDEX(账户总表!$B:$B,COUNTA(账户总表!$A:$A)),0))</f>
        <v/>
      </c>
      <c r="AH41" s="1" t="str">
        <f aca="false">IF($A41="","",IFERROR(INDEX(账户总表!$B:$B,COUNTA(账户总表!$A:$A))*INDEX(账户总表!$O:$O,COUNTA(账户总表!$A:$A)),0))</f>
        <v/>
      </c>
      <c r="AI41" s="1" t="str">
        <f aca="false">IF($A41="","",IF(AF41&gt;AH41,"超限","合规"))</f>
        <v/>
      </c>
      <c r="AJ41" s="1" t="str">
        <f aca="false">IF($A41="","",IFERROR(AF41/INDEX(账户总表!$O:$O,COUNTA(账户总表!$A:$A)),0))</f>
        <v/>
      </c>
      <c r="AK41" s="1" t="str">
        <f aca="false">IF($A41="","",IFERROR(MAX(0,AJ41-INDEX(账户总表!$B:$B,COUNTA(账户总表!$A:$A)),AF41-INDEX(账户总表!$C:$C,COUNTA(账户总表!$A:$A))),0))</f>
        <v/>
      </c>
      <c r="AL41" s="1" t="str">
        <f aca="false">IF($A41="","",IF(COUNTIF(持仓表!$C$2:$C$201,C41)&gt;0,"已有","新标的"))</f>
        <v/>
      </c>
      <c r="AM41" s="1" t="str">
        <f aca="false">IF($A41="","",IFERROR(SUMIFS(持仓表!$N$2:$N$201,持仓表!$C$2:$C$201,C41,持仓表!$A$2:$A$201,$A41),0))</f>
        <v/>
      </c>
      <c r="AN41" s="1" t="str">
        <f aca="false">IF($A41="","",IFERROR(AM41+AF41/INDEX(账户总表!$B:$B,COUNTA(账户总表!$A:$A)),0))</f>
        <v/>
      </c>
      <c r="AO41" s="1" t="str">
        <f aca="false">IF($A41="","",IF(AN41&gt;INDEX(账户总表!$O:$O,COUNTA(账户总表!$A:$A)),"超限","合规"))</f>
        <v/>
      </c>
      <c r="AP41" s="1" t="str">
        <f aca="false">IF($A41="","",IF(AND(AL41="新标的",INDEX(账户总表!$R:$R,COUNTA(账户总表!$A:$A))&gt;=INDEX(账户总表!$S:$S,COUNTA(账户总表!$A:$A))),"新增受限","可通过"))</f>
        <v/>
      </c>
      <c r="AQ41" s="1" t="str">
        <f aca="false">IF($A41="","",IF(K41&lt;&gt;"核心池","非核心池",IF(OR(AI41="超限",AO41="超限",AP41="新增受限"),"不可加仓","可加仓")))</f>
        <v/>
      </c>
      <c r="AR41" s="1" t="str">
        <f aca="false">IF($A41="","",TRIM(IF(AI41="超限","1手超单股上限；","")&amp;IF(AO41="超限","买后仓位超限；","")&amp;IF(AP41="新增受限","有效持仓数超限；","")&amp;IF(AF41&gt;INDEX(账户总表!$C:$C,COUNTA(账户总表!$A:$A)),"现金不足；","")))</f>
        <v/>
      </c>
      <c r="AS41" s="1" t="str">
        <f aca="false">IF($A41="","",IFERROR(INDEX(候选池历史!$L:$L,MATCH(1,(候选池历史!$B:$B=C41)*(候选池历史!$A:$A=$A41),0)),0))</f>
        <v/>
      </c>
      <c r="AT41" s="1" t="str">
        <f aca="false">IF($A41="","",IF(AS41&gt;=3,"★信号强化",IF(K41="核心池","核心观察","")))</f>
        <v/>
      </c>
      <c r="AU41" s="1" t="str">
        <f aca="false">IF($A41="","",IF(AK41&gt;30000-INDEX(账户总表!$B:$B,COUNTA(账户总表!$A:$A)),"不适合婴儿阶段","可纳入幼儿路径"))</f>
        <v/>
      </c>
    </row>
    <row r="42" customFormat="false" ht="15" hidden="false" customHeight="true" outlineLevel="0" collapsed="false">
      <c r="A42" s="70"/>
      <c r="B42" s="71"/>
      <c r="C42" s="72"/>
      <c r="D42" s="73"/>
      <c r="E42" s="73"/>
      <c r="F42" s="73"/>
      <c r="G42" s="74"/>
      <c r="H42" s="72"/>
      <c r="I42" s="72"/>
      <c r="J42" s="71"/>
      <c r="K42" s="75" t="str">
        <f aca="false">IF($A42="","",IF(AND(G42&lt;45%,H42&gt;=0.9),"A",IF(AND(G42&lt;60%,H42&gt;0.8),"B","C")))</f>
        <v/>
      </c>
      <c r="L42" s="75" t="str">
        <f aca="false">IF($A42="","",IF(AND(G42&lt;60%,H42&gt;0.8,I42="True"),"是","否"))</f>
        <v/>
      </c>
      <c r="M42" s="75" t="str">
        <f aca="false">IF($A42="","",IF(AND(D42&gt;0,E42&gt;0,D42&lt;=E42*1.02),"是","否"))</f>
        <v/>
      </c>
      <c r="N42" s="76" t="n">
        <f aca="false">IFERROR(INDEX(账户总表!$O:$O,COUNTA(账户总表!$A:$A)),0)</f>
        <v>0.35</v>
      </c>
      <c r="O42" s="77" t="n">
        <f aca="false">IFERROR(INDEX(账户总表!$B:$B,COUNTA(账户总表!$A:$A))*N42,0)</f>
        <v>7294.812</v>
      </c>
      <c r="P42" s="78" t="n">
        <f aca="false">IFERROR(O42/D42,0)</f>
        <v>0</v>
      </c>
      <c r="Q42" s="78" t="n">
        <f aca="false">IFERROR(FLOOR(P42,100),0)</f>
        <v>0</v>
      </c>
      <c r="R42" s="78" t="n">
        <f aca="false">IFERROR(CEILING(800/(100*D42),1)*100,0)</f>
        <v>0</v>
      </c>
      <c r="S42" s="79"/>
      <c r="T42" s="77" t="n">
        <f aca="false">IFERROR(S42*D42,0)</f>
        <v>0</v>
      </c>
      <c r="U42" s="76" t="n">
        <f aca="false">IFERROR(T42/INDEX(账户总表!$B:$B,COUNTA(账户总表!$A:$A)),0)</f>
        <v>0</v>
      </c>
      <c r="V42" s="76" t="n">
        <f aca="false">IFERROR(INDEX(账户总表!$E:$E,COUNTA(账户总表!$A:$A))+U42,0)</f>
        <v>0.407056412146057</v>
      </c>
      <c r="W42" s="75" t="str">
        <f aca="false">IF($A42="","",IFERROR(IF(V42&lt;=INDEX(账户总表!$N:$N,COUNTA(账户总表!$A:$A)),"是","否"),"否"))</f>
        <v/>
      </c>
      <c r="X42" s="77" t="str">
        <f aca="false">IF($A42="","",MAX(F42*0.98,D42*0.92))</f>
        <v/>
      </c>
      <c r="Y42" s="72"/>
      <c r="Z42" s="75" t="str">
        <f aca="false">IF($A42="","",IFERROR(IF(AND(T42&gt;INDEX(账户总表!$C:$C,COUNTA(账户总表!$A:$A)),L42="是"),"是","否"),"否"))</f>
        <v/>
      </c>
      <c r="AA42" s="77" t="str">
        <f aca="false">IF($A42="","",IFERROR(IF(Z42="是",MAX(0,T42-INDEX(账户总表!$C:$C,COUNTA(账户总表!$A:$A)),IF(N42&gt;0,T42/N42-INDEX(账户总表!$B:$B,COUNTA(账户总表!$A:$A)),0)),0),0))</f>
        <v/>
      </c>
      <c r="AB42" s="77" t="str">
        <f aca="false">IF($A42="","",IF(AND(Z42="是",INDEX(账户总表!$U:$U,COUNTA(账户总表!$A:$A))="是"),IF(INDEX(账户总表!$L:$L,COUNTA(账户总表!$A:$A))&gt;=4,AA42*1.5,AA42),0))</f>
        <v/>
      </c>
      <c r="AC42" s="75" t="str">
        <f aca="false">IF($A42="","",IF(AND(L42="是",Q42&gt;=R42,S42&lt;=Q42,S42&gt;=R42,W42="是",X42&gt;0,M42="是",INDEX(账户总表!$M:$M,COUNTA(账户总表!$A:$A))&lt;=2,INDEX(账户总表!$V:$V,COUNTA(账户总表!$A:$A))="是",OR(T42&lt;=INDEX(账户总表!$C:$C,COUNTA(账户总表!$A:$A)),AND(Z42="是",INDEX(账户总表!$U:$U,COUNTA(账户总表!$A:$A))="是",AB42&gt;0))),"是","否"))</f>
        <v/>
      </c>
      <c r="AD42" s="75" t="str">
        <f aca="false">IF($A42="","",IF(L42&lt;&gt;"是","信号未确认",IF(X42&lt;=0,"止损价未定义",IF(Q42&lt;R42,"100股约束不满足",IF(S42&gt;Q42,"计划股数超单股上限",IF(S42&lt;R42,"计划股数低于最小门槛",IF(W42&lt;&gt;"是","总仓位超限",IF(M42&lt;&gt;"是","追价",IF(INDEX(账户总表!$M:$M,COUNTA(账户总表!$A:$A))&gt;2,"亏钱效应偏高",IF(INDEX(账户总表!$V:$V,COUNTA(账户总表!$A:$A))&lt;&gt;"是","账户不允许新开仓",IF(AND(T42&gt;INDEX(账户总表!$C:$C,COUNTA(账户总表!$A:$A)),INDEX(账户总表!$U:$U,COUNTA(账户总表!$A:$A))&lt;&gt;"是"),"现金不足且不允许转入",IF(AND(Z42="是",AB42&lt;=0),"转入金额未满足",""))))))))))))</f>
        <v/>
      </c>
      <c r="AE42" s="71"/>
      <c r="AF42" s="1" t="str">
        <f aca="false">IF($A42="","",D42*100)</f>
        <v/>
      </c>
      <c r="AG42" s="1" t="str">
        <f aca="false">IF($A42="","",IFERROR(AF42/INDEX(账户总表!$B:$B,COUNTA(账户总表!$A:$A)),0))</f>
        <v/>
      </c>
      <c r="AH42" s="1" t="str">
        <f aca="false">IF($A42="","",IFERROR(INDEX(账户总表!$B:$B,COUNTA(账户总表!$A:$A))*INDEX(账户总表!$O:$O,COUNTA(账户总表!$A:$A)),0))</f>
        <v/>
      </c>
      <c r="AI42" s="1" t="str">
        <f aca="false">IF($A42="","",IF(AF42&gt;AH42,"超限","合规"))</f>
        <v/>
      </c>
      <c r="AJ42" s="1" t="str">
        <f aca="false">IF($A42="","",IFERROR(AF42/INDEX(账户总表!$O:$O,COUNTA(账户总表!$A:$A)),0))</f>
        <v/>
      </c>
      <c r="AK42" s="1" t="str">
        <f aca="false">IF($A42="","",IFERROR(MAX(0,AJ42-INDEX(账户总表!$B:$B,COUNTA(账户总表!$A:$A)),AF42-INDEX(账户总表!$C:$C,COUNTA(账户总表!$A:$A))),0))</f>
        <v/>
      </c>
      <c r="AL42" s="1" t="str">
        <f aca="false">IF($A42="","",IF(COUNTIF(持仓表!$C$2:$C$201,C42)&gt;0,"已有","新标的"))</f>
        <v/>
      </c>
      <c r="AM42" s="1" t="str">
        <f aca="false">IF($A42="","",IFERROR(SUMIFS(持仓表!$N$2:$N$201,持仓表!$C$2:$C$201,C42,持仓表!$A$2:$A$201,$A42),0))</f>
        <v/>
      </c>
      <c r="AN42" s="1" t="str">
        <f aca="false">IF($A42="","",IFERROR(AM42+AF42/INDEX(账户总表!$B:$B,COUNTA(账户总表!$A:$A)),0))</f>
        <v/>
      </c>
      <c r="AO42" s="1" t="str">
        <f aca="false">IF($A42="","",IF(AN42&gt;INDEX(账户总表!$O:$O,COUNTA(账户总表!$A:$A)),"超限","合规"))</f>
        <v/>
      </c>
      <c r="AP42" s="1" t="str">
        <f aca="false">IF($A42="","",IF(AND(AL42="新标的",INDEX(账户总表!$R:$R,COUNTA(账户总表!$A:$A))&gt;=INDEX(账户总表!$S:$S,COUNTA(账户总表!$A:$A))),"新增受限","可通过"))</f>
        <v/>
      </c>
      <c r="AQ42" s="1" t="str">
        <f aca="false">IF($A42="","",IF(K42&lt;&gt;"核心池","非核心池",IF(OR(AI42="超限",AO42="超限",AP42="新增受限"),"不可加仓","可加仓")))</f>
        <v/>
      </c>
      <c r="AR42" s="1" t="str">
        <f aca="false">IF($A42="","",TRIM(IF(AI42="超限","1手超单股上限；","")&amp;IF(AO42="超限","买后仓位超限；","")&amp;IF(AP42="新增受限","有效持仓数超限；","")&amp;IF(AF42&gt;INDEX(账户总表!$C:$C,COUNTA(账户总表!$A:$A)),"现金不足；","")))</f>
        <v/>
      </c>
      <c r="AS42" s="1" t="str">
        <f aca="false">IF($A42="","",IFERROR(INDEX(候选池历史!$L:$L,MATCH(1,(候选池历史!$B:$B=C42)*(候选池历史!$A:$A=$A42),0)),0))</f>
        <v/>
      </c>
      <c r="AT42" s="1" t="str">
        <f aca="false">IF($A42="","",IF(AS42&gt;=3,"★信号强化",IF(K42="核心池","核心观察","")))</f>
        <v/>
      </c>
      <c r="AU42" s="1" t="str">
        <f aca="false">IF($A42="","",IF(AK42&gt;30000-INDEX(账户总表!$B:$B,COUNTA(账户总表!$A:$A)),"不适合婴儿阶段","可纳入幼儿路径"))</f>
        <v/>
      </c>
    </row>
    <row r="43" customFormat="false" ht="15" hidden="false" customHeight="true" outlineLevel="0" collapsed="false">
      <c r="A43" s="70"/>
      <c r="B43" s="71"/>
      <c r="C43" s="72"/>
      <c r="D43" s="73"/>
      <c r="E43" s="73"/>
      <c r="F43" s="73"/>
      <c r="G43" s="74"/>
      <c r="H43" s="72"/>
      <c r="I43" s="72"/>
      <c r="J43" s="71"/>
      <c r="K43" s="75" t="str">
        <f aca="false">IF($A43="","",IF(AND(G43&lt;45%,H43&gt;=0.9),"A",IF(AND(G43&lt;60%,H43&gt;0.8),"B","C")))</f>
        <v/>
      </c>
      <c r="L43" s="75" t="str">
        <f aca="false">IF($A43="","",IF(AND(G43&lt;60%,H43&gt;0.8,I43="True"),"是","否"))</f>
        <v/>
      </c>
      <c r="M43" s="75" t="str">
        <f aca="false">IF($A43="","",IF(AND(D43&gt;0,E43&gt;0,D43&lt;=E43*1.02),"是","否"))</f>
        <v/>
      </c>
      <c r="N43" s="76" t="n">
        <f aca="false">IFERROR(INDEX(账户总表!$O:$O,COUNTA(账户总表!$A:$A)),0)</f>
        <v>0.35</v>
      </c>
      <c r="O43" s="77" t="n">
        <f aca="false">IFERROR(INDEX(账户总表!$B:$B,COUNTA(账户总表!$A:$A))*N43,0)</f>
        <v>7294.812</v>
      </c>
      <c r="P43" s="78" t="n">
        <f aca="false">IFERROR(O43/D43,0)</f>
        <v>0</v>
      </c>
      <c r="Q43" s="78" t="n">
        <f aca="false">IFERROR(FLOOR(P43,100),0)</f>
        <v>0</v>
      </c>
      <c r="R43" s="78" t="n">
        <f aca="false">IFERROR(CEILING(800/(100*D43),1)*100,0)</f>
        <v>0</v>
      </c>
      <c r="S43" s="79"/>
      <c r="T43" s="77" t="n">
        <f aca="false">IFERROR(S43*D43,0)</f>
        <v>0</v>
      </c>
      <c r="U43" s="76" t="n">
        <f aca="false">IFERROR(T43/INDEX(账户总表!$B:$B,COUNTA(账户总表!$A:$A)),0)</f>
        <v>0</v>
      </c>
      <c r="V43" s="76" t="n">
        <f aca="false">IFERROR(INDEX(账户总表!$E:$E,COUNTA(账户总表!$A:$A))+U43,0)</f>
        <v>0.407056412146057</v>
      </c>
      <c r="W43" s="75" t="str">
        <f aca="false">IF($A43="","",IFERROR(IF(V43&lt;=INDEX(账户总表!$N:$N,COUNTA(账户总表!$A:$A)),"是","否"),"否"))</f>
        <v/>
      </c>
      <c r="X43" s="77" t="str">
        <f aca="false">IF($A43="","",MAX(F43*0.98,D43*0.92))</f>
        <v/>
      </c>
      <c r="Y43" s="72"/>
      <c r="Z43" s="75" t="str">
        <f aca="false">IF($A43="","",IFERROR(IF(AND(T43&gt;INDEX(账户总表!$C:$C,COUNTA(账户总表!$A:$A)),L43="是"),"是","否"),"否"))</f>
        <v/>
      </c>
      <c r="AA43" s="77" t="str">
        <f aca="false">IF($A43="","",IFERROR(IF(Z43="是",MAX(0,T43-INDEX(账户总表!$C:$C,COUNTA(账户总表!$A:$A)),IF(N43&gt;0,T43/N43-INDEX(账户总表!$B:$B,COUNTA(账户总表!$A:$A)),0)),0),0))</f>
        <v/>
      </c>
      <c r="AB43" s="77" t="str">
        <f aca="false">IF($A43="","",IF(AND(Z43="是",INDEX(账户总表!$U:$U,COUNTA(账户总表!$A:$A))="是"),IF(INDEX(账户总表!$L:$L,COUNTA(账户总表!$A:$A))&gt;=4,AA43*1.5,AA43),0))</f>
        <v/>
      </c>
      <c r="AC43" s="75" t="str">
        <f aca="false">IF($A43="","",IF(AND(L43="是",Q43&gt;=R43,S43&lt;=Q43,S43&gt;=R43,W43="是",X43&gt;0,M43="是",INDEX(账户总表!$M:$M,COUNTA(账户总表!$A:$A))&lt;=2,INDEX(账户总表!$V:$V,COUNTA(账户总表!$A:$A))="是",OR(T43&lt;=INDEX(账户总表!$C:$C,COUNTA(账户总表!$A:$A)),AND(Z43="是",INDEX(账户总表!$U:$U,COUNTA(账户总表!$A:$A))="是",AB43&gt;0))),"是","否"))</f>
        <v/>
      </c>
      <c r="AD43" s="75" t="str">
        <f aca="false">IF($A43="","",IF(L43&lt;&gt;"是","信号未确认",IF(X43&lt;=0,"止损价未定义",IF(Q43&lt;R43,"100股约束不满足",IF(S43&gt;Q43,"计划股数超单股上限",IF(S43&lt;R43,"计划股数低于最小门槛",IF(W43&lt;&gt;"是","总仓位超限",IF(M43&lt;&gt;"是","追价",IF(INDEX(账户总表!$M:$M,COUNTA(账户总表!$A:$A))&gt;2,"亏钱效应偏高",IF(INDEX(账户总表!$V:$V,COUNTA(账户总表!$A:$A))&lt;&gt;"是","账户不允许新开仓",IF(AND(T43&gt;INDEX(账户总表!$C:$C,COUNTA(账户总表!$A:$A)),INDEX(账户总表!$U:$U,COUNTA(账户总表!$A:$A))&lt;&gt;"是"),"现金不足且不允许转入",IF(AND(Z43="是",AB43&lt;=0),"转入金额未满足",""))))))))))))</f>
        <v/>
      </c>
      <c r="AE43" s="71"/>
      <c r="AF43" s="1" t="str">
        <f aca="false">IF($A43="","",D43*100)</f>
        <v/>
      </c>
      <c r="AG43" s="1" t="str">
        <f aca="false">IF($A43="","",IFERROR(AF43/INDEX(账户总表!$B:$B,COUNTA(账户总表!$A:$A)),0))</f>
        <v/>
      </c>
      <c r="AH43" s="1" t="str">
        <f aca="false">IF($A43="","",IFERROR(INDEX(账户总表!$B:$B,COUNTA(账户总表!$A:$A))*INDEX(账户总表!$O:$O,COUNTA(账户总表!$A:$A)),0))</f>
        <v/>
      </c>
      <c r="AI43" s="1" t="str">
        <f aca="false">IF($A43="","",IF(AF43&gt;AH43,"超限","合规"))</f>
        <v/>
      </c>
      <c r="AJ43" s="1" t="str">
        <f aca="false">IF($A43="","",IFERROR(AF43/INDEX(账户总表!$O:$O,COUNTA(账户总表!$A:$A)),0))</f>
        <v/>
      </c>
      <c r="AK43" s="1" t="str">
        <f aca="false">IF($A43="","",IFERROR(MAX(0,AJ43-INDEX(账户总表!$B:$B,COUNTA(账户总表!$A:$A)),AF43-INDEX(账户总表!$C:$C,COUNTA(账户总表!$A:$A))),0))</f>
        <v/>
      </c>
      <c r="AL43" s="1" t="str">
        <f aca="false">IF($A43="","",IF(COUNTIF(持仓表!$C$2:$C$201,C43)&gt;0,"已有","新标的"))</f>
        <v/>
      </c>
      <c r="AM43" s="1" t="str">
        <f aca="false">IF($A43="","",IFERROR(SUMIFS(持仓表!$N$2:$N$201,持仓表!$C$2:$C$201,C43,持仓表!$A$2:$A$201,$A43),0))</f>
        <v/>
      </c>
      <c r="AN43" s="1" t="str">
        <f aca="false">IF($A43="","",IFERROR(AM43+AF43/INDEX(账户总表!$B:$B,COUNTA(账户总表!$A:$A)),0))</f>
        <v/>
      </c>
      <c r="AO43" s="1" t="str">
        <f aca="false">IF($A43="","",IF(AN43&gt;INDEX(账户总表!$O:$O,COUNTA(账户总表!$A:$A)),"超限","合规"))</f>
        <v/>
      </c>
      <c r="AP43" s="1" t="str">
        <f aca="false">IF($A43="","",IF(AND(AL43="新标的",INDEX(账户总表!$R:$R,COUNTA(账户总表!$A:$A))&gt;=INDEX(账户总表!$S:$S,COUNTA(账户总表!$A:$A))),"新增受限","可通过"))</f>
        <v/>
      </c>
      <c r="AQ43" s="1" t="str">
        <f aca="false">IF($A43="","",IF(K43&lt;&gt;"核心池","非核心池",IF(OR(AI43="超限",AO43="超限",AP43="新增受限"),"不可加仓","可加仓")))</f>
        <v/>
      </c>
      <c r="AR43" s="1" t="str">
        <f aca="false">IF($A43="","",TRIM(IF(AI43="超限","1手超单股上限；","")&amp;IF(AO43="超限","买后仓位超限；","")&amp;IF(AP43="新增受限","有效持仓数超限；","")&amp;IF(AF43&gt;INDEX(账户总表!$C:$C,COUNTA(账户总表!$A:$A)),"现金不足；","")))</f>
        <v/>
      </c>
      <c r="AS43" s="1" t="str">
        <f aca="false">IF($A43="","",IFERROR(INDEX(候选池历史!$L:$L,MATCH(1,(候选池历史!$B:$B=C43)*(候选池历史!$A:$A=$A43),0)),0))</f>
        <v/>
      </c>
      <c r="AT43" s="1" t="str">
        <f aca="false">IF($A43="","",IF(AS43&gt;=3,"★信号强化",IF(K43="核心池","核心观察","")))</f>
        <v/>
      </c>
      <c r="AU43" s="1" t="str">
        <f aca="false">IF($A43="","",IF(AK43&gt;30000-INDEX(账户总表!$B:$B,COUNTA(账户总表!$A:$A)),"不适合婴儿阶段","可纳入幼儿路径"))</f>
        <v/>
      </c>
    </row>
    <row r="44" customFormat="false" ht="15" hidden="false" customHeight="true" outlineLevel="0" collapsed="false">
      <c r="A44" s="70"/>
      <c r="B44" s="71"/>
      <c r="C44" s="72"/>
      <c r="D44" s="73"/>
      <c r="E44" s="73"/>
      <c r="F44" s="73"/>
      <c r="G44" s="74"/>
      <c r="H44" s="72"/>
      <c r="I44" s="72"/>
      <c r="J44" s="71"/>
      <c r="K44" s="75" t="str">
        <f aca="false">IF($A44="","",IF(AND(G44&lt;45%,H44&gt;=0.9),"A",IF(AND(G44&lt;60%,H44&gt;0.8),"B","C")))</f>
        <v/>
      </c>
      <c r="L44" s="75" t="str">
        <f aca="false">IF($A44="","",IF(AND(G44&lt;60%,H44&gt;0.8,I44="True"),"是","否"))</f>
        <v/>
      </c>
      <c r="M44" s="75" t="str">
        <f aca="false">IF($A44="","",IF(AND(D44&gt;0,E44&gt;0,D44&lt;=E44*1.02),"是","否"))</f>
        <v/>
      </c>
      <c r="N44" s="76" t="n">
        <f aca="false">IFERROR(INDEX(账户总表!$O:$O,COUNTA(账户总表!$A:$A)),0)</f>
        <v>0.35</v>
      </c>
      <c r="O44" s="77" t="n">
        <f aca="false">IFERROR(INDEX(账户总表!$B:$B,COUNTA(账户总表!$A:$A))*N44,0)</f>
        <v>7294.812</v>
      </c>
      <c r="P44" s="78" t="n">
        <f aca="false">IFERROR(O44/D44,0)</f>
        <v>0</v>
      </c>
      <c r="Q44" s="78" t="n">
        <f aca="false">IFERROR(FLOOR(P44,100),0)</f>
        <v>0</v>
      </c>
      <c r="R44" s="78" t="n">
        <f aca="false">IFERROR(CEILING(800/(100*D44),1)*100,0)</f>
        <v>0</v>
      </c>
      <c r="S44" s="79"/>
      <c r="T44" s="77" t="n">
        <f aca="false">IFERROR(S44*D44,0)</f>
        <v>0</v>
      </c>
      <c r="U44" s="76" t="n">
        <f aca="false">IFERROR(T44/INDEX(账户总表!$B:$B,COUNTA(账户总表!$A:$A)),0)</f>
        <v>0</v>
      </c>
      <c r="V44" s="76" t="n">
        <f aca="false">IFERROR(INDEX(账户总表!$E:$E,COUNTA(账户总表!$A:$A))+U44,0)</f>
        <v>0.407056412146057</v>
      </c>
      <c r="W44" s="75" t="str">
        <f aca="false">IF($A44="","",IFERROR(IF(V44&lt;=INDEX(账户总表!$N:$N,COUNTA(账户总表!$A:$A)),"是","否"),"否"))</f>
        <v/>
      </c>
      <c r="X44" s="77" t="str">
        <f aca="false">IF($A44="","",MAX(F44*0.98,D44*0.92))</f>
        <v/>
      </c>
      <c r="Y44" s="72"/>
      <c r="Z44" s="75" t="str">
        <f aca="false">IF($A44="","",IFERROR(IF(AND(T44&gt;INDEX(账户总表!$C:$C,COUNTA(账户总表!$A:$A)),L44="是"),"是","否"),"否"))</f>
        <v/>
      </c>
      <c r="AA44" s="77" t="str">
        <f aca="false">IF($A44="","",IFERROR(IF(Z44="是",MAX(0,T44-INDEX(账户总表!$C:$C,COUNTA(账户总表!$A:$A)),IF(N44&gt;0,T44/N44-INDEX(账户总表!$B:$B,COUNTA(账户总表!$A:$A)),0)),0),0))</f>
        <v/>
      </c>
      <c r="AB44" s="77" t="str">
        <f aca="false">IF($A44="","",IF(AND(Z44="是",INDEX(账户总表!$U:$U,COUNTA(账户总表!$A:$A))="是"),IF(INDEX(账户总表!$L:$L,COUNTA(账户总表!$A:$A))&gt;=4,AA44*1.5,AA44),0))</f>
        <v/>
      </c>
      <c r="AC44" s="75" t="str">
        <f aca="false">IF($A44="","",IF(AND(L44="是",Q44&gt;=R44,S44&lt;=Q44,S44&gt;=R44,W44="是",X44&gt;0,M44="是",INDEX(账户总表!$M:$M,COUNTA(账户总表!$A:$A))&lt;=2,INDEX(账户总表!$V:$V,COUNTA(账户总表!$A:$A))="是",OR(T44&lt;=INDEX(账户总表!$C:$C,COUNTA(账户总表!$A:$A)),AND(Z44="是",INDEX(账户总表!$U:$U,COUNTA(账户总表!$A:$A))="是",AB44&gt;0))),"是","否"))</f>
        <v/>
      </c>
      <c r="AD44" s="75" t="str">
        <f aca="false">IF($A44="","",IF(L44&lt;&gt;"是","信号未确认",IF(X44&lt;=0,"止损价未定义",IF(Q44&lt;R44,"100股约束不满足",IF(S44&gt;Q44,"计划股数超单股上限",IF(S44&lt;R44,"计划股数低于最小门槛",IF(W44&lt;&gt;"是","总仓位超限",IF(M44&lt;&gt;"是","追价",IF(INDEX(账户总表!$M:$M,COUNTA(账户总表!$A:$A))&gt;2,"亏钱效应偏高",IF(INDEX(账户总表!$V:$V,COUNTA(账户总表!$A:$A))&lt;&gt;"是","账户不允许新开仓",IF(AND(T44&gt;INDEX(账户总表!$C:$C,COUNTA(账户总表!$A:$A)),INDEX(账户总表!$U:$U,COUNTA(账户总表!$A:$A))&lt;&gt;"是"),"现金不足且不允许转入",IF(AND(Z44="是",AB44&lt;=0),"转入金额未满足",""))))))))))))</f>
        <v/>
      </c>
      <c r="AE44" s="71"/>
      <c r="AF44" s="1" t="str">
        <f aca="false">IF($A44="","",D44*100)</f>
        <v/>
      </c>
      <c r="AG44" s="1" t="str">
        <f aca="false">IF($A44="","",IFERROR(AF44/INDEX(账户总表!$B:$B,COUNTA(账户总表!$A:$A)),0))</f>
        <v/>
      </c>
      <c r="AH44" s="1" t="str">
        <f aca="false">IF($A44="","",IFERROR(INDEX(账户总表!$B:$B,COUNTA(账户总表!$A:$A))*INDEX(账户总表!$O:$O,COUNTA(账户总表!$A:$A)),0))</f>
        <v/>
      </c>
      <c r="AI44" s="1" t="str">
        <f aca="false">IF($A44="","",IF(AF44&gt;AH44,"超限","合规"))</f>
        <v/>
      </c>
      <c r="AJ44" s="1" t="str">
        <f aca="false">IF($A44="","",IFERROR(AF44/INDEX(账户总表!$O:$O,COUNTA(账户总表!$A:$A)),0))</f>
        <v/>
      </c>
      <c r="AK44" s="1" t="str">
        <f aca="false">IF($A44="","",IFERROR(MAX(0,AJ44-INDEX(账户总表!$B:$B,COUNTA(账户总表!$A:$A)),AF44-INDEX(账户总表!$C:$C,COUNTA(账户总表!$A:$A))),0))</f>
        <v/>
      </c>
      <c r="AL44" s="1" t="str">
        <f aca="false">IF($A44="","",IF(COUNTIF(持仓表!$C$2:$C$201,C44)&gt;0,"已有","新标的"))</f>
        <v/>
      </c>
      <c r="AM44" s="1" t="str">
        <f aca="false">IF($A44="","",IFERROR(SUMIFS(持仓表!$N$2:$N$201,持仓表!$C$2:$C$201,C44,持仓表!$A$2:$A$201,$A44),0))</f>
        <v/>
      </c>
      <c r="AN44" s="1" t="str">
        <f aca="false">IF($A44="","",IFERROR(AM44+AF44/INDEX(账户总表!$B:$B,COUNTA(账户总表!$A:$A)),0))</f>
        <v/>
      </c>
      <c r="AO44" s="1" t="str">
        <f aca="false">IF($A44="","",IF(AN44&gt;INDEX(账户总表!$O:$O,COUNTA(账户总表!$A:$A)),"超限","合规"))</f>
        <v/>
      </c>
      <c r="AP44" s="1" t="str">
        <f aca="false">IF($A44="","",IF(AND(AL44="新标的",INDEX(账户总表!$R:$R,COUNTA(账户总表!$A:$A))&gt;=INDEX(账户总表!$S:$S,COUNTA(账户总表!$A:$A))),"新增受限","可通过"))</f>
        <v/>
      </c>
      <c r="AQ44" s="1" t="str">
        <f aca="false">IF($A44="","",IF(K44&lt;&gt;"核心池","非核心池",IF(OR(AI44="超限",AO44="超限",AP44="新增受限"),"不可加仓","可加仓")))</f>
        <v/>
      </c>
      <c r="AR44" s="1" t="str">
        <f aca="false">IF($A44="","",TRIM(IF(AI44="超限","1手超单股上限；","")&amp;IF(AO44="超限","买后仓位超限；","")&amp;IF(AP44="新增受限","有效持仓数超限；","")&amp;IF(AF44&gt;INDEX(账户总表!$C:$C,COUNTA(账户总表!$A:$A)),"现金不足；","")))</f>
        <v/>
      </c>
      <c r="AS44" s="1" t="str">
        <f aca="false">IF($A44="","",IFERROR(INDEX(候选池历史!$L:$L,MATCH(1,(候选池历史!$B:$B=C44)*(候选池历史!$A:$A=$A44),0)),0))</f>
        <v/>
      </c>
      <c r="AT44" s="1" t="str">
        <f aca="false">IF($A44="","",IF(AS44&gt;=3,"★信号强化",IF(K44="核心池","核心观察","")))</f>
        <v/>
      </c>
      <c r="AU44" s="1" t="str">
        <f aca="false">IF($A44="","",IF(AK44&gt;30000-INDEX(账户总表!$B:$B,COUNTA(账户总表!$A:$A)),"不适合婴儿阶段","可纳入幼儿路径"))</f>
        <v/>
      </c>
    </row>
    <row r="45" customFormat="false" ht="15" hidden="false" customHeight="true" outlineLevel="0" collapsed="false">
      <c r="A45" s="70"/>
      <c r="B45" s="71"/>
      <c r="C45" s="72"/>
      <c r="D45" s="73"/>
      <c r="E45" s="73"/>
      <c r="F45" s="73"/>
      <c r="G45" s="74"/>
      <c r="H45" s="72"/>
      <c r="I45" s="72"/>
      <c r="J45" s="71"/>
      <c r="K45" s="75" t="str">
        <f aca="false">IF($A45="","",IF(AND(G45&lt;45%,H45&gt;=0.9),"A",IF(AND(G45&lt;60%,H45&gt;0.8),"B","C")))</f>
        <v/>
      </c>
      <c r="L45" s="75" t="str">
        <f aca="false">IF($A45="","",IF(AND(G45&lt;60%,H45&gt;0.8,I45="True"),"是","否"))</f>
        <v/>
      </c>
      <c r="M45" s="75" t="str">
        <f aca="false">IF($A45="","",IF(AND(D45&gt;0,E45&gt;0,D45&lt;=E45*1.02),"是","否"))</f>
        <v/>
      </c>
      <c r="N45" s="76" t="n">
        <f aca="false">IFERROR(INDEX(账户总表!$O:$O,COUNTA(账户总表!$A:$A)),0)</f>
        <v>0.35</v>
      </c>
      <c r="O45" s="77" t="n">
        <f aca="false">IFERROR(INDEX(账户总表!$B:$B,COUNTA(账户总表!$A:$A))*N45,0)</f>
        <v>7294.812</v>
      </c>
      <c r="P45" s="78" t="n">
        <f aca="false">IFERROR(O45/D45,0)</f>
        <v>0</v>
      </c>
      <c r="Q45" s="78" t="n">
        <f aca="false">IFERROR(FLOOR(P45,100),0)</f>
        <v>0</v>
      </c>
      <c r="R45" s="78" t="n">
        <f aca="false">IFERROR(CEILING(800/(100*D45),1)*100,0)</f>
        <v>0</v>
      </c>
      <c r="S45" s="79"/>
      <c r="T45" s="77" t="n">
        <f aca="false">IFERROR(S45*D45,0)</f>
        <v>0</v>
      </c>
      <c r="U45" s="76" t="n">
        <f aca="false">IFERROR(T45/INDEX(账户总表!$B:$B,COUNTA(账户总表!$A:$A)),0)</f>
        <v>0</v>
      </c>
      <c r="V45" s="76" t="n">
        <f aca="false">IFERROR(INDEX(账户总表!$E:$E,COUNTA(账户总表!$A:$A))+U45,0)</f>
        <v>0.407056412146057</v>
      </c>
      <c r="W45" s="75" t="str">
        <f aca="false">IF($A45="","",IFERROR(IF(V45&lt;=INDEX(账户总表!$N:$N,COUNTA(账户总表!$A:$A)),"是","否"),"否"))</f>
        <v/>
      </c>
      <c r="X45" s="77" t="str">
        <f aca="false">IF($A45="","",MAX(F45*0.98,D45*0.92))</f>
        <v/>
      </c>
      <c r="Y45" s="72"/>
      <c r="Z45" s="75" t="str">
        <f aca="false">IF($A45="","",IFERROR(IF(AND(T45&gt;INDEX(账户总表!$C:$C,COUNTA(账户总表!$A:$A)),L45="是"),"是","否"),"否"))</f>
        <v/>
      </c>
      <c r="AA45" s="77" t="str">
        <f aca="false">IF($A45="","",IFERROR(IF(Z45="是",MAX(0,T45-INDEX(账户总表!$C:$C,COUNTA(账户总表!$A:$A)),IF(N45&gt;0,T45/N45-INDEX(账户总表!$B:$B,COUNTA(账户总表!$A:$A)),0)),0),0))</f>
        <v/>
      </c>
      <c r="AB45" s="77" t="str">
        <f aca="false">IF($A45="","",IF(AND(Z45="是",INDEX(账户总表!$U:$U,COUNTA(账户总表!$A:$A))="是"),IF(INDEX(账户总表!$L:$L,COUNTA(账户总表!$A:$A))&gt;=4,AA45*1.5,AA45),0))</f>
        <v/>
      </c>
      <c r="AC45" s="75" t="str">
        <f aca="false">IF($A45="","",IF(AND(L45="是",Q45&gt;=R45,S45&lt;=Q45,S45&gt;=R45,W45="是",X45&gt;0,M45="是",INDEX(账户总表!$M:$M,COUNTA(账户总表!$A:$A))&lt;=2,INDEX(账户总表!$V:$V,COUNTA(账户总表!$A:$A))="是",OR(T45&lt;=INDEX(账户总表!$C:$C,COUNTA(账户总表!$A:$A)),AND(Z45="是",INDEX(账户总表!$U:$U,COUNTA(账户总表!$A:$A))="是",AB45&gt;0))),"是","否"))</f>
        <v/>
      </c>
      <c r="AD45" s="75" t="str">
        <f aca="false">IF($A45="","",IF(L45&lt;&gt;"是","信号未确认",IF(X45&lt;=0,"止损价未定义",IF(Q45&lt;R45,"100股约束不满足",IF(S45&gt;Q45,"计划股数超单股上限",IF(S45&lt;R45,"计划股数低于最小门槛",IF(W45&lt;&gt;"是","总仓位超限",IF(M45&lt;&gt;"是","追价",IF(INDEX(账户总表!$M:$M,COUNTA(账户总表!$A:$A))&gt;2,"亏钱效应偏高",IF(INDEX(账户总表!$V:$V,COUNTA(账户总表!$A:$A))&lt;&gt;"是","账户不允许新开仓",IF(AND(T45&gt;INDEX(账户总表!$C:$C,COUNTA(账户总表!$A:$A)),INDEX(账户总表!$U:$U,COUNTA(账户总表!$A:$A))&lt;&gt;"是"),"现金不足且不允许转入",IF(AND(Z45="是",AB45&lt;=0),"转入金额未满足",""))))))))))))</f>
        <v/>
      </c>
      <c r="AE45" s="71"/>
      <c r="AF45" s="1" t="str">
        <f aca="false">IF($A45="","",D45*100)</f>
        <v/>
      </c>
      <c r="AG45" s="1" t="str">
        <f aca="false">IF($A45="","",IFERROR(AF45/INDEX(账户总表!$B:$B,COUNTA(账户总表!$A:$A)),0))</f>
        <v/>
      </c>
      <c r="AH45" s="1" t="str">
        <f aca="false">IF($A45="","",IFERROR(INDEX(账户总表!$B:$B,COUNTA(账户总表!$A:$A))*INDEX(账户总表!$O:$O,COUNTA(账户总表!$A:$A)),0))</f>
        <v/>
      </c>
      <c r="AI45" s="1" t="str">
        <f aca="false">IF($A45="","",IF(AF45&gt;AH45,"超限","合规"))</f>
        <v/>
      </c>
      <c r="AJ45" s="1" t="str">
        <f aca="false">IF($A45="","",IFERROR(AF45/INDEX(账户总表!$O:$O,COUNTA(账户总表!$A:$A)),0))</f>
        <v/>
      </c>
      <c r="AK45" s="1" t="str">
        <f aca="false">IF($A45="","",IFERROR(MAX(0,AJ45-INDEX(账户总表!$B:$B,COUNTA(账户总表!$A:$A)),AF45-INDEX(账户总表!$C:$C,COUNTA(账户总表!$A:$A))),0))</f>
        <v/>
      </c>
      <c r="AL45" s="1" t="str">
        <f aca="false">IF($A45="","",IF(COUNTIF(持仓表!$C$2:$C$201,C45)&gt;0,"已有","新标的"))</f>
        <v/>
      </c>
      <c r="AM45" s="1" t="str">
        <f aca="false">IF($A45="","",IFERROR(SUMIFS(持仓表!$N$2:$N$201,持仓表!$C$2:$C$201,C45,持仓表!$A$2:$A$201,$A45),0))</f>
        <v/>
      </c>
      <c r="AN45" s="1" t="str">
        <f aca="false">IF($A45="","",IFERROR(AM45+AF45/INDEX(账户总表!$B:$B,COUNTA(账户总表!$A:$A)),0))</f>
        <v/>
      </c>
      <c r="AO45" s="1" t="str">
        <f aca="false">IF($A45="","",IF(AN45&gt;INDEX(账户总表!$O:$O,COUNTA(账户总表!$A:$A)),"超限","合规"))</f>
        <v/>
      </c>
      <c r="AP45" s="1" t="str">
        <f aca="false">IF($A45="","",IF(AND(AL45="新标的",INDEX(账户总表!$R:$R,COUNTA(账户总表!$A:$A))&gt;=INDEX(账户总表!$S:$S,COUNTA(账户总表!$A:$A))),"新增受限","可通过"))</f>
        <v/>
      </c>
      <c r="AQ45" s="1" t="str">
        <f aca="false">IF($A45="","",IF(K45&lt;&gt;"核心池","非核心池",IF(OR(AI45="超限",AO45="超限",AP45="新增受限"),"不可加仓","可加仓")))</f>
        <v/>
      </c>
      <c r="AR45" s="1" t="str">
        <f aca="false">IF($A45="","",TRIM(IF(AI45="超限","1手超单股上限；","")&amp;IF(AO45="超限","买后仓位超限；","")&amp;IF(AP45="新增受限","有效持仓数超限；","")&amp;IF(AF45&gt;INDEX(账户总表!$C:$C,COUNTA(账户总表!$A:$A)),"现金不足；","")))</f>
        <v/>
      </c>
      <c r="AS45" s="1" t="str">
        <f aca="false">IF($A45="","",IFERROR(INDEX(候选池历史!$L:$L,MATCH(1,(候选池历史!$B:$B=C45)*(候选池历史!$A:$A=$A45),0)),0))</f>
        <v/>
      </c>
      <c r="AT45" s="1" t="str">
        <f aca="false">IF($A45="","",IF(AS45&gt;=3,"★信号强化",IF(K45="核心池","核心观察","")))</f>
        <v/>
      </c>
      <c r="AU45" s="1" t="str">
        <f aca="false">IF($A45="","",IF(AK45&gt;30000-INDEX(账户总表!$B:$B,COUNTA(账户总表!$A:$A)),"不适合婴儿阶段","可纳入幼儿路径"))</f>
        <v/>
      </c>
    </row>
    <row r="46" customFormat="false" ht="15" hidden="false" customHeight="true" outlineLevel="0" collapsed="false">
      <c r="A46" s="70"/>
      <c r="B46" s="71"/>
      <c r="C46" s="72"/>
      <c r="D46" s="73"/>
      <c r="E46" s="73"/>
      <c r="F46" s="73"/>
      <c r="G46" s="74"/>
      <c r="H46" s="72"/>
      <c r="I46" s="72"/>
      <c r="J46" s="71"/>
      <c r="K46" s="75" t="str">
        <f aca="false">IF($A46="","",IF(AND(G46&lt;45%,H46&gt;=0.9),"A",IF(AND(G46&lt;60%,H46&gt;0.8),"B","C")))</f>
        <v/>
      </c>
      <c r="L46" s="75" t="str">
        <f aca="false">IF($A46="","",IF(AND(G46&lt;60%,H46&gt;0.8,I46="True"),"是","否"))</f>
        <v/>
      </c>
      <c r="M46" s="75" t="str">
        <f aca="false">IF($A46="","",IF(AND(D46&gt;0,E46&gt;0,D46&lt;=E46*1.02),"是","否"))</f>
        <v/>
      </c>
      <c r="N46" s="76" t="n">
        <f aca="false">IFERROR(INDEX(账户总表!$O:$O,COUNTA(账户总表!$A:$A)),0)</f>
        <v>0.35</v>
      </c>
      <c r="O46" s="77" t="n">
        <f aca="false">IFERROR(INDEX(账户总表!$B:$B,COUNTA(账户总表!$A:$A))*N46,0)</f>
        <v>7294.812</v>
      </c>
      <c r="P46" s="78" t="n">
        <f aca="false">IFERROR(O46/D46,0)</f>
        <v>0</v>
      </c>
      <c r="Q46" s="78" t="n">
        <f aca="false">IFERROR(FLOOR(P46,100),0)</f>
        <v>0</v>
      </c>
      <c r="R46" s="78" t="n">
        <f aca="false">IFERROR(CEILING(800/(100*D46),1)*100,0)</f>
        <v>0</v>
      </c>
      <c r="S46" s="79"/>
      <c r="T46" s="77" t="n">
        <f aca="false">IFERROR(S46*D46,0)</f>
        <v>0</v>
      </c>
      <c r="U46" s="76" t="n">
        <f aca="false">IFERROR(T46/INDEX(账户总表!$B:$B,COUNTA(账户总表!$A:$A)),0)</f>
        <v>0</v>
      </c>
      <c r="V46" s="76" t="n">
        <f aca="false">IFERROR(INDEX(账户总表!$E:$E,COUNTA(账户总表!$A:$A))+U46,0)</f>
        <v>0.407056412146057</v>
      </c>
      <c r="W46" s="75" t="str">
        <f aca="false">IF($A46="","",IFERROR(IF(V46&lt;=INDEX(账户总表!$N:$N,COUNTA(账户总表!$A:$A)),"是","否"),"否"))</f>
        <v/>
      </c>
      <c r="X46" s="77" t="str">
        <f aca="false">IF($A46="","",MAX(F46*0.98,D46*0.92))</f>
        <v/>
      </c>
      <c r="Y46" s="72"/>
      <c r="Z46" s="75" t="str">
        <f aca="false">IF($A46="","",IFERROR(IF(AND(T46&gt;INDEX(账户总表!$C:$C,COUNTA(账户总表!$A:$A)),L46="是"),"是","否"),"否"))</f>
        <v/>
      </c>
      <c r="AA46" s="77" t="str">
        <f aca="false">IF($A46="","",IFERROR(IF(Z46="是",MAX(0,T46-INDEX(账户总表!$C:$C,COUNTA(账户总表!$A:$A)),IF(N46&gt;0,T46/N46-INDEX(账户总表!$B:$B,COUNTA(账户总表!$A:$A)),0)),0),0))</f>
        <v/>
      </c>
      <c r="AB46" s="77" t="str">
        <f aca="false">IF($A46="","",IF(AND(Z46="是",INDEX(账户总表!$U:$U,COUNTA(账户总表!$A:$A))="是"),IF(INDEX(账户总表!$L:$L,COUNTA(账户总表!$A:$A))&gt;=4,AA46*1.5,AA46),0))</f>
        <v/>
      </c>
      <c r="AC46" s="75" t="str">
        <f aca="false">IF($A46="","",IF(AND(L46="是",Q46&gt;=R46,S46&lt;=Q46,S46&gt;=R46,W46="是",X46&gt;0,M46="是",INDEX(账户总表!$M:$M,COUNTA(账户总表!$A:$A))&lt;=2,INDEX(账户总表!$V:$V,COUNTA(账户总表!$A:$A))="是",OR(T46&lt;=INDEX(账户总表!$C:$C,COUNTA(账户总表!$A:$A)),AND(Z46="是",INDEX(账户总表!$U:$U,COUNTA(账户总表!$A:$A))="是",AB46&gt;0))),"是","否"))</f>
        <v/>
      </c>
      <c r="AD46" s="75" t="str">
        <f aca="false">IF($A46="","",IF(L46&lt;&gt;"是","信号未确认",IF(X46&lt;=0,"止损价未定义",IF(Q46&lt;R46,"100股约束不满足",IF(S46&gt;Q46,"计划股数超单股上限",IF(S46&lt;R46,"计划股数低于最小门槛",IF(W46&lt;&gt;"是","总仓位超限",IF(M46&lt;&gt;"是","追价",IF(INDEX(账户总表!$M:$M,COUNTA(账户总表!$A:$A))&gt;2,"亏钱效应偏高",IF(INDEX(账户总表!$V:$V,COUNTA(账户总表!$A:$A))&lt;&gt;"是","账户不允许新开仓",IF(AND(T46&gt;INDEX(账户总表!$C:$C,COUNTA(账户总表!$A:$A)),INDEX(账户总表!$U:$U,COUNTA(账户总表!$A:$A))&lt;&gt;"是"),"现金不足且不允许转入",IF(AND(Z46="是",AB46&lt;=0),"转入金额未满足",""))))))))))))</f>
        <v/>
      </c>
      <c r="AE46" s="71"/>
      <c r="AF46" s="1" t="str">
        <f aca="false">IF($A46="","",D46*100)</f>
        <v/>
      </c>
      <c r="AG46" s="1" t="str">
        <f aca="false">IF($A46="","",IFERROR(AF46/INDEX(账户总表!$B:$B,COUNTA(账户总表!$A:$A)),0))</f>
        <v/>
      </c>
      <c r="AH46" s="1" t="str">
        <f aca="false">IF($A46="","",IFERROR(INDEX(账户总表!$B:$B,COUNTA(账户总表!$A:$A))*INDEX(账户总表!$O:$O,COUNTA(账户总表!$A:$A)),0))</f>
        <v/>
      </c>
      <c r="AI46" s="1" t="str">
        <f aca="false">IF($A46="","",IF(AF46&gt;AH46,"超限","合规"))</f>
        <v/>
      </c>
      <c r="AJ46" s="1" t="str">
        <f aca="false">IF($A46="","",IFERROR(AF46/INDEX(账户总表!$O:$O,COUNTA(账户总表!$A:$A)),0))</f>
        <v/>
      </c>
      <c r="AK46" s="1" t="str">
        <f aca="false">IF($A46="","",IFERROR(MAX(0,AJ46-INDEX(账户总表!$B:$B,COUNTA(账户总表!$A:$A)),AF46-INDEX(账户总表!$C:$C,COUNTA(账户总表!$A:$A))),0))</f>
        <v/>
      </c>
      <c r="AL46" s="1" t="str">
        <f aca="false">IF($A46="","",IF(COUNTIF(持仓表!$C$2:$C$201,C46)&gt;0,"已有","新标的"))</f>
        <v/>
      </c>
      <c r="AM46" s="1" t="str">
        <f aca="false">IF($A46="","",IFERROR(SUMIFS(持仓表!$N$2:$N$201,持仓表!$C$2:$C$201,C46,持仓表!$A$2:$A$201,$A46),0))</f>
        <v/>
      </c>
      <c r="AN46" s="1" t="str">
        <f aca="false">IF($A46="","",IFERROR(AM46+AF46/INDEX(账户总表!$B:$B,COUNTA(账户总表!$A:$A)),0))</f>
        <v/>
      </c>
      <c r="AO46" s="1" t="str">
        <f aca="false">IF($A46="","",IF(AN46&gt;INDEX(账户总表!$O:$O,COUNTA(账户总表!$A:$A)),"超限","合规"))</f>
        <v/>
      </c>
      <c r="AP46" s="1" t="str">
        <f aca="false">IF($A46="","",IF(AND(AL46="新标的",INDEX(账户总表!$R:$R,COUNTA(账户总表!$A:$A))&gt;=INDEX(账户总表!$S:$S,COUNTA(账户总表!$A:$A))),"新增受限","可通过"))</f>
        <v/>
      </c>
      <c r="AQ46" s="1" t="str">
        <f aca="false">IF($A46="","",IF(K46&lt;&gt;"核心池","非核心池",IF(OR(AI46="超限",AO46="超限",AP46="新增受限"),"不可加仓","可加仓")))</f>
        <v/>
      </c>
      <c r="AR46" s="1" t="str">
        <f aca="false">IF($A46="","",TRIM(IF(AI46="超限","1手超单股上限；","")&amp;IF(AO46="超限","买后仓位超限；","")&amp;IF(AP46="新增受限","有效持仓数超限；","")&amp;IF(AF46&gt;INDEX(账户总表!$C:$C,COUNTA(账户总表!$A:$A)),"现金不足；","")))</f>
        <v/>
      </c>
      <c r="AS46" s="1" t="str">
        <f aca="false">IF($A46="","",IFERROR(INDEX(候选池历史!$L:$L,MATCH(1,(候选池历史!$B:$B=C46)*(候选池历史!$A:$A=$A46),0)),0))</f>
        <v/>
      </c>
      <c r="AT46" s="1" t="str">
        <f aca="false">IF($A46="","",IF(AS46&gt;=3,"★信号强化",IF(K46="核心池","核心观察","")))</f>
        <v/>
      </c>
      <c r="AU46" s="1" t="str">
        <f aca="false">IF($A46="","",IF(AK46&gt;30000-INDEX(账户总表!$B:$B,COUNTA(账户总表!$A:$A)),"不适合婴儿阶段","可纳入幼儿路径"))</f>
        <v/>
      </c>
    </row>
    <row r="47" customFormat="false" ht="15" hidden="false" customHeight="true" outlineLevel="0" collapsed="false">
      <c r="A47" s="70"/>
      <c r="B47" s="71"/>
      <c r="C47" s="72"/>
      <c r="D47" s="73"/>
      <c r="E47" s="73"/>
      <c r="F47" s="73"/>
      <c r="G47" s="74"/>
      <c r="H47" s="72"/>
      <c r="I47" s="72"/>
      <c r="J47" s="71"/>
      <c r="K47" s="75" t="str">
        <f aca="false">IF($A47="","",IF(AND(G47&lt;45%,H47&gt;=0.9),"A",IF(AND(G47&lt;60%,H47&gt;0.8),"B","C")))</f>
        <v/>
      </c>
      <c r="L47" s="75" t="str">
        <f aca="false">IF($A47="","",IF(AND(G47&lt;60%,H47&gt;0.8,I47="True"),"是","否"))</f>
        <v/>
      </c>
      <c r="M47" s="75" t="str">
        <f aca="false">IF($A47="","",IF(AND(D47&gt;0,E47&gt;0,D47&lt;=E47*1.02),"是","否"))</f>
        <v/>
      </c>
      <c r="N47" s="76" t="n">
        <f aca="false">IFERROR(INDEX(账户总表!$O:$O,COUNTA(账户总表!$A:$A)),0)</f>
        <v>0.35</v>
      </c>
      <c r="O47" s="77" t="n">
        <f aca="false">IFERROR(INDEX(账户总表!$B:$B,COUNTA(账户总表!$A:$A))*N47,0)</f>
        <v>7294.812</v>
      </c>
      <c r="P47" s="78" t="n">
        <f aca="false">IFERROR(O47/D47,0)</f>
        <v>0</v>
      </c>
      <c r="Q47" s="78" t="n">
        <f aca="false">IFERROR(FLOOR(P47,100),0)</f>
        <v>0</v>
      </c>
      <c r="R47" s="78" t="n">
        <f aca="false">IFERROR(CEILING(800/(100*D47),1)*100,0)</f>
        <v>0</v>
      </c>
      <c r="S47" s="79"/>
      <c r="T47" s="77" t="n">
        <f aca="false">IFERROR(S47*D47,0)</f>
        <v>0</v>
      </c>
      <c r="U47" s="76" t="n">
        <f aca="false">IFERROR(T47/INDEX(账户总表!$B:$B,COUNTA(账户总表!$A:$A)),0)</f>
        <v>0</v>
      </c>
      <c r="V47" s="76" t="n">
        <f aca="false">IFERROR(INDEX(账户总表!$E:$E,COUNTA(账户总表!$A:$A))+U47,0)</f>
        <v>0.407056412146057</v>
      </c>
      <c r="W47" s="75" t="str">
        <f aca="false">IF($A47="","",IFERROR(IF(V47&lt;=INDEX(账户总表!$N:$N,COUNTA(账户总表!$A:$A)),"是","否"),"否"))</f>
        <v/>
      </c>
      <c r="X47" s="77" t="str">
        <f aca="false">IF($A47="","",MAX(F47*0.98,D47*0.92))</f>
        <v/>
      </c>
      <c r="Y47" s="72"/>
      <c r="Z47" s="75" t="str">
        <f aca="false">IF($A47="","",IFERROR(IF(AND(T47&gt;INDEX(账户总表!$C:$C,COUNTA(账户总表!$A:$A)),L47="是"),"是","否"),"否"))</f>
        <v/>
      </c>
      <c r="AA47" s="77" t="str">
        <f aca="false">IF($A47="","",IFERROR(IF(Z47="是",MAX(0,T47-INDEX(账户总表!$C:$C,COUNTA(账户总表!$A:$A)),IF(N47&gt;0,T47/N47-INDEX(账户总表!$B:$B,COUNTA(账户总表!$A:$A)),0)),0),0))</f>
        <v/>
      </c>
      <c r="AB47" s="77" t="str">
        <f aca="false">IF($A47="","",IF(AND(Z47="是",INDEX(账户总表!$U:$U,COUNTA(账户总表!$A:$A))="是"),IF(INDEX(账户总表!$L:$L,COUNTA(账户总表!$A:$A))&gt;=4,AA47*1.5,AA47),0))</f>
        <v/>
      </c>
      <c r="AC47" s="75" t="str">
        <f aca="false">IF($A47="","",IF(AND(L47="是",Q47&gt;=R47,S47&lt;=Q47,S47&gt;=R47,W47="是",X47&gt;0,M47="是",INDEX(账户总表!$M:$M,COUNTA(账户总表!$A:$A))&lt;=2,INDEX(账户总表!$V:$V,COUNTA(账户总表!$A:$A))="是",OR(T47&lt;=INDEX(账户总表!$C:$C,COUNTA(账户总表!$A:$A)),AND(Z47="是",INDEX(账户总表!$U:$U,COUNTA(账户总表!$A:$A))="是",AB47&gt;0))),"是","否"))</f>
        <v/>
      </c>
      <c r="AD47" s="75" t="str">
        <f aca="false">IF($A47="","",IF(L47&lt;&gt;"是","信号未确认",IF(X47&lt;=0,"止损价未定义",IF(Q47&lt;R47,"100股约束不满足",IF(S47&gt;Q47,"计划股数超单股上限",IF(S47&lt;R47,"计划股数低于最小门槛",IF(W47&lt;&gt;"是","总仓位超限",IF(M47&lt;&gt;"是","追价",IF(INDEX(账户总表!$M:$M,COUNTA(账户总表!$A:$A))&gt;2,"亏钱效应偏高",IF(INDEX(账户总表!$V:$V,COUNTA(账户总表!$A:$A))&lt;&gt;"是","账户不允许新开仓",IF(AND(T47&gt;INDEX(账户总表!$C:$C,COUNTA(账户总表!$A:$A)),INDEX(账户总表!$U:$U,COUNTA(账户总表!$A:$A))&lt;&gt;"是"),"现金不足且不允许转入",IF(AND(Z47="是",AB47&lt;=0),"转入金额未满足",""))))))))))))</f>
        <v/>
      </c>
      <c r="AE47" s="71"/>
      <c r="AF47" s="1" t="str">
        <f aca="false">IF($A47="","",D47*100)</f>
        <v/>
      </c>
      <c r="AG47" s="1" t="str">
        <f aca="false">IF($A47="","",IFERROR(AF47/INDEX(账户总表!$B:$B,COUNTA(账户总表!$A:$A)),0))</f>
        <v/>
      </c>
      <c r="AH47" s="1" t="str">
        <f aca="false">IF($A47="","",IFERROR(INDEX(账户总表!$B:$B,COUNTA(账户总表!$A:$A))*INDEX(账户总表!$O:$O,COUNTA(账户总表!$A:$A)),0))</f>
        <v/>
      </c>
      <c r="AI47" s="1" t="str">
        <f aca="false">IF($A47="","",IF(AF47&gt;AH47,"超限","合规"))</f>
        <v/>
      </c>
      <c r="AJ47" s="1" t="str">
        <f aca="false">IF($A47="","",IFERROR(AF47/INDEX(账户总表!$O:$O,COUNTA(账户总表!$A:$A)),0))</f>
        <v/>
      </c>
      <c r="AK47" s="1" t="str">
        <f aca="false">IF($A47="","",IFERROR(MAX(0,AJ47-INDEX(账户总表!$B:$B,COUNTA(账户总表!$A:$A)),AF47-INDEX(账户总表!$C:$C,COUNTA(账户总表!$A:$A))),0))</f>
        <v/>
      </c>
      <c r="AL47" s="1" t="str">
        <f aca="false">IF($A47="","",IF(COUNTIF(持仓表!$C$2:$C$201,C47)&gt;0,"已有","新标的"))</f>
        <v/>
      </c>
      <c r="AM47" s="1" t="str">
        <f aca="false">IF($A47="","",IFERROR(SUMIFS(持仓表!$N$2:$N$201,持仓表!$C$2:$C$201,C47,持仓表!$A$2:$A$201,$A47),0))</f>
        <v/>
      </c>
      <c r="AN47" s="1" t="str">
        <f aca="false">IF($A47="","",IFERROR(AM47+AF47/INDEX(账户总表!$B:$B,COUNTA(账户总表!$A:$A)),0))</f>
        <v/>
      </c>
      <c r="AO47" s="1" t="str">
        <f aca="false">IF($A47="","",IF(AN47&gt;INDEX(账户总表!$O:$O,COUNTA(账户总表!$A:$A)),"超限","合规"))</f>
        <v/>
      </c>
      <c r="AP47" s="1" t="str">
        <f aca="false">IF($A47="","",IF(AND(AL47="新标的",INDEX(账户总表!$R:$R,COUNTA(账户总表!$A:$A))&gt;=INDEX(账户总表!$S:$S,COUNTA(账户总表!$A:$A))),"新增受限","可通过"))</f>
        <v/>
      </c>
      <c r="AQ47" s="1" t="str">
        <f aca="false">IF($A47="","",IF(K47&lt;&gt;"核心池","非核心池",IF(OR(AI47="超限",AO47="超限",AP47="新增受限"),"不可加仓","可加仓")))</f>
        <v/>
      </c>
      <c r="AR47" s="1" t="str">
        <f aca="false">IF($A47="","",TRIM(IF(AI47="超限","1手超单股上限；","")&amp;IF(AO47="超限","买后仓位超限；","")&amp;IF(AP47="新增受限","有效持仓数超限；","")&amp;IF(AF47&gt;INDEX(账户总表!$C:$C,COUNTA(账户总表!$A:$A)),"现金不足；","")))</f>
        <v/>
      </c>
      <c r="AS47" s="1" t="str">
        <f aca="false">IF($A47="","",IFERROR(INDEX(候选池历史!$L:$L,MATCH(1,(候选池历史!$B:$B=C47)*(候选池历史!$A:$A=$A47),0)),0))</f>
        <v/>
      </c>
      <c r="AT47" s="1" t="str">
        <f aca="false">IF($A47="","",IF(AS47&gt;=3,"★信号强化",IF(K47="核心池","核心观察","")))</f>
        <v/>
      </c>
      <c r="AU47" s="1" t="str">
        <f aca="false">IF($A47="","",IF(AK47&gt;30000-INDEX(账户总表!$B:$B,COUNTA(账户总表!$A:$A)),"不适合婴儿阶段","可纳入幼儿路径"))</f>
        <v/>
      </c>
    </row>
    <row r="48" customFormat="false" ht="15" hidden="false" customHeight="true" outlineLevel="0" collapsed="false">
      <c r="A48" s="70"/>
      <c r="B48" s="71"/>
      <c r="C48" s="72"/>
      <c r="D48" s="73"/>
      <c r="E48" s="73"/>
      <c r="F48" s="73"/>
      <c r="G48" s="74"/>
      <c r="H48" s="72"/>
      <c r="I48" s="72"/>
      <c r="J48" s="71"/>
      <c r="K48" s="75" t="str">
        <f aca="false">IF($A48="","",IF(AND(G48&lt;45%,H48&gt;=0.9),"A",IF(AND(G48&lt;60%,H48&gt;0.8),"B","C")))</f>
        <v/>
      </c>
      <c r="L48" s="75" t="str">
        <f aca="false">IF($A48="","",IF(AND(G48&lt;60%,H48&gt;0.8,I48="True"),"是","否"))</f>
        <v/>
      </c>
      <c r="M48" s="75" t="str">
        <f aca="false">IF($A48="","",IF(AND(D48&gt;0,E48&gt;0,D48&lt;=E48*1.02),"是","否"))</f>
        <v/>
      </c>
      <c r="N48" s="76" t="n">
        <f aca="false">IFERROR(INDEX(账户总表!$O:$O,COUNTA(账户总表!$A:$A)),0)</f>
        <v>0.35</v>
      </c>
      <c r="O48" s="77" t="n">
        <f aca="false">IFERROR(INDEX(账户总表!$B:$B,COUNTA(账户总表!$A:$A))*N48,0)</f>
        <v>7294.812</v>
      </c>
      <c r="P48" s="78" t="n">
        <f aca="false">IFERROR(O48/D48,0)</f>
        <v>0</v>
      </c>
      <c r="Q48" s="78" t="n">
        <f aca="false">IFERROR(FLOOR(P48,100),0)</f>
        <v>0</v>
      </c>
      <c r="R48" s="78" t="n">
        <f aca="false">IFERROR(CEILING(800/(100*D48),1)*100,0)</f>
        <v>0</v>
      </c>
      <c r="S48" s="79"/>
      <c r="T48" s="77" t="n">
        <f aca="false">IFERROR(S48*D48,0)</f>
        <v>0</v>
      </c>
      <c r="U48" s="76" t="n">
        <f aca="false">IFERROR(T48/INDEX(账户总表!$B:$B,COUNTA(账户总表!$A:$A)),0)</f>
        <v>0</v>
      </c>
      <c r="V48" s="76" t="n">
        <f aca="false">IFERROR(INDEX(账户总表!$E:$E,COUNTA(账户总表!$A:$A))+U48,0)</f>
        <v>0.407056412146057</v>
      </c>
      <c r="W48" s="75" t="str">
        <f aca="false">IF($A48="","",IFERROR(IF(V48&lt;=INDEX(账户总表!$N:$N,COUNTA(账户总表!$A:$A)),"是","否"),"否"))</f>
        <v/>
      </c>
      <c r="X48" s="77" t="str">
        <f aca="false">IF($A48="","",MAX(F48*0.98,D48*0.92))</f>
        <v/>
      </c>
      <c r="Y48" s="72"/>
      <c r="Z48" s="75" t="str">
        <f aca="false">IF($A48="","",IFERROR(IF(AND(T48&gt;INDEX(账户总表!$C:$C,COUNTA(账户总表!$A:$A)),L48="是"),"是","否"),"否"))</f>
        <v/>
      </c>
      <c r="AA48" s="77" t="str">
        <f aca="false">IF($A48="","",IFERROR(IF(Z48="是",MAX(0,T48-INDEX(账户总表!$C:$C,COUNTA(账户总表!$A:$A)),IF(N48&gt;0,T48/N48-INDEX(账户总表!$B:$B,COUNTA(账户总表!$A:$A)),0)),0),0))</f>
        <v/>
      </c>
      <c r="AB48" s="77" t="str">
        <f aca="false">IF($A48="","",IF(AND(Z48="是",INDEX(账户总表!$U:$U,COUNTA(账户总表!$A:$A))="是"),IF(INDEX(账户总表!$L:$L,COUNTA(账户总表!$A:$A))&gt;=4,AA48*1.5,AA48),0))</f>
        <v/>
      </c>
      <c r="AC48" s="75" t="str">
        <f aca="false">IF($A48="","",IF(AND(L48="是",Q48&gt;=R48,S48&lt;=Q48,S48&gt;=R48,W48="是",X48&gt;0,M48="是",INDEX(账户总表!$M:$M,COUNTA(账户总表!$A:$A))&lt;=2,INDEX(账户总表!$V:$V,COUNTA(账户总表!$A:$A))="是",OR(T48&lt;=INDEX(账户总表!$C:$C,COUNTA(账户总表!$A:$A)),AND(Z48="是",INDEX(账户总表!$U:$U,COUNTA(账户总表!$A:$A))="是",AB48&gt;0))),"是","否"))</f>
        <v/>
      </c>
      <c r="AD48" s="75" t="str">
        <f aca="false">IF($A48="","",IF(L48&lt;&gt;"是","信号未确认",IF(X48&lt;=0,"止损价未定义",IF(Q48&lt;R48,"100股约束不满足",IF(S48&gt;Q48,"计划股数超单股上限",IF(S48&lt;R48,"计划股数低于最小门槛",IF(W48&lt;&gt;"是","总仓位超限",IF(M48&lt;&gt;"是","追价",IF(INDEX(账户总表!$M:$M,COUNTA(账户总表!$A:$A))&gt;2,"亏钱效应偏高",IF(INDEX(账户总表!$V:$V,COUNTA(账户总表!$A:$A))&lt;&gt;"是","账户不允许新开仓",IF(AND(T48&gt;INDEX(账户总表!$C:$C,COUNTA(账户总表!$A:$A)),INDEX(账户总表!$U:$U,COUNTA(账户总表!$A:$A))&lt;&gt;"是"),"现金不足且不允许转入",IF(AND(Z48="是",AB48&lt;=0),"转入金额未满足",""))))))))))))</f>
        <v/>
      </c>
      <c r="AE48" s="71"/>
      <c r="AF48" s="1" t="str">
        <f aca="false">IF($A48="","",D48*100)</f>
        <v/>
      </c>
      <c r="AG48" s="1" t="str">
        <f aca="false">IF($A48="","",IFERROR(AF48/INDEX(账户总表!$B:$B,COUNTA(账户总表!$A:$A)),0))</f>
        <v/>
      </c>
      <c r="AH48" s="1" t="str">
        <f aca="false">IF($A48="","",IFERROR(INDEX(账户总表!$B:$B,COUNTA(账户总表!$A:$A))*INDEX(账户总表!$O:$O,COUNTA(账户总表!$A:$A)),0))</f>
        <v/>
      </c>
      <c r="AI48" s="1" t="str">
        <f aca="false">IF($A48="","",IF(AF48&gt;AH48,"超限","合规"))</f>
        <v/>
      </c>
      <c r="AJ48" s="1" t="str">
        <f aca="false">IF($A48="","",IFERROR(AF48/INDEX(账户总表!$O:$O,COUNTA(账户总表!$A:$A)),0))</f>
        <v/>
      </c>
      <c r="AK48" s="1" t="str">
        <f aca="false">IF($A48="","",IFERROR(MAX(0,AJ48-INDEX(账户总表!$B:$B,COUNTA(账户总表!$A:$A)),AF48-INDEX(账户总表!$C:$C,COUNTA(账户总表!$A:$A))),0))</f>
        <v/>
      </c>
      <c r="AL48" s="1" t="str">
        <f aca="false">IF($A48="","",IF(COUNTIF(持仓表!$C$2:$C$201,C48)&gt;0,"已有","新标的"))</f>
        <v/>
      </c>
      <c r="AM48" s="1" t="str">
        <f aca="false">IF($A48="","",IFERROR(SUMIFS(持仓表!$N$2:$N$201,持仓表!$C$2:$C$201,C48,持仓表!$A$2:$A$201,$A48),0))</f>
        <v/>
      </c>
      <c r="AN48" s="1" t="str">
        <f aca="false">IF($A48="","",IFERROR(AM48+AF48/INDEX(账户总表!$B:$B,COUNTA(账户总表!$A:$A)),0))</f>
        <v/>
      </c>
      <c r="AO48" s="1" t="str">
        <f aca="false">IF($A48="","",IF(AN48&gt;INDEX(账户总表!$O:$O,COUNTA(账户总表!$A:$A)),"超限","合规"))</f>
        <v/>
      </c>
      <c r="AP48" s="1" t="str">
        <f aca="false">IF($A48="","",IF(AND(AL48="新标的",INDEX(账户总表!$R:$R,COUNTA(账户总表!$A:$A))&gt;=INDEX(账户总表!$S:$S,COUNTA(账户总表!$A:$A))),"新增受限","可通过"))</f>
        <v/>
      </c>
      <c r="AQ48" s="1" t="str">
        <f aca="false">IF($A48="","",IF(K48&lt;&gt;"核心池","非核心池",IF(OR(AI48="超限",AO48="超限",AP48="新增受限"),"不可加仓","可加仓")))</f>
        <v/>
      </c>
      <c r="AR48" s="1" t="str">
        <f aca="false">IF($A48="","",TRIM(IF(AI48="超限","1手超单股上限；","")&amp;IF(AO48="超限","买后仓位超限；","")&amp;IF(AP48="新增受限","有效持仓数超限；","")&amp;IF(AF48&gt;INDEX(账户总表!$C:$C,COUNTA(账户总表!$A:$A)),"现金不足；","")))</f>
        <v/>
      </c>
      <c r="AS48" s="1" t="str">
        <f aca="false">IF($A48="","",IFERROR(INDEX(候选池历史!$L:$L,MATCH(1,(候选池历史!$B:$B=C48)*(候选池历史!$A:$A=$A48),0)),0))</f>
        <v/>
      </c>
      <c r="AT48" s="1" t="str">
        <f aca="false">IF($A48="","",IF(AS48&gt;=3,"★信号强化",IF(K48="核心池","核心观察","")))</f>
        <v/>
      </c>
      <c r="AU48" s="1" t="str">
        <f aca="false">IF($A48="","",IF(AK48&gt;30000-INDEX(账户总表!$B:$B,COUNTA(账户总表!$A:$A)),"不适合婴儿阶段","可纳入幼儿路径"))</f>
        <v/>
      </c>
    </row>
    <row r="49" customFormat="false" ht="15" hidden="false" customHeight="true" outlineLevel="0" collapsed="false">
      <c r="A49" s="70"/>
      <c r="B49" s="71"/>
      <c r="C49" s="72"/>
      <c r="D49" s="73"/>
      <c r="E49" s="73"/>
      <c r="F49" s="73"/>
      <c r="G49" s="74"/>
      <c r="H49" s="72"/>
      <c r="I49" s="72"/>
      <c r="J49" s="71"/>
      <c r="K49" s="75" t="str">
        <f aca="false">IF($A49="","",IF(AND(G49&lt;45%,H49&gt;=0.9),"A",IF(AND(G49&lt;60%,H49&gt;0.8),"B","C")))</f>
        <v/>
      </c>
      <c r="L49" s="75" t="str">
        <f aca="false">IF($A49="","",IF(AND(G49&lt;60%,H49&gt;0.8,I49="True"),"是","否"))</f>
        <v/>
      </c>
      <c r="M49" s="75" t="str">
        <f aca="false">IF($A49="","",IF(AND(D49&gt;0,E49&gt;0,D49&lt;=E49*1.02),"是","否"))</f>
        <v/>
      </c>
      <c r="N49" s="76" t="n">
        <f aca="false">IFERROR(INDEX(账户总表!$O:$O,COUNTA(账户总表!$A:$A)),0)</f>
        <v>0.35</v>
      </c>
      <c r="O49" s="77" t="n">
        <f aca="false">IFERROR(INDEX(账户总表!$B:$B,COUNTA(账户总表!$A:$A))*N49,0)</f>
        <v>7294.812</v>
      </c>
      <c r="P49" s="78" t="n">
        <f aca="false">IFERROR(O49/D49,0)</f>
        <v>0</v>
      </c>
      <c r="Q49" s="78" t="n">
        <f aca="false">IFERROR(FLOOR(P49,100),0)</f>
        <v>0</v>
      </c>
      <c r="R49" s="78" t="n">
        <f aca="false">IFERROR(CEILING(800/(100*D49),1)*100,0)</f>
        <v>0</v>
      </c>
      <c r="S49" s="79"/>
      <c r="T49" s="77" t="n">
        <f aca="false">IFERROR(S49*D49,0)</f>
        <v>0</v>
      </c>
      <c r="U49" s="76" t="n">
        <f aca="false">IFERROR(T49/INDEX(账户总表!$B:$B,COUNTA(账户总表!$A:$A)),0)</f>
        <v>0</v>
      </c>
      <c r="V49" s="76" t="n">
        <f aca="false">IFERROR(INDEX(账户总表!$E:$E,COUNTA(账户总表!$A:$A))+U49,0)</f>
        <v>0.407056412146057</v>
      </c>
      <c r="W49" s="75" t="str">
        <f aca="false">IF($A49="","",IFERROR(IF(V49&lt;=INDEX(账户总表!$N:$N,COUNTA(账户总表!$A:$A)),"是","否"),"否"))</f>
        <v/>
      </c>
      <c r="X49" s="77" t="str">
        <f aca="false">IF($A49="","",MAX(F49*0.98,D49*0.92))</f>
        <v/>
      </c>
      <c r="Y49" s="72"/>
      <c r="Z49" s="75" t="str">
        <f aca="false">IF($A49="","",IFERROR(IF(AND(T49&gt;INDEX(账户总表!$C:$C,COUNTA(账户总表!$A:$A)),L49="是"),"是","否"),"否"))</f>
        <v/>
      </c>
      <c r="AA49" s="77" t="str">
        <f aca="false">IF($A49="","",IFERROR(IF(Z49="是",MAX(0,T49-INDEX(账户总表!$C:$C,COUNTA(账户总表!$A:$A)),IF(N49&gt;0,T49/N49-INDEX(账户总表!$B:$B,COUNTA(账户总表!$A:$A)),0)),0),0))</f>
        <v/>
      </c>
      <c r="AB49" s="77" t="str">
        <f aca="false">IF($A49="","",IF(AND(Z49="是",INDEX(账户总表!$U:$U,COUNTA(账户总表!$A:$A))="是"),IF(INDEX(账户总表!$L:$L,COUNTA(账户总表!$A:$A))&gt;=4,AA49*1.5,AA49),0))</f>
        <v/>
      </c>
      <c r="AC49" s="75" t="str">
        <f aca="false">IF($A49="","",IF(AND(L49="是",Q49&gt;=R49,S49&lt;=Q49,S49&gt;=R49,W49="是",X49&gt;0,M49="是",INDEX(账户总表!$M:$M,COUNTA(账户总表!$A:$A))&lt;=2,INDEX(账户总表!$V:$V,COUNTA(账户总表!$A:$A))="是",OR(T49&lt;=INDEX(账户总表!$C:$C,COUNTA(账户总表!$A:$A)),AND(Z49="是",INDEX(账户总表!$U:$U,COUNTA(账户总表!$A:$A))="是",AB49&gt;0))),"是","否"))</f>
        <v/>
      </c>
      <c r="AD49" s="75" t="str">
        <f aca="false">IF($A49="","",IF(L49&lt;&gt;"是","信号未确认",IF(X49&lt;=0,"止损价未定义",IF(Q49&lt;R49,"100股约束不满足",IF(S49&gt;Q49,"计划股数超单股上限",IF(S49&lt;R49,"计划股数低于最小门槛",IF(W49&lt;&gt;"是","总仓位超限",IF(M49&lt;&gt;"是","追价",IF(INDEX(账户总表!$M:$M,COUNTA(账户总表!$A:$A))&gt;2,"亏钱效应偏高",IF(INDEX(账户总表!$V:$V,COUNTA(账户总表!$A:$A))&lt;&gt;"是","账户不允许新开仓",IF(AND(T49&gt;INDEX(账户总表!$C:$C,COUNTA(账户总表!$A:$A)),INDEX(账户总表!$U:$U,COUNTA(账户总表!$A:$A))&lt;&gt;"是"),"现金不足且不允许转入",IF(AND(Z49="是",AB49&lt;=0),"转入金额未满足",""))))))))))))</f>
        <v/>
      </c>
      <c r="AE49" s="71"/>
      <c r="AF49" s="1" t="str">
        <f aca="false">IF($A49="","",D49*100)</f>
        <v/>
      </c>
      <c r="AG49" s="1" t="str">
        <f aca="false">IF($A49="","",IFERROR(AF49/INDEX(账户总表!$B:$B,COUNTA(账户总表!$A:$A)),0))</f>
        <v/>
      </c>
      <c r="AH49" s="1" t="str">
        <f aca="false">IF($A49="","",IFERROR(INDEX(账户总表!$B:$B,COUNTA(账户总表!$A:$A))*INDEX(账户总表!$O:$O,COUNTA(账户总表!$A:$A)),0))</f>
        <v/>
      </c>
      <c r="AI49" s="1" t="str">
        <f aca="false">IF($A49="","",IF(AF49&gt;AH49,"超限","合规"))</f>
        <v/>
      </c>
      <c r="AJ49" s="1" t="str">
        <f aca="false">IF($A49="","",IFERROR(AF49/INDEX(账户总表!$O:$O,COUNTA(账户总表!$A:$A)),0))</f>
        <v/>
      </c>
      <c r="AK49" s="1" t="str">
        <f aca="false">IF($A49="","",IFERROR(MAX(0,AJ49-INDEX(账户总表!$B:$B,COUNTA(账户总表!$A:$A)),AF49-INDEX(账户总表!$C:$C,COUNTA(账户总表!$A:$A))),0))</f>
        <v/>
      </c>
      <c r="AL49" s="1" t="str">
        <f aca="false">IF($A49="","",IF(COUNTIF(持仓表!$C$2:$C$201,C49)&gt;0,"已有","新标的"))</f>
        <v/>
      </c>
      <c r="AM49" s="1" t="str">
        <f aca="false">IF($A49="","",IFERROR(SUMIFS(持仓表!$N$2:$N$201,持仓表!$C$2:$C$201,C49,持仓表!$A$2:$A$201,$A49),0))</f>
        <v/>
      </c>
      <c r="AN49" s="1" t="str">
        <f aca="false">IF($A49="","",IFERROR(AM49+AF49/INDEX(账户总表!$B:$B,COUNTA(账户总表!$A:$A)),0))</f>
        <v/>
      </c>
      <c r="AO49" s="1" t="str">
        <f aca="false">IF($A49="","",IF(AN49&gt;INDEX(账户总表!$O:$O,COUNTA(账户总表!$A:$A)),"超限","合规"))</f>
        <v/>
      </c>
      <c r="AP49" s="1" t="str">
        <f aca="false">IF($A49="","",IF(AND(AL49="新标的",INDEX(账户总表!$R:$R,COUNTA(账户总表!$A:$A))&gt;=INDEX(账户总表!$S:$S,COUNTA(账户总表!$A:$A))),"新增受限","可通过"))</f>
        <v/>
      </c>
      <c r="AQ49" s="1" t="str">
        <f aca="false">IF($A49="","",IF(K49&lt;&gt;"核心池","非核心池",IF(OR(AI49="超限",AO49="超限",AP49="新增受限"),"不可加仓","可加仓")))</f>
        <v/>
      </c>
      <c r="AR49" s="1" t="str">
        <f aca="false">IF($A49="","",TRIM(IF(AI49="超限","1手超单股上限；","")&amp;IF(AO49="超限","买后仓位超限；","")&amp;IF(AP49="新增受限","有效持仓数超限；","")&amp;IF(AF49&gt;INDEX(账户总表!$C:$C,COUNTA(账户总表!$A:$A)),"现金不足；","")))</f>
        <v/>
      </c>
      <c r="AS49" s="1" t="str">
        <f aca="false">IF($A49="","",IFERROR(INDEX(候选池历史!$L:$L,MATCH(1,(候选池历史!$B:$B=C49)*(候选池历史!$A:$A=$A49),0)),0))</f>
        <v/>
      </c>
      <c r="AT49" s="1" t="str">
        <f aca="false">IF($A49="","",IF(AS49&gt;=3,"★信号强化",IF(K49="核心池","核心观察","")))</f>
        <v/>
      </c>
      <c r="AU49" s="1" t="str">
        <f aca="false">IF($A49="","",IF(AK49&gt;30000-INDEX(账户总表!$B:$B,COUNTA(账户总表!$A:$A)),"不适合婴儿阶段","可纳入幼儿路径"))</f>
        <v/>
      </c>
    </row>
    <row r="50" customFormat="false" ht="15" hidden="false" customHeight="true" outlineLevel="0" collapsed="false">
      <c r="A50" s="70"/>
      <c r="B50" s="71"/>
      <c r="C50" s="72"/>
      <c r="D50" s="73"/>
      <c r="E50" s="73"/>
      <c r="F50" s="73"/>
      <c r="G50" s="74"/>
      <c r="H50" s="72"/>
      <c r="I50" s="72"/>
      <c r="J50" s="71"/>
      <c r="K50" s="75" t="str">
        <f aca="false">IF($A50="","",IF(AND(G50&lt;45%,H50&gt;=0.9),"A",IF(AND(G50&lt;60%,H50&gt;0.8),"B","C")))</f>
        <v/>
      </c>
      <c r="L50" s="75" t="str">
        <f aca="false">IF($A50="","",IF(AND(G50&lt;60%,H50&gt;0.8,I50="True"),"是","否"))</f>
        <v/>
      </c>
      <c r="M50" s="75" t="str">
        <f aca="false">IF($A50="","",IF(AND(D50&gt;0,E50&gt;0,D50&lt;=E50*1.02),"是","否"))</f>
        <v/>
      </c>
      <c r="N50" s="76" t="n">
        <f aca="false">IFERROR(INDEX(账户总表!$O:$O,COUNTA(账户总表!$A:$A)),0)</f>
        <v>0.35</v>
      </c>
      <c r="O50" s="77" t="n">
        <f aca="false">IFERROR(INDEX(账户总表!$B:$B,COUNTA(账户总表!$A:$A))*N50,0)</f>
        <v>7294.812</v>
      </c>
      <c r="P50" s="78" t="n">
        <f aca="false">IFERROR(O50/D50,0)</f>
        <v>0</v>
      </c>
      <c r="Q50" s="78" t="n">
        <f aca="false">IFERROR(FLOOR(P50,100),0)</f>
        <v>0</v>
      </c>
      <c r="R50" s="78" t="n">
        <f aca="false">IFERROR(CEILING(800/(100*D50),1)*100,0)</f>
        <v>0</v>
      </c>
      <c r="S50" s="79"/>
      <c r="T50" s="77" t="n">
        <f aca="false">IFERROR(S50*D50,0)</f>
        <v>0</v>
      </c>
      <c r="U50" s="76" t="n">
        <f aca="false">IFERROR(T50/INDEX(账户总表!$B:$B,COUNTA(账户总表!$A:$A)),0)</f>
        <v>0</v>
      </c>
      <c r="V50" s="76" t="n">
        <f aca="false">IFERROR(INDEX(账户总表!$E:$E,COUNTA(账户总表!$A:$A))+U50,0)</f>
        <v>0.407056412146057</v>
      </c>
      <c r="W50" s="75" t="str">
        <f aca="false">IF($A50="","",IFERROR(IF(V50&lt;=INDEX(账户总表!$N:$N,COUNTA(账户总表!$A:$A)),"是","否"),"否"))</f>
        <v/>
      </c>
      <c r="X50" s="77" t="str">
        <f aca="false">IF($A50="","",MAX(F50*0.98,D50*0.92))</f>
        <v/>
      </c>
      <c r="Y50" s="72"/>
      <c r="Z50" s="75" t="str">
        <f aca="false">IF($A50="","",IFERROR(IF(AND(T50&gt;INDEX(账户总表!$C:$C,COUNTA(账户总表!$A:$A)),L50="是"),"是","否"),"否"))</f>
        <v/>
      </c>
      <c r="AA50" s="77" t="str">
        <f aca="false">IF($A50="","",IFERROR(IF(Z50="是",MAX(0,T50-INDEX(账户总表!$C:$C,COUNTA(账户总表!$A:$A)),IF(N50&gt;0,T50/N50-INDEX(账户总表!$B:$B,COUNTA(账户总表!$A:$A)),0)),0),0))</f>
        <v/>
      </c>
      <c r="AB50" s="77" t="str">
        <f aca="false">IF($A50="","",IF(AND(Z50="是",INDEX(账户总表!$U:$U,COUNTA(账户总表!$A:$A))="是"),IF(INDEX(账户总表!$L:$L,COUNTA(账户总表!$A:$A))&gt;=4,AA50*1.5,AA50),0))</f>
        <v/>
      </c>
      <c r="AC50" s="75" t="str">
        <f aca="false">IF($A50="","",IF(AND(L50="是",Q50&gt;=R50,S50&lt;=Q50,S50&gt;=R50,W50="是",X50&gt;0,M50="是",INDEX(账户总表!$M:$M,COUNTA(账户总表!$A:$A))&lt;=2,INDEX(账户总表!$V:$V,COUNTA(账户总表!$A:$A))="是",OR(T50&lt;=INDEX(账户总表!$C:$C,COUNTA(账户总表!$A:$A)),AND(Z50="是",INDEX(账户总表!$U:$U,COUNTA(账户总表!$A:$A))="是",AB50&gt;0))),"是","否"))</f>
        <v/>
      </c>
      <c r="AD50" s="75" t="str">
        <f aca="false">IF($A50="","",IF(L50&lt;&gt;"是","信号未确认",IF(X50&lt;=0,"止损价未定义",IF(Q50&lt;R50,"100股约束不满足",IF(S50&gt;Q50,"计划股数超单股上限",IF(S50&lt;R50,"计划股数低于最小门槛",IF(W50&lt;&gt;"是","总仓位超限",IF(M50&lt;&gt;"是","追价",IF(INDEX(账户总表!$M:$M,COUNTA(账户总表!$A:$A))&gt;2,"亏钱效应偏高",IF(INDEX(账户总表!$V:$V,COUNTA(账户总表!$A:$A))&lt;&gt;"是","账户不允许新开仓",IF(AND(T50&gt;INDEX(账户总表!$C:$C,COUNTA(账户总表!$A:$A)),INDEX(账户总表!$U:$U,COUNTA(账户总表!$A:$A))&lt;&gt;"是"),"现金不足且不允许转入",IF(AND(Z50="是",AB50&lt;=0),"转入金额未满足",""))))))))))))</f>
        <v/>
      </c>
      <c r="AE50" s="71"/>
      <c r="AF50" s="1" t="str">
        <f aca="false">IF($A50="","",D50*100)</f>
        <v/>
      </c>
      <c r="AG50" s="1" t="str">
        <f aca="false">IF($A50="","",IFERROR(AF50/INDEX(账户总表!$B:$B,COUNTA(账户总表!$A:$A)),0))</f>
        <v/>
      </c>
      <c r="AH50" s="1" t="str">
        <f aca="false">IF($A50="","",IFERROR(INDEX(账户总表!$B:$B,COUNTA(账户总表!$A:$A))*INDEX(账户总表!$O:$O,COUNTA(账户总表!$A:$A)),0))</f>
        <v/>
      </c>
      <c r="AI50" s="1" t="str">
        <f aca="false">IF($A50="","",IF(AF50&gt;AH50,"超限","合规"))</f>
        <v/>
      </c>
      <c r="AJ50" s="1" t="str">
        <f aca="false">IF($A50="","",IFERROR(AF50/INDEX(账户总表!$O:$O,COUNTA(账户总表!$A:$A)),0))</f>
        <v/>
      </c>
      <c r="AK50" s="1" t="str">
        <f aca="false">IF($A50="","",IFERROR(MAX(0,AJ50-INDEX(账户总表!$B:$B,COUNTA(账户总表!$A:$A)),AF50-INDEX(账户总表!$C:$C,COUNTA(账户总表!$A:$A))),0))</f>
        <v/>
      </c>
      <c r="AL50" s="1" t="str">
        <f aca="false">IF($A50="","",IF(COUNTIF(持仓表!$C$2:$C$201,C50)&gt;0,"已有","新标的"))</f>
        <v/>
      </c>
      <c r="AM50" s="1" t="str">
        <f aca="false">IF($A50="","",IFERROR(SUMIFS(持仓表!$N$2:$N$201,持仓表!$C$2:$C$201,C50,持仓表!$A$2:$A$201,$A50),0))</f>
        <v/>
      </c>
      <c r="AN50" s="1" t="str">
        <f aca="false">IF($A50="","",IFERROR(AM50+AF50/INDEX(账户总表!$B:$B,COUNTA(账户总表!$A:$A)),0))</f>
        <v/>
      </c>
      <c r="AO50" s="1" t="str">
        <f aca="false">IF($A50="","",IF(AN50&gt;INDEX(账户总表!$O:$O,COUNTA(账户总表!$A:$A)),"超限","合规"))</f>
        <v/>
      </c>
      <c r="AP50" s="1" t="str">
        <f aca="false">IF($A50="","",IF(AND(AL50="新标的",INDEX(账户总表!$R:$R,COUNTA(账户总表!$A:$A))&gt;=INDEX(账户总表!$S:$S,COUNTA(账户总表!$A:$A))),"新增受限","可通过"))</f>
        <v/>
      </c>
      <c r="AQ50" s="1" t="str">
        <f aca="false">IF($A50="","",IF(K50&lt;&gt;"核心池","非核心池",IF(OR(AI50="超限",AO50="超限",AP50="新增受限"),"不可加仓","可加仓")))</f>
        <v/>
      </c>
      <c r="AR50" s="1" t="str">
        <f aca="false">IF($A50="","",TRIM(IF(AI50="超限","1手超单股上限；","")&amp;IF(AO50="超限","买后仓位超限；","")&amp;IF(AP50="新增受限","有效持仓数超限；","")&amp;IF(AF50&gt;INDEX(账户总表!$C:$C,COUNTA(账户总表!$A:$A)),"现金不足；","")))</f>
        <v/>
      </c>
      <c r="AS50" s="1" t="str">
        <f aca="false">IF($A50="","",IFERROR(INDEX(候选池历史!$L:$L,MATCH(1,(候选池历史!$B:$B=C50)*(候选池历史!$A:$A=$A50),0)),0))</f>
        <v/>
      </c>
      <c r="AT50" s="1" t="str">
        <f aca="false">IF($A50="","",IF(AS50&gt;=3,"★信号强化",IF(K50="核心池","核心观察","")))</f>
        <v/>
      </c>
      <c r="AU50" s="1" t="str">
        <f aca="false">IF($A50="","",IF(AK50&gt;30000-INDEX(账户总表!$B:$B,COUNTA(账户总表!$A:$A)),"不适合婴儿阶段","可纳入幼儿路径"))</f>
        <v/>
      </c>
    </row>
    <row r="51" customFormat="false" ht="15" hidden="false" customHeight="true" outlineLevel="0" collapsed="false">
      <c r="A51" s="70"/>
      <c r="B51" s="71"/>
      <c r="C51" s="72"/>
      <c r="D51" s="73"/>
      <c r="E51" s="73"/>
      <c r="F51" s="73"/>
      <c r="G51" s="74"/>
      <c r="H51" s="72"/>
      <c r="I51" s="72"/>
      <c r="J51" s="71"/>
      <c r="K51" s="75" t="str">
        <f aca="false">IF($A51="","",IF(AND(G51&lt;45%,H51&gt;=0.9),"A",IF(AND(G51&lt;60%,H51&gt;0.8),"B","C")))</f>
        <v/>
      </c>
      <c r="L51" s="75" t="str">
        <f aca="false">IF($A51="","",IF(AND(G51&lt;60%,H51&gt;0.8,I51="True"),"是","否"))</f>
        <v/>
      </c>
      <c r="M51" s="75" t="str">
        <f aca="false">IF($A51="","",IF(AND(D51&gt;0,E51&gt;0,D51&lt;=E51*1.02),"是","否"))</f>
        <v/>
      </c>
      <c r="N51" s="76" t="n">
        <f aca="false">IFERROR(INDEX(账户总表!$O:$O,COUNTA(账户总表!$A:$A)),0)</f>
        <v>0.35</v>
      </c>
      <c r="O51" s="77" t="n">
        <f aca="false">IFERROR(INDEX(账户总表!$B:$B,COUNTA(账户总表!$A:$A))*N51,0)</f>
        <v>7294.812</v>
      </c>
      <c r="P51" s="78" t="n">
        <f aca="false">IFERROR(O51/D51,0)</f>
        <v>0</v>
      </c>
      <c r="Q51" s="78" t="n">
        <f aca="false">IFERROR(FLOOR(P51,100),0)</f>
        <v>0</v>
      </c>
      <c r="R51" s="78" t="n">
        <f aca="false">IFERROR(CEILING(800/(100*D51),1)*100,0)</f>
        <v>0</v>
      </c>
      <c r="S51" s="79"/>
      <c r="T51" s="77" t="n">
        <f aca="false">IFERROR(S51*D51,0)</f>
        <v>0</v>
      </c>
      <c r="U51" s="76" t="n">
        <f aca="false">IFERROR(T51/INDEX(账户总表!$B:$B,COUNTA(账户总表!$A:$A)),0)</f>
        <v>0</v>
      </c>
      <c r="V51" s="76" t="n">
        <f aca="false">IFERROR(INDEX(账户总表!$E:$E,COUNTA(账户总表!$A:$A))+U51,0)</f>
        <v>0.407056412146057</v>
      </c>
      <c r="W51" s="75" t="str">
        <f aca="false">IF($A51="","",IFERROR(IF(V51&lt;=INDEX(账户总表!$N:$N,COUNTA(账户总表!$A:$A)),"是","否"),"否"))</f>
        <v/>
      </c>
      <c r="X51" s="77" t="str">
        <f aca="false">IF($A51="","",MAX(F51*0.98,D51*0.92))</f>
        <v/>
      </c>
      <c r="Y51" s="72"/>
      <c r="Z51" s="75" t="str">
        <f aca="false">IF($A51="","",IFERROR(IF(AND(T51&gt;INDEX(账户总表!$C:$C,COUNTA(账户总表!$A:$A)),L51="是"),"是","否"),"否"))</f>
        <v/>
      </c>
      <c r="AA51" s="77" t="str">
        <f aca="false">IF($A51="","",IFERROR(IF(Z51="是",MAX(0,T51-INDEX(账户总表!$C:$C,COUNTA(账户总表!$A:$A)),IF(N51&gt;0,T51/N51-INDEX(账户总表!$B:$B,COUNTA(账户总表!$A:$A)),0)),0),0))</f>
        <v/>
      </c>
      <c r="AB51" s="77" t="str">
        <f aca="false">IF($A51="","",IF(AND(Z51="是",INDEX(账户总表!$U:$U,COUNTA(账户总表!$A:$A))="是"),IF(INDEX(账户总表!$L:$L,COUNTA(账户总表!$A:$A))&gt;=4,AA51*1.5,AA51),0))</f>
        <v/>
      </c>
      <c r="AC51" s="75" t="str">
        <f aca="false">IF($A51="","",IF(AND(L51="是",Q51&gt;=R51,S51&lt;=Q51,S51&gt;=R51,W51="是",X51&gt;0,M51="是",INDEX(账户总表!$M:$M,COUNTA(账户总表!$A:$A))&lt;=2,INDEX(账户总表!$V:$V,COUNTA(账户总表!$A:$A))="是",OR(T51&lt;=INDEX(账户总表!$C:$C,COUNTA(账户总表!$A:$A)),AND(Z51="是",INDEX(账户总表!$U:$U,COUNTA(账户总表!$A:$A))="是",AB51&gt;0))),"是","否"))</f>
        <v/>
      </c>
      <c r="AD51" s="75" t="str">
        <f aca="false">IF($A51="","",IF(L51&lt;&gt;"是","信号未确认",IF(X51&lt;=0,"止损价未定义",IF(Q51&lt;R51,"100股约束不满足",IF(S51&gt;Q51,"计划股数超单股上限",IF(S51&lt;R51,"计划股数低于最小门槛",IF(W51&lt;&gt;"是","总仓位超限",IF(M51&lt;&gt;"是","追价",IF(INDEX(账户总表!$M:$M,COUNTA(账户总表!$A:$A))&gt;2,"亏钱效应偏高",IF(INDEX(账户总表!$V:$V,COUNTA(账户总表!$A:$A))&lt;&gt;"是","账户不允许新开仓",IF(AND(T51&gt;INDEX(账户总表!$C:$C,COUNTA(账户总表!$A:$A)),INDEX(账户总表!$U:$U,COUNTA(账户总表!$A:$A))&lt;&gt;"是"),"现金不足且不允许转入",IF(AND(Z51="是",AB51&lt;=0),"转入金额未满足",""))))))))))))</f>
        <v/>
      </c>
      <c r="AE51" s="71"/>
      <c r="AF51" s="1" t="str">
        <f aca="false">IF($A51="","",D51*100)</f>
        <v/>
      </c>
      <c r="AG51" s="1" t="str">
        <f aca="false">IF($A51="","",IFERROR(AF51/INDEX(账户总表!$B:$B,COUNTA(账户总表!$A:$A)),0))</f>
        <v/>
      </c>
      <c r="AH51" s="1" t="str">
        <f aca="false">IF($A51="","",IFERROR(INDEX(账户总表!$B:$B,COUNTA(账户总表!$A:$A))*INDEX(账户总表!$O:$O,COUNTA(账户总表!$A:$A)),0))</f>
        <v/>
      </c>
      <c r="AI51" s="1" t="str">
        <f aca="false">IF($A51="","",IF(AF51&gt;AH51,"超限","合规"))</f>
        <v/>
      </c>
      <c r="AJ51" s="1" t="str">
        <f aca="false">IF($A51="","",IFERROR(AF51/INDEX(账户总表!$O:$O,COUNTA(账户总表!$A:$A)),0))</f>
        <v/>
      </c>
      <c r="AK51" s="1" t="str">
        <f aca="false">IF($A51="","",IFERROR(MAX(0,AJ51-INDEX(账户总表!$B:$B,COUNTA(账户总表!$A:$A)),AF51-INDEX(账户总表!$C:$C,COUNTA(账户总表!$A:$A))),0))</f>
        <v/>
      </c>
      <c r="AL51" s="1" t="str">
        <f aca="false">IF($A51="","",IF(COUNTIF(持仓表!$C$2:$C$201,C51)&gt;0,"已有","新标的"))</f>
        <v/>
      </c>
      <c r="AM51" s="1" t="str">
        <f aca="false">IF($A51="","",IFERROR(SUMIFS(持仓表!$N$2:$N$201,持仓表!$C$2:$C$201,C51,持仓表!$A$2:$A$201,$A51),0))</f>
        <v/>
      </c>
      <c r="AN51" s="1" t="str">
        <f aca="false">IF($A51="","",IFERROR(AM51+AF51/INDEX(账户总表!$B:$B,COUNTA(账户总表!$A:$A)),0))</f>
        <v/>
      </c>
      <c r="AO51" s="1" t="str">
        <f aca="false">IF($A51="","",IF(AN51&gt;INDEX(账户总表!$O:$O,COUNTA(账户总表!$A:$A)),"超限","合规"))</f>
        <v/>
      </c>
      <c r="AP51" s="1" t="str">
        <f aca="false">IF($A51="","",IF(AND(AL51="新标的",INDEX(账户总表!$R:$R,COUNTA(账户总表!$A:$A))&gt;=INDEX(账户总表!$S:$S,COUNTA(账户总表!$A:$A))),"新增受限","可通过"))</f>
        <v/>
      </c>
      <c r="AQ51" s="1" t="str">
        <f aca="false">IF($A51="","",IF(K51&lt;&gt;"核心池","非核心池",IF(OR(AI51="超限",AO51="超限",AP51="新增受限"),"不可加仓","可加仓")))</f>
        <v/>
      </c>
      <c r="AR51" s="1" t="str">
        <f aca="false">IF($A51="","",TRIM(IF(AI51="超限","1手超单股上限；","")&amp;IF(AO51="超限","买后仓位超限；","")&amp;IF(AP51="新增受限","有效持仓数超限；","")&amp;IF(AF51&gt;INDEX(账户总表!$C:$C,COUNTA(账户总表!$A:$A)),"现金不足；","")))</f>
        <v/>
      </c>
      <c r="AS51" s="1" t="str">
        <f aca="false">IF($A51="","",IFERROR(INDEX(候选池历史!$L:$L,MATCH(1,(候选池历史!$B:$B=C51)*(候选池历史!$A:$A=$A51),0)),0))</f>
        <v/>
      </c>
      <c r="AT51" s="1" t="str">
        <f aca="false">IF($A51="","",IF(AS51&gt;=3,"★信号强化",IF(K51="核心池","核心观察","")))</f>
        <v/>
      </c>
      <c r="AU51" s="1" t="str">
        <f aca="false">IF($A51="","",IF(AK51&gt;30000-INDEX(账户总表!$B:$B,COUNTA(账户总表!$A:$A)),"不适合婴儿阶段","可纳入幼儿路径"))</f>
        <v/>
      </c>
    </row>
    <row r="52" customFormat="false" ht="15" hidden="false" customHeight="true" outlineLevel="0" collapsed="false">
      <c r="A52" s="70"/>
      <c r="B52" s="71"/>
      <c r="C52" s="72"/>
      <c r="D52" s="73"/>
      <c r="E52" s="73"/>
      <c r="F52" s="73"/>
      <c r="G52" s="74"/>
      <c r="H52" s="72"/>
      <c r="I52" s="72"/>
      <c r="J52" s="71"/>
      <c r="K52" s="75" t="str">
        <f aca="false">IF($A52="","",IF(AND(G52&lt;45%,H52&gt;=0.9),"A",IF(AND(G52&lt;60%,H52&gt;0.8),"B","C")))</f>
        <v/>
      </c>
      <c r="L52" s="75" t="str">
        <f aca="false">IF($A52="","",IF(AND(G52&lt;60%,H52&gt;0.8,I52="True"),"是","否"))</f>
        <v/>
      </c>
      <c r="M52" s="75" t="str">
        <f aca="false">IF($A52="","",IF(AND(D52&gt;0,E52&gt;0,D52&lt;=E52*1.02),"是","否"))</f>
        <v/>
      </c>
      <c r="N52" s="76" t="n">
        <f aca="false">IFERROR(INDEX(账户总表!$O:$O,COUNTA(账户总表!$A:$A)),0)</f>
        <v>0.35</v>
      </c>
      <c r="O52" s="77" t="n">
        <f aca="false">IFERROR(INDEX(账户总表!$B:$B,COUNTA(账户总表!$A:$A))*N52,0)</f>
        <v>7294.812</v>
      </c>
      <c r="P52" s="78" t="n">
        <f aca="false">IFERROR(O52/D52,0)</f>
        <v>0</v>
      </c>
      <c r="Q52" s="78" t="n">
        <f aca="false">IFERROR(FLOOR(P52,100),0)</f>
        <v>0</v>
      </c>
      <c r="R52" s="78" t="n">
        <f aca="false">IFERROR(CEILING(800/(100*D52),1)*100,0)</f>
        <v>0</v>
      </c>
      <c r="S52" s="79"/>
      <c r="T52" s="77" t="n">
        <f aca="false">IFERROR(S52*D52,0)</f>
        <v>0</v>
      </c>
      <c r="U52" s="76" t="n">
        <f aca="false">IFERROR(T52/INDEX(账户总表!$B:$B,COUNTA(账户总表!$A:$A)),0)</f>
        <v>0</v>
      </c>
      <c r="V52" s="76" t="n">
        <f aca="false">IFERROR(INDEX(账户总表!$E:$E,COUNTA(账户总表!$A:$A))+U52,0)</f>
        <v>0.407056412146057</v>
      </c>
      <c r="W52" s="75" t="str">
        <f aca="false">IF($A52="","",IFERROR(IF(V52&lt;=INDEX(账户总表!$N:$N,COUNTA(账户总表!$A:$A)),"是","否"),"否"))</f>
        <v/>
      </c>
      <c r="X52" s="77" t="str">
        <f aca="false">IF($A52="","",MAX(F52*0.98,D52*0.92))</f>
        <v/>
      </c>
      <c r="Y52" s="72"/>
      <c r="Z52" s="75" t="str">
        <f aca="false">IF($A52="","",IFERROR(IF(AND(T52&gt;INDEX(账户总表!$C:$C,COUNTA(账户总表!$A:$A)),L52="是"),"是","否"),"否"))</f>
        <v/>
      </c>
      <c r="AA52" s="77" t="str">
        <f aca="false">IF($A52="","",IFERROR(IF(Z52="是",MAX(0,T52-INDEX(账户总表!$C:$C,COUNTA(账户总表!$A:$A)),IF(N52&gt;0,T52/N52-INDEX(账户总表!$B:$B,COUNTA(账户总表!$A:$A)),0)),0),0))</f>
        <v/>
      </c>
      <c r="AB52" s="77" t="str">
        <f aca="false">IF($A52="","",IF(AND(Z52="是",INDEX(账户总表!$U:$U,COUNTA(账户总表!$A:$A))="是"),IF(INDEX(账户总表!$L:$L,COUNTA(账户总表!$A:$A))&gt;=4,AA52*1.5,AA52),0))</f>
        <v/>
      </c>
      <c r="AC52" s="75" t="str">
        <f aca="false">IF($A52="","",IF(AND(L52="是",Q52&gt;=R52,S52&lt;=Q52,S52&gt;=R52,W52="是",X52&gt;0,M52="是",INDEX(账户总表!$M:$M,COUNTA(账户总表!$A:$A))&lt;=2,INDEX(账户总表!$V:$V,COUNTA(账户总表!$A:$A))="是",OR(T52&lt;=INDEX(账户总表!$C:$C,COUNTA(账户总表!$A:$A)),AND(Z52="是",INDEX(账户总表!$U:$U,COUNTA(账户总表!$A:$A))="是",AB52&gt;0))),"是","否"))</f>
        <v/>
      </c>
      <c r="AD52" s="75" t="str">
        <f aca="false">IF($A52="","",IF(L52&lt;&gt;"是","信号未确认",IF(X52&lt;=0,"止损价未定义",IF(Q52&lt;R52,"100股约束不满足",IF(S52&gt;Q52,"计划股数超单股上限",IF(S52&lt;R52,"计划股数低于最小门槛",IF(W52&lt;&gt;"是","总仓位超限",IF(M52&lt;&gt;"是","追价",IF(INDEX(账户总表!$M:$M,COUNTA(账户总表!$A:$A))&gt;2,"亏钱效应偏高",IF(INDEX(账户总表!$V:$V,COUNTA(账户总表!$A:$A))&lt;&gt;"是","账户不允许新开仓",IF(AND(T52&gt;INDEX(账户总表!$C:$C,COUNTA(账户总表!$A:$A)),INDEX(账户总表!$U:$U,COUNTA(账户总表!$A:$A))&lt;&gt;"是"),"现金不足且不允许转入",IF(AND(Z52="是",AB52&lt;=0),"转入金额未满足",""))))))))))))</f>
        <v/>
      </c>
      <c r="AE52" s="71"/>
      <c r="AF52" s="1" t="str">
        <f aca="false">IF($A52="","",D52*100)</f>
        <v/>
      </c>
      <c r="AG52" s="1" t="str">
        <f aca="false">IF($A52="","",IFERROR(AF52/INDEX(账户总表!$B:$B,COUNTA(账户总表!$A:$A)),0))</f>
        <v/>
      </c>
      <c r="AH52" s="1" t="str">
        <f aca="false">IF($A52="","",IFERROR(INDEX(账户总表!$B:$B,COUNTA(账户总表!$A:$A))*INDEX(账户总表!$O:$O,COUNTA(账户总表!$A:$A)),0))</f>
        <v/>
      </c>
      <c r="AI52" s="1" t="str">
        <f aca="false">IF($A52="","",IF(AF52&gt;AH52,"超限","合规"))</f>
        <v/>
      </c>
      <c r="AJ52" s="1" t="str">
        <f aca="false">IF($A52="","",IFERROR(AF52/INDEX(账户总表!$O:$O,COUNTA(账户总表!$A:$A)),0))</f>
        <v/>
      </c>
      <c r="AK52" s="1" t="str">
        <f aca="false">IF($A52="","",IFERROR(MAX(0,AJ52-INDEX(账户总表!$B:$B,COUNTA(账户总表!$A:$A)),AF52-INDEX(账户总表!$C:$C,COUNTA(账户总表!$A:$A))),0))</f>
        <v/>
      </c>
      <c r="AL52" s="1" t="str">
        <f aca="false">IF($A52="","",IF(COUNTIF(持仓表!$C$2:$C$201,C52)&gt;0,"已有","新标的"))</f>
        <v/>
      </c>
      <c r="AM52" s="1" t="str">
        <f aca="false">IF($A52="","",IFERROR(SUMIFS(持仓表!$N$2:$N$201,持仓表!$C$2:$C$201,C52,持仓表!$A$2:$A$201,$A52),0))</f>
        <v/>
      </c>
      <c r="AN52" s="1" t="str">
        <f aca="false">IF($A52="","",IFERROR(AM52+AF52/INDEX(账户总表!$B:$B,COUNTA(账户总表!$A:$A)),0))</f>
        <v/>
      </c>
      <c r="AO52" s="1" t="str">
        <f aca="false">IF($A52="","",IF(AN52&gt;INDEX(账户总表!$O:$O,COUNTA(账户总表!$A:$A)),"超限","合规"))</f>
        <v/>
      </c>
      <c r="AP52" s="1" t="str">
        <f aca="false">IF($A52="","",IF(AND(AL52="新标的",INDEX(账户总表!$R:$R,COUNTA(账户总表!$A:$A))&gt;=INDEX(账户总表!$S:$S,COUNTA(账户总表!$A:$A))),"新增受限","可通过"))</f>
        <v/>
      </c>
      <c r="AQ52" s="1" t="str">
        <f aca="false">IF($A52="","",IF(K52&lt;&gt;"核心池","非核心池",IF(OR(AI52="超限",AO52="超限",AP52="新增受限"),"不可加仓","可加仓")))</f>
        <v/>
      </c>
      <c r="AR52" s="1" t="str">
        <f aca="false">IF($A52="","",TRIM(IF(AI52="超限","1手超单股上限；","")&amp;IF(AO52="超限","买后仓位超限；","")&amp;IF(AP52="新增受限","有效持仓数超限；","")&amp;IF(AF52&gt;INDEX(账户总表!$C:$C,COUNTA(账户总表!$A:$A)),"现金不足；","")))</f>
        <v/>
      </c>
      <c r="AS52" s="1" t="str">
        <f aca="false">IF($A52="","",IFERROR(INDEX(候选池历史!$L:$L,MATCH(1,(候选池历史!$B:$B=C52)*(候选池历史!$A:$A=$A52),0)),0))</f>
        <v/>
      </c>
      <c r="AT52" s="1" t="str">
        <f aca="false">IF($A52="","",IF(AS52&gt;=3,"★信号强化",IF(K52="核心池","核心观察","")))</f>
        <v/>
      </c>
      <c r="AU52" s="1" t="str">
        <f aca="false">IF($A52="","",IF(AK52&gt;30000-INDEX(账户总表!$B:$B,COUNTA(账户总表!$A:$A)),"不适合婴儿阶段","可纳入幼儿路径"))</f>
        <v/>
      </c>
    </row>
    <row r="53" customFormat="false" ht="15" hidden="false" customHeight="true" outlineLevel="0" collapsed="false">
      <c r="A53" s="70"/>
      <c r="B53" s="71"/>
      <c r="C53" s="72"/>
      <c r="D53" s="73"/>
      <c r="E53" s="73"/>
      <c r="F53" s="73"/>
      <c r="G53" s="74"/>
      <c r="H53" s="72"/>
      <c r="I53" s="72"/>
      <c r="J53" s="71"/>
      <c r="K53" s="75" t="str">
        <f aca="false">IF($A53="","",IF(AND(G53&lt;45%,H53&gt;=0.9),"A",IF(AND(G53&lt;60%,H53&gt;0.8),"B","C")))</f>
        <v/>
      </c>
      <c r="L53" s="75" t="str">
        <f aca="false">IF($A53="","",IF(AND(G53&lt;60%,H53&gt;0.8,I53="True"),"是","否"))</f>
        <v/>
      </c>
      <c r="M53" s="75" t="str">
        <f aca="false">IF($A53="","",IF(AND(D53&gt;0,E53&gt;0,D53&lt;=E53*1.02),"是","否"))</f>
        <v/>
      </c>
      <c r="N53" s="76" t="n">
        <f aca="false">IFERROR(INDEX(账户总表!$O:$O,COUNTA(账户总表!$A:$A)),0)</f>
        <v>0.35</v>
      </c>
      <c r="O53" s="77" t="n">
        <f aca="false">IFERROR(INDEX(账户总表!$B:$B,COUNTA(账户总表!$A:$A))*N53,0)</f>
        <v>7294.812</v>
      </c>
      <c r="P53" s="78" t="n">
        <f aca="false">IFERROR(O53/D53,0)</f>
        <v>0</v>
      </c>
      <c r="Q53" s="78" t="n">
        <f aca="false">IFERROR(FLOOR(P53,100),0)</f>
        <v>0</v>
      </c>
      <c r="R53" s="78" t="n">
        <f aca="false">IFERROR(CEILING(800/(100*D53),1)*100,0)</f>
        <v>0</v>
      </c>
      <c r="S53" s="79"/>
      <c r="T53" s="77" t="n">
        <f aca="false">IFERROR(S53*D53,0)</f>
        <v>0</v>
      </c>
      <c r="U53" s="76" t="n">
        <f aca="false">IFERROR(T53/INDEX(账户总表!$B:$B,COUNTA(账户总表!$A:$A)),0)</f>
        <v>0</v>
      </c>
      <c r="V53" s="76" t="n">
        <f aca="false">IFERROR(INDEX(账户总表!$E:$E,COUNTA(账户总表!$A:$A))+U53,0)</f>
        <v>0.407056412146057</v>
      </c>
      <c r="W53" s="75" t="str">
        <f aca="false">IF($A53="","",IFERROR(IF(V53&lt;=INDEX(账户总表!$N:$N,COUNTA(账户总表!$A:$A)),"是","否"),"否"))</f>
        <v/>
      </c>
      <c r="X53" s="77" t="str">
        <f aca="false">IF($A53="","",MAX(F53*0.98,D53*0.92))</f>
        <v/>
      </c>
      <c r="Y53" s="72"/>
      <c r="Z53" s="75" t="str">
        <f aca="false">IF($A53="","",IFERROR(IF(AND(T53&gt;INDEX(账户总表!$C:$C,COUNTA(账户总表!$A:$A)),L53="是"),"是","否"),"否"))</f>
        <v/>
      </c>
      <c r="AA53" s="77" t="str">
        <f aca="false">IF($A53="","",IFERROR(IF(Z53="是",MAX(0,T53-INDEX(账户总表!$C:$C,COUNTA(账户总表!$A:$A)),IF(N53&gt;0,T53/N53-INDEX(账户总表!$B:$B,COUNTA(账户总表!$A:$A)),0)),0),0))</f>
        <v/>
      </c>
      <c r="AB53" s="77" t="str">
        <f aca="false">IF($A53="","",IF(AND(Z53="是",INDEX(账户总表!$U:$U,COUNTA(账户总表!$A:$A))="是"),IF(INDEX(账户总表!$L:$L,COUNTA(账户总表!$A:$A))&gt;=4,AA53*1.5,AA53),0))</f>
        <v/>
      </c>
      <c r="AC53" s="75" t="str">
        <f aca="false">IF($A53="","",IF(AND(L53="是",Q53&gt;=R53,S53&lt;=Q53,S53&gt;=R53,W53="是",X53&gt;0,M53="是",INDEX(账户总表!$M:$M,COUNTA(账户总表!$A:$A))&lt;=2,INDEX(账户总表!$V:$V,COUNTA(账户总表!$A:$A))="是",OR(T53&lt;=INDEX(账户总表!$C:$C,COUNTA(账户总表!$A:$A)),AND(Z53="是",INDEX(账户总表!$U:$U,COUNTA(账户总表!$A:$A))="是",AB53&gt;0))),"是","否"))</f>
        <v/>
      </c>
      <c r="AD53" s="75" t="str">
        <f aca="false">IF($A53="","",IF(L53&lt;&gt;"是","信号未确认",IF(X53&lt;=0,"止损价未定义",IF(Q53&lt;R53,"100股约束不满足",IF(S53&gt;Q53,"计划股数超单股上限",IF(S53&lt;R53,"计划股数低于最小门槛",IF(W53&lt;&gt;"是","总仓位超限",IF(M53&lt;&gt;"是","追价",IF(INDEX(账户总表!$M:$M,COUNTA(账户总表!$A:$A))&gt;2,"亏钱效应偏高",IF(INDEX(账户总表!$V:$V,COUNTA(账户总表!$A:$A))&lt;&gt;"是","账户不允许新开仓",IF(AND(T53&gt;INDEX(账户总表!$C:$C,COUNTA(账户总表!$A:$A)),INDEX(账户总表!$U:$U,COUNTA(账户总表!$A:$A))&lt;&gt;"是"),"现金不足且不允许转入",IF(AND(Z53="是",AB53&lt;=0),"转入金额未满足",""))))))))))))</f>
        <v/>
      </c>
      <c r="AE53" s="71"/>
      <c r="AF53" s="1" t="str">
        <f aca="false">IF($A53="","",D53*100)</f>
        <v/>
      </c>
      <c r="AG53" s="1" t="str">
        <f aca="false">IF($A53="","",IFERROR(AF53/INDEX(账户总表!$B:$B,COUNTA(账户总表!$A:$A)),0))</f>
        <v/>
      </c>
      <c r="AH53" s="1" t="str">
        <f aca="false">IF($A53="","",IFERROR(INDEX(账户总表!$B:$B,COUNTA(账户总表!$A:$A))*INDEX(账户总表!$O:$O,COUNTA(账户总表!$A:$A)),0))</f>
        <v/>
      </c>
      <c r="AI53" s="1" t="str">
        <f aca="false">IF($A53="","",IF(AF53&gt;AH53,"超限","合规"))</f>
        <v/>
      </c>
      <c r="AJ53" s="1" t="str">
        <f aca="false">IF($A53="","",IFERROR(AF53/INDEX(账户总表!$O:$O,COUNTA(账户总表!$A:$A)),0))</f>
        <v/>
      </c>
      <c r="AK53" s="1" t="str">
        <f aca="false">IF($A53="","",IFERROR(MAX(0,AJ53-INDEX(账户总表!$B:$B,COUNTA(账户总表!$A:$A)),AF53-INDEX(账户总表!$C:$C,COUNTA(账户总表!$A:$A))),0))</f>
        <v/>
      </c>
      <c r="AL53" s="1" t="str">
        <f aca="false">IF($A53="","",IF(COUNTIF(持仓表!$C$2:$C$201,C53)&gt;0,"已有","新标的"))</f>
        <v/>
      </c>
      <c r="AM53" s="1" t="str">
        <f aca="false">IF($A53="","",IFERROR(SUMIFS(持仓表!$N$2:$N$201,持仓表!$C$2:$C$201,C53,持仓表!$A$2:$A$201,$A53),0))</f>
        <v/>
      </c>
      <c r="AN53" s="1" t="str">
        <f aca="false">IF($A53="","",IFERROR(AM53+AF53/INDEX(账户总表!$B:$B,COUNTA(账户总表!$A:$A)),0))</f>
        <v/>
      </c>
      <c r="AO53" s="1" t="str">
        <f aca="false">IF($A53="","",IF(AN53&gt;INDEX(账户总表!$O:$O,COUNTA(账户总表!$A:$A)),"超限","合规"))</f>
        <v/>
      </c>
      <c r="AP53" s="1" t="str">
        <f aca="false">IF($A53="","",IF(AND(AL53="新标的",INDEX(账户总表!$R:$R,COUNTA(账户总表!$A:$A))&gt;=INDEX(账户总表!$S:$S,COUNTA(账户总表!$A:$A))),"新增受限","可通过"))</f>
        <v/>
      </c>
      <c r="AQ53" s="1" t="str">
        <f aca="false">IF($A53="","",IF(K53&lt;&gt;"核心池","非核心池",IF(OR(AI53="超限",AO53="超限",AP53="新增受限"),"不可加仓","可加仓")))</f>
        <v/>
      </c>
      <c r="AR53" s="1" t="str">
        <f aca="false">IF($A53="","",TRIM(IF(AI53="超限","1手超单股上限；","")&amp;IF(AO53="超限","买后仓位超限；","")&amp;IF(AP53="新增受限","有效持仓数超限；","")&amp;IF(AF53&gt;INDEX(账户总表!$C:$C,COUNTA(账户总表!$A:$A)),"现金不足；","")))</f>
        <v/>
      </c>
      <c r="AS53" s="1" t="str">
        <f aca="false">IF($A53="","",IFERROR(INDEX(候选池历史!$L:$L,MATCH(1,(候选池历史!$B:$B=C53)*(候选池历史!$A:$A=$A53),0)),0))</f>
        <v/>
      </c>
      <c r="AT53" s="1" t="str">
        <f aca="false">IF($A53="","",IF(AS53&gt;=3,"★信号强化",IF(K53="核心池","核心观察","")))</f>
        <v/>
      </c>
      <c r="AU53" s="1" t="str">
        <f aca="false">IF($A53="","",IF(AK53&gt;30000-INDEX(账户总表!$B:$B,COUNTA(账户总表!$A:$A)),"不适合婴儿阶段","可纳入幼儿路径"))</f>
        <v/>
      </c>
    </row>
    <row r="54" customFormat="false" ht="15" hidden="false" customHeight="true" outlineLevel="0" collapsed="false">
      <c r="A54" s="70"/>
      <c r="B54" s="71"/>
      <c r="C54" s="72"/>
      <c r="D54" s="73"/>
      <c r="E54" s="73"/>
      <c r="F54" s="73"/>
      <c r="G54" s="74"/>
      <c r="H54" s="72"/>
      <c r="I54" s="72"/>
      <c r="J54" s="71"/>
      <c r="K54" s="75" t="str">
        <f aca="false">IF($A54="","",IF(AND(G54&lt;45%,H54&gt;=0.9),"A",IF(AND(G54&lt;60%,H54&gt;0.8),"B","C")))</f>
        <v/>
      </c>
      <c r="L54" s="75" t="str">
        <f aca="false">IF($A54="","",IF(AND(G54&lt;60%,H54&gt;0.8,I54="True"),"是","否"))</f>
        <v/>
      </c>
      <c r="M54" s="75" t="str">
        <f aca="false">IF($A54="","",IF(AND(D54&gt;0,E54&gt;0,D54&lt;=E54*1.02),"是","否"))</f>
        <v/>
      </c>
      <c r="N54" s="76" t="n">
        <f aca="false">IFERROR(INDEX(账户总表!$O:$O,COUNTA(账户总表!$A:$A)),0)</f>
        <v>0.35</v>
      </c>
      <c r="O54" s="77" t="n">
        <f aca="false">IFERROR(INDEX(账户总表!$B:$B,COUNTA(账户总表!$A:$A))*N54,0)</f>
        <v>7294.812</v>
      </c>
      <c r="P54" s="78" t="n">
        <f aca="false">IFERROR(O54/D54,0)</f>
        <v>0</v>
      </c>
      <c r="Q54" s="78" t="n">
        <f aca="false">IFERROR(FLOOR(P54,100),0)</f>
        <v>0</v>
      </c>
      <c r="R54" s="78" t="n">
        <f aca="false">IFERROR(CEILING(800/(100*D54),1)*100,0)</f>
        <v>0</v>
      </c>
      <c r="S54" s="79"/>
      <c r="T54" s="77" t="n">
        <f aca="false">IFERROR(S54*D54,0)</f>
        <v>0</v>
      </c>
      <c r="U54" s="76" t="n">
        <f aca="false">IFERROR(T54/INDEX(账户总表!$B:$B,COUNTA(账户总表!$A:$A)),0)</f>
        <v>0</v>
      </c>
      <c r="V54" s="76" t="n">
        <f aca="false">IFERROR(INDEX(账户总表!$E:$E,COUNTA(账户总表!$A:$A))+U54,0)</f>
        <v>0.407056412146057</v>
      </c>
      <c r="W54" s="75" t="str">
        <f aca="false">IF($A54="","",IFERROR(IF(V54&lt;=INDEX(账户总表!$N:$N,COUNTA(账户总表!$A:$A)),"是","否"),"否"))</f>
        <v/>
      </c>
      <c r="X54" s="77" t="str">
        <f aca="false">IF($A54="","",MAX(F54*0.98,D54*0.92))</f>
        <v/>
      </c>
      <c r="Y54" s="72"/>
      <c r="Z54" s="75" t="str">
        <f aca="false">IF($A54="","",IFERROR(IF(AND(T54&gt;INDEX(账户总表!$C:$C,COUNTA(账户总表!$A:$A)),L54="是"),"是","否"),"否"))</f>
        <v/>
      </c>
      <c r="AA54" s="77" t="str">
        <f aca="false">IF($A54="","",IFERROR(IF(Z54="是",MAX(0,T54-INDEX(账户总表!$C:$C,COUNTA(账户总表!$A:$A)),IF(N54&gt;0,T54/N54-INDEX(账户总表!$B:$B,COUNTA(账户总表!$A:$A)),0)),0),0))</f>
        <v/>
      </c>
      <c r="AB54" s="77" t="str">
        <f aca="false">IF($A54="","",IF(AND(Z54="是",INDEX(账户总表!$U:$U,COUNTA(账户总表!$A:$A))="是"),IF(INDEX(账户总表!$L:$L,COUNTA(账户总表!$A:$A))&gt;=4,AA54*1.5,AA54),0))</f>
        <v/>
      </c>
      <c r="AC54" s="75" t="str">
        <f aca="false">IF($A54="","",IF(AND(L54="是",Q54&gt;=R54,S54&lt;=Q54,S54&gt;=R54,W54="是",X54&gt;0,M54="是",INDEX(账户总表!$M:$M,COUNTA(账户总表!$A:$A))&lt;=2,INDEX(账户总表!$V:$V,COUNTA(账户总表!$A:$A))="是",OR(T54&lt;=INDEX(账户总表!$C:$C,COUNTA(账户总表!$A:$A)),AND(Z54="是",INDEX(账户总表!$U:$U,COUNTA(账户总表!$A:$A))="是",AB54&gt;0))),"是","否"))</f>
        <v/>
      </c>
      <c r="AD54" s="75" t="str">
        <f aca="false">IF($A54="","",IF(L54&lt;&gt;"是","信号未确认",IF(X54&lt;=0,"止损价未定义",IF(Q54&lt;R54,"100股约束不满足",IF(S54&gt;Q54,"计划股数超单股上限",IF(S54&lt;R54,"计划股数低于最小门槛",IF(W54&lt;&gt;"是","总仓位超限",IF(M54&lt;&gt;"是","追价",IF(INDEX(账户总表!$M:$M,COUNTA(账户总表!$A:$A))&gt;2,"亏钱效应偏高",IF(INDEX(账户总表!$V:$V,COUNTA(账户总表!$A:$A))&lt;&gt;"是","账户不允许新开仓",IF(AND(T54&gt;INDEX(账户总表!$C:$C,COUNTA(账户总表!$A:$A)),INDEX(账户总表!$U:$U,COUNTA(账户总表!$A:$A))&lt;&gt;"是"),"现金不足且不允许转入",IF(AND(Z54="是",AB54&lt;=0),"转入金额未满足",""))))))))))))</f>
        <v/>
      </c>
      <c r="AE54" s="71"/>
      <c r="AF54" s="1" t="str">
        <f aca="false">IF($A54="","",D54*100)</f>
        <v/>
      </c>
      <c r="AG54" s="1" t="str">
        <f aca="false">IF($A54="","",IFERROR(AF54/INDEX(账户总表!$B:$B,COUNTA(账户总表!$A:$A)),0))</f>
        <v/>
      </c>
      <c r="AH54" s="1" t="str">
        <f aca="false">IF($A54="","",IFERROR(INDEX(账户总表!$B:$B,COUNTA(账户总表!$A:$A))*INDEX(账户总表!$O:$O,COUNTA(账户总表!$A:$A)),0))</f>
        <v/>
      </c>
      <c r="AI54" s="1" t="str">
        <f aca="false">IF($A54="","",IF(AF54&gt;AH54,"超限","合规"))</f>
        <v/>
      </c>
      <c r="AJ54" s="1" t="str">
        <f aca="false">IF($A54="","",IFERROR(AF54/INDEX(账户总表!$O:$O,COUNTA(账户总表!$A:$A)),0))</f>
        <v/>
      </c>
      <c r="AK54" s="1" t="str">
        <f aca="false">IF($A54="","",IFERROR(MAX(0,AJ54-INDEX(账户总表!$B:$B,COUNTA(账户总表!$A:$A)),AF54-INDEX(账户总表!$C:$C,COUNTA(账户总表!$A:$A))),0))</f>
        <v/>
      </c>
      <c r="AL54" s="1" t="str">
        <f aca="false">IF($A54="","",IF(COUNTIF(持仓表!$C$2:$C$201,C54)&gt;0,"已有","新标的"))</f>
        <v/>
      </c>
      <c r="AM54" s="1" t="str">
        <f aca="false">IF($A54="","",IFERROR(SUMIFS(持仓表!$N$2:$N$201,持仓表!$C$2:$C$201,C54,持仓表!$A$2:$A$201,$A54),0))</f>
        <v/>
      </c>
      <c r="AN54" s="1" t="str">
        <f aca="false">IF($A54="","",IFERROR(AM54+AF54/INDEX(账户总表!$B:$B,COUNTA(账户总表!$A:$A)),0))</f>
        <v/>
      </c>
      <c r="AO54" s="1" t="str">
        <f aca="false">IF($A54="","",IF(AN54&gt;INDEX(账户总表!$O:$O,COUNTA(账户总表!$A:$A)),"超限","合规"))</f>
        <v/>
      </c>
      <c r="AP54" s="1" t="str">
        <f aca="false">IF($A54="","",IF(AND(AL54="新标的",INDEX(账户总表!$R:$R,COUNTA(账户总表!$A:$A))&gt;=INDEX(账户总表!$S:$S,COUNTA(账户总表!$A:$A))),"新增受限","可通过"))</f>
        <v/>
      </c>
      <c r="AQ54" s="1" t="str">
        <f aca="false">IF($A54="","",IF(K54&lt;&gt;"核心池","非核心池",IF(OR(AI54="超限",AO54="超限",AP54="新增受限"),"不可加仓","可加仓")))</f>
        <v/>
      </c>
      <c r="AR54" s="1" t="str">
        <f aca="false">IF($A54="","",TRIM(IF(AI54="超限","1手超单股上限；","")&amp;IF(AO54="超限","买后仓位超限；","")&amp;IF(AP54="新增受限","有效持仓数超限；","")&amp;IF(AF54&gt;INDEX(账户总表!$C:$C,COUNTA(账户总表!$A:$A)),"现金不足；","")))</f>
        <v/>
      </c>
      <c r="AS54" s="1" t="str">
        <f aca="false">IF($A54="","",IFERROR(INDEX(候选池历史!$L:$L,MATCH(1,(候选池历史!$B:$B=C54)*(候选池历史!$A:$A=$A54),0)),0))</f>
        <v/>
      </c>
      <c r="AT54" s="1" t="str">
        <f aca="false">IF($A54="","",IF(AS54&gt;=3,"★信号强化",IF(K54="核心池","核心观察","")))</f>
        <v/>
      </c>
      <c r="AU54" s="1" t="str">
        <f aca="false">IF($A54="","",IF(AK54&gt;30000-INDEX(账户总表!$B:$B,COUNTA(账户总表!$A:$A)),"不适合婴儿阶段","可纳入幼儿路径"))</f>
        <v/>
      </c>
    </row>
    <row r="55" customFormat="false" ht="15" hidden="false" customHeight="true" outlineLevel="0" collapsed="false">
      <c r="A55" s="70"/>
      <c r="B55" s="71"/>
      <c r="C55" s="72"/>
      <c r="D55" s="73"/>
      <c r="E55" s="73"/>
      <c r="F55" s="73"/>
      <c r="G55" s="74"/>
      <c r="H55" s="72"/>
      <c r="I55" s="72"/>
      <c r="J55" s="71"/>
      <c r="K55" s="75" t="str">
        <f aca="false">IF($A55="","",IF(AND(G55&lt;45%,H55&gt;=0.9),"A",IF(AND(G55&lt;60%,H55&gt;0.8),"B","C")))</f>
        <v/>
      </c>
      <c r="L55" s="75" t="str">
        <f aca="false">IF($A55="","",IF(AND(G55&lt;60%,H55&gt;0.8,I55="True"),"是","否"))</f>
        <v/>
      </c>
      <c r="M55" s="75" t="str">
        <f aca="false">IF($A55="","",IF(AND(D55&gt;0,E55&gt;0,D55&lt;=E55*1.02),"是","否"))</f>
        <v/>
      </c>
      <c r="N55" s="76" t="n">
        <f aca="false">IFERROR(INDEX(账户总表!$O:$O,COUNTA(账户总表!$A:$A)),0)</f>
        <v>0.35</v>
      </c>
      <c r="O55" s="77" t="n">
        <f aca="false">IFERROR(INDEX(账户总表!$B:$B,COUNTA(账户总表!$A:$A))*N55,0)</f>
        <v>7294.812</v>
      </c>
      <c r="P55" s="78" t="n">
        <f aca="false">IFERROR(O55/D55,0)</f>
        <v>0</v>
      </c>
      <c r="Q55" s="78" t="n">
        <f aca="false">IFERROR(FLOOR(P55,100),0)</f>
        <v>0</v>
      </c>
      <c r="R55" s="78" t="n">
        <f aca="false">IFERROR(CEILING(800/(100*D55),1)*100,0)</f>
        <v>0</v>
      </c>
      <c r="S55" s="79"/>
      <c r="T55" s="77" t="n">
        <f aca="false">IFERROR(S55*D55,0)</f>
        <v>0</v>
      </c>
      <c r="U55" s="76" t="n">
        <f aca="false">IFERROR(T55/INDEX(账户总表!$B:$B,COUNTA(账户总表!$A:$A)),0)</f>
        <v>0</v>
      </c>
      <c r="V55" s="76" t="n">
        <f aca="false">IFERROR(INDEX(账户总表!$E:$E,COUNTA(账户总表!$A:$A))+U55,0)</f>
        <v>0.407056412146057</v>
      </c>
      <c r="W55" s="75" t="str">
        <f aca="false">IF($A55="","",IFERROR(IF(V55&lt;=INDEX(账户总表!$N:$N,COUNTA(账户总表!$A:$A)),"是","否"),"否"))</f>
        <v/>
      </c>
      <c r="X55" s="77" t="str">
        <f aca="false">IF($A55="","",MAX(F55*0.98,D55*0.92))</f>
        <v/>
      </c>
      <c r="Y55" s="72"/>
      <c r="Z55" s="75" t="str">
        <f aca="false">IF($A55="","",IFERROR(IF(AND(T55&gt;INDEX(账户总表!$C:$C,COUNTA(账户总表!$A:$A)),L55="是"),"是","否"),"否"))</f>
        <v/>
      </c>
      <c r="AA55" s="77" t="str">
        <f aca="false">IF($A55="","",IFERROR(IF(Z55="是",MAX(0,T55-INDEX(账户总表!$C:$C,COUNTA(账户总表!$A:$A)),IF(N55&gt;0,T55/N55-INDEX(账户总表!$B:$B,COUNTA(账户总表!$A:$A)),0)),0),0))</f>
        <v/>
      </c>
      <c r="AB55" s="77" t="str">
        <f aca="false">IF($A55="","",IF(AND(Z55="是",INDEX(账户总表!$U:$U,COUNTA(账户总表!$A:$A))="是"),IF(INDEX(账户总表!$L:$L,COUNTA(账户总表!$A:$A))&gt;=4,AA55*1.5,AA55),0))</f>
        <v/>
      </c>
      <c r="AC55" s="75" t="str">
        <f aca="false">IF($A55="","",IF(AND(L55="是",Q55&gt;=R55,S55&lt;=Q55,S55&gt;=R55,W55="是",X55&gt;0,M55="是",INDEX(账户总表!$M:$M,COUNTA(账户总表!$A:$A))&lt;=2,INDEX(账户总表!$V:$V,COUNTA(账户总表!$A:$A))="是",OR(T55&lt;=INDEX(账户总表!$C:$C,COUNTA(账户总表!$A:$A)),AND(Z55="是",INDEX(账户总表!$U:$U,COUNTA(账户总表!$A:$A))="是",AB55&gt;0))),"是","否"))</f>
        <v/>
      </c>
      <c r="AD55" s="75" t="str">
        <f aca="false">IF($A55="","",IF(L55&lt;&gt;"是","信号未确认",IF(X55&lt;=0,"止损价未定义",IF(Q55&lt;R55,"100股约束不满足",IF(S55&gt;Q55,"计划股数超单股上限",IF(S55&lt;R55,"计划股数低于最小门槛",IF(W55&lt;&gt;"是","总仓位超限",IF(M55&lt;&gt;"是","追价",IF(INDEX(账户总表!$M:$M,COUNTA(账户总表!$A:$A))&gt;2,"亏钱效应偏高",IF(INDEX(账户总表!$V:$V,COUNTA(账户总表!$A:$A))&lt;&gt;"是","账户不允许新开仓",IF(AND(T55&gt;INDEX(账户总表!$C:$C,COUNTA(账户总表!$A:$A)),INDEX(账户总表!$U:$U,COUNTA(账户总表!$A:$A))&lt;&gt;"是"),"现金不足且不允许转入",IF(AND(Z55="是",AB55&lt;=0),"转入金额未满足",""))))))))))))</f>
        <v/>
      </c>
      <c r="AE55" s="71"/>
      <c r="AF55" s="1" t="str">
        <f aca="false">IF($A55="","",D55*100)</f>
        <v/>
      </c>
      <c r="AG55" s="1" t="str">
        <f aca="false">IF($A55="","",IFERROR(AF55/INDEX(账户总表!$B:$B,COUNTA(账户总表!$A:$A)),0))</f>
        <v/>
      </c>
      <c r="AH55" s="1" t="str">
        <f aca="false">IF($A55="","",IFERROR(INDEX(账户总表!$B:$B,COUNTA(账户总表!$A:$A))*INDEX(账户总表!$O:$O,COUNTA(账户总表!$A:$A)),0))</f>
        <v/>
      </c>
      <c r="AI55" s="1" t="str">
        <f aca="false">IF($A55="","",IF(AF55&gt;AH55,"超限","合规"))</f>
        <v/>
      </c>
      <c r="AJ55" s="1" t="str">
        <f aca="false">IF($A55="","",IFERROR(AF55/INDEX(账户总表!$O:$O,COUNTA(账户总表!$A:$A)),0))</f>
        <v/>
      </c>
      <c r="AK55" s="1" t="str">
        <f aca="false">IF($A55="","",IFERROR(MAX(0,AJ55-INDEX(账户总表!$B:$B,COUNTA(账户总表!$A:$A)),AF55-INDEX(账户总表!$C:$C,COUNTA(账户总表!$A:$A))),0))</f>
        <v/>
      </c>
      <c r="AL55" s="1" t="str">
        <f aca="false">IF($A55="","",IF(COUNTIF(持仓表!$C$2:$C$201,C55)&gt;0,"已有","新标的"))</f>
        <v/>
      </c>
      <c r="AM55" s="1" t="str">
        <f aca="false">IF($A55="","",IFERROR(SUMIFS(持仓表!$N$2:$N$201,持仓表!$C$2:$C$201,C55,持仓表!$A$2:$A$201,$A55),0))</f>
        <v/>
      </c>
      <c r="AN55" s="1" t="str">
        <f aca="false">IF($A55="","",IFERROR(AM55+AF55/INDEX(账户总表!$B:$B,COUNTA(账户总表!$A:$A)),0))</f>
        <v/>
      </c>
      <c r="AO55" s="1" t="str">
        <f aca="false">IF($A55="","",IF(AN55&gt;INDEX(账户总表!$O:$O,COUNTA(账户总表!$A:$A)),"超限","合规"))</f>
        <v/>
      </c>
      <c r="AP55" s="1" t="str">
        <f aca="false">IF($A55="","",IF(AND(AL55="新标的",INDEX(账户总表!$R:$R,COUNTA(账户总表!$A:$A))&gt;=INDEX(账户总表!$S:$S,COUNTA(账户总表!$A:$A))),"新增受限","可通过"))</f>
        <v/>
      </c>
      <c r="AQ55" s="1" t="str">
        <f aca="false">IF($A55="","",IF(K55&lt;&gt;"核心池","非核心池",IF(OR(AI55="超限",AO55="超限",AP55="新增受限"),"不可加仓","可加仓")))</f>
        <v/>
      </c>
      <c r="AR55" s="1" t="str">
        <f aca="false">IF($A55="","",TRIM(IF(AI55="超限","1手超单股上限；","")&amp;IF(AO55="超限","买后仓位超限；","")&amp;IF(AP55="新增受限","有效持仓数超限；","")&amp;IF(AF55&gt;INDEX(账户总表!$C:$C,COUNTA(账户总表!$A:$A)),"现金不足；","")))</f>
        <v/>
      </c>
      <c r="AS55" s="1" t="str">
        <f aca="false">IF($A55="","",IFERROR(INDEX(候选池历史!$L:$L,MATCH(1,(候选池历史!$B:$B=C55)*(候选池历史!$A:$A=$A55),0)),0))</f>
        <v/>
      </c>
      <c r="AT55" s="1" t="str">
        <f aca="false">IF($A55="","",IF(AS55&gt;=3,"★信号强化",IF(K55="核心池","核心观察","")))</f>
        <v/>
      </c>
      <c r="AU55" s="1" t="str">
        <f aca="false">IF($A55="","",IF(AK55&gt;30000-INDEX(账户总表!$B:$B,COUNTA(账户总表!$A:$A)),"不适合婴儿阶段","可纳入幼儿路径"))</f>
        <v/>
      </c>
    </row>
    <row r="56" customFormat="false" ht="15" hidden="false" customHeight="true" outlineLevel="0" collapsed="false">
      <c r="A56" s="70"/>
      <c r="B56" s="71"/>
      <c r="C56" s="72"/>
      <c r="D56" s="73"/>
      <c r="E56" s="73"/>
      <c r="F56" s="73"/>
      <c r="G56" s="74"/>
      <c r="H56" s="72"/>
      <c r="I56" s="72"/>
      <c r="J56" s="71"/>
      <c r="K56" s="75" t="str">
        <f aca="false">IF($A56="","",IF(AND(G56&lt;45%,H56&gt;=0.9),"A",IF(AND(G56&lt;60%,H56&gt;0.8),"B","C")))</f>
        <v/>
      </c>
      <c r="L56" s="75" t="str">
        <f aca="false">IF($A56="","",IF(AND(G56&lt;60%,H56&gt;0.8,I56="True"),"是","否"))</f>
        <v/>
      </c>
      <c r="M56" s="75" t="str">
        <f aca="false">IF($A56="","",IF(AND(D56&gt;0,E56&gt;0,D56&lt;=E56*1.02),"是","否"))</f>
        <v/>
      </c>
      <c r="N56" s="76" t="n">
        <f aca="false">IFERROR(INDEX(账户总表!$O:$O,COUNTA(账户总表!$A:$A)),0)</f>
        <v>0.35</v>
      </c>
      <c r="O56" s="77" t="n">
        <f aca="false">IFERROR(INDEX(账户总表!$B:$B,COUNTA(账户总表!$A:$A))*N56,0)</f>
        <v>7294.812</v>
      </c>
      <c r="P56" s="78" t="n">
        <f aca="false">IFERROR(O56/D56,0)</f>
        <v>0</v>
      </c>
      <c r="Q56" s="78" t="n">
        <f aca="false">IFERROR(FLOOR(P56,100),0)</f>
        <v>0</v>
      </c>
      <c r="R56" s="78" t="n">
        <f aca="false">IFERROR(CEILING(800/(100*D56),1)*100,0)</f>
        <v>0</v>
      </c>
      <c r="S56" s="79"/>
      <c r="T56" s="77" t="n">
        <f aca="false">IFERROR(S56*D56,0)</f>
        <v>0</v>
      </c>
      <c r="U56" s="76" t="n">
        <f aca="false">IFERROR(T56/INDEX(账户总表!$B:$B,COUNTA(账户总表!$A:$A)),0)</f>
        <v>0</v>
      </c>
      <c r="V56" s="76" t="n">
        <f aca="false">IFERROR(INDEX(账户总表!$E:$E,COUNTA(账户总表!$A:$A))+U56,0)</f>
        <v>0.407056412146057</v>
      </c>
      <c r="W56" s="75" t="str">
        <f aca="false">IF($A56="","",IFERROR(IF(V56&lt;=INDEX(账户总表!$N:$N,COUNTA(账户总表!$A:$A)),"是","否"),"否"))</f>
        <v/>
      </c>
      <c r="X56" s="77" t="str">
        <f aca="false">IF($A56="","",MAX(F56*0.98,D56*0.92))</f>
        <v/>
      </c>
      <c r="Y56" s="72"/>
      <c r="Z56" s="75" t="str">
        <f aca="false">IF($A56="","",IFERROR(IF(AND(T56&gt;INDEX(账户总表!$C:$C,COUNTA(账户总表!$A:$A)),L56="是"),"是","否"),"否"))</f>
        <v/>
      </c>
      <c r="AA56" s="77" t="str">
        <f aca="false">IF($A56="","",IFERROR(IF(Z56="是",MAX(0,T56-INDEX(账户总表!$C:$C,COUNTA(账户总表!$A:$A)),IF(N56&gt;0,T56/N56-INDEX(账户总表!$B:$B,COUNTA(账户总表!$A:$A)),0)),0),0))</f>
        <v/>
      </c>
      <c r="AB56" s="77" t="str">
        <f aca="false">IF($A56="","",IF(AND(Z56="是",INDEX(账户总表!$U:$U,COUNTA(账户总表!$A:$A))="是"),IF(INDEX(账户总表!$L:$L,COUNTA(账户总表!$A:$A))&gt;=4,AA56*1.5,AA56),0))</f>
        <v/>
      </c>
      <c r="AC56" s="75" t="str">
        <f aca="false">IF($A56="","",IF(AND(L56="是",Q56&gt;=R56,S56&lt;=Q56,S56&gt;=R56,W56="是",X56&gt;0,M56="是",INDEX(账户总表!$M:$M,COUNTA(账户总表!$A:$A))&lt;=2,INDEX(账户总表!$V:$V,COUNTA(账户总表!$A:$A))="是",OR(T56&lt;=INDEX(账户总表!$C:$C,COUNTA(账户总表!$A:$A)),AND(Z56="是",INDEX(账户总表!$U:$U,COUNTA(账户总表!$A:$A))="是",AB56&gt;0))),"是","否"))</f>
        <v/>
      </c>
      <c r="AD56" s="75" t="str">
        <f aca="false">IF($A56="","",IF(L56&lt;&gt;"是","信号未确认",IF(X56&lt;=0,"止损价未定义",IF(Q56&lt;R56,"100股约束不满足",IF(S56&gt;Q56,"计划股数超单股上限",IF(S56&lt;R56,"计划股数低于最小门槛",IF(W56&lt;&gt;"是","总仓位超限",IF(M56&lt;&gt;"是","追价",IF(INDEX(账户总表!$M:$M,COUNTA(账户总表!$A:$A))&gt;2,"亏钱效应偏高",IF(INDEX(账户总表!$V:$V,COUNTA(账户总表!$A:$A))&lt;&gt;"是","账户不允许新开仓",IF(AND(T56&gt;INDEX(账户总表!$C:$C,COUNTA(账户总表!$A:$A)),INDEX(账户总表!$U:$U,COUNTA(账户总表!$A:$A))&lt;&gt;"是"),"现金不足且不允许转入",IF(AND(Z56="是",AB56&lt;=0),"转入金额未满足",""))))))))))))</f>
        <v/>
      </c>
      <c r="AE56" s="71"/>
      <c r="AF56" s="1" t="str">
        <f aca="false">IF($A56="","",D56*100)</f>
        <v/>
      </c>
      <c r="AG56" s="1" t="str">
        <f aca="false">IF($A56="","",IFERROR(AF56/INDEX(账户总表!$B:$B,COUNTA(账户总表!$A:$A)),0))</f>
        <v/>
      </c>
      <c r="AH56" s="1" t="str">
        <f aca="false">IF($A56="","",IFERROR(INDEX(账户总表!$B:$B,COUNTA(账户总表!$A:$A))*INDEX(账户总表!$O:$O,COUNTA(账户总表!$A:$A)),0))</f>
        <v/>
      </c>
      <c r="AI56" s="1" t="str">
        <f aca="false">IF($A56="","",IF(AF56&gt;AH56,"超限","合规"))</f>
        <v/>
      </c>
      <c r="AJ56" s="1" t="str">
        <f aca="false">IF($A56="","",IFERROR(AF56/INDEX(账户总表!$O:$O,COUNTA(账户总表!$A:$A)),0))</f>
        <v/>
      </c>
      <c r="AK56" s="1" t="str">
        <f aca="false">IF($A56="","",IFERROR(MAX(0,AJ56-INDEX(账户总表!$B:$B,COUNTA(账户总表!$A:$A)),AF56-INDEX(账户总表!$C:$C,COUNTA(账户总表!$A:$A))),0))</f>
        <v/>
      </c>
      <c r="AL56" s="1" t="str">
        <f aca="false">IF($A56="","",IF(COUNTIF(持仓表!$C$2:$C$201,C56)&gt;0,"已有","新标的"))</f>
        <v/>
      </c>
      <c r="AM56" s="1" t="str">
        <f aca="false">IF($A56="","",IFERROR(SUMIFS(持仓表!$N$2:$N$201,持仓表!$C$2:$C$201,C56,持仓表!$A$2:$A$201,$A56),0))</f>
        <v/>
      </c>
      <c r="AN56" s="1" t="str">
        <f aca="false">IF($A56="","",IFERROR(AM56+AF56/INDEX(账户总表!$B:$B,COUNTA(账户总表!$A:$A)),0))</f>
        <v/>
      </c>
      <c r="AO56" s="1" t="str">
        <f aca="false">IF($A56="","",IF(AN56&gt;INDEX(账户总表!$O:$O,COUNTA(账户总表!$A:$A)),"超限","合规"))</f>
        <v/>
      </c>
      <c r="AP56" s="1" t="str">
        <f aca="false">IF($A56="","",IF(AND(AL56="新标的",INDEX(账户总表!$R:$R,COUNTA(账户总表!$A:$A))&gt;=INDEX(账户总表!$S:$S,COUNTA(账户总表!$A:$A))),"新增受限","可通过"))</f>
        <v/>
      </c>
      <c r="AQ56" s="1" t="str">
        <f aca="false">IF($A56="","",IF(K56&lt;&gt;"核心池","非核心池",IF(OR(AI56="超限",AO56="超限",AP56="新增受限"),"不可加仓","可加仓")))</f>
        <v/>
      </c>
      <c r="AR56" s="1" t="str">
        <f aca="false">IF($A56="","",TRIM(IF(AI56="超限","1手超单股上限；","")&amp;IF(AO56="超限","买后仓位超限；","")&amp;IF(AP56="新增受限","有效持仓数超限；","")&amp;IF(AF56&gt;INDEX(账户总表!$C:$C,COUNTA(账户总表!$A:$A)),"现金不足；","")))</f>
        <v/>
      </c>
      <c r="AS56" s="1" t="str">
        <f aca="false">IF($A56="","",IFERROR(INDEX(候选池历史!$L:$L,MATCH(1,(候选池历史!$B:$B=C56)*(候选池历史!$A:$A=$A56),0)),0))</f>
        <v/>
      </c>
      <c r="AT56" s="1" t="str">
        <f aca="false">IF($A56="","",IF(AS56&gt;=3,"★信号强化",IF(K56="核心池","核心观察","")))</f>
        <v/>
      </c>
      <c r="AU56" s="1" t="str">
        <f aca="false">IF($A56="","",IF(AK56&gt;30000-INDEX(账户总表!$B:$B,COUNTA(账户总表!$A:$A)),"不适合婴儿阶段","可纳入幼儿路径"))</f>
        <v/>
      </c>
    </row>
    <row r="57" customFormat="false" ht="15" hidden="false" customHeight="true" outlineLevel="0" collapsed="false">
      <c r="A57" s="70"/>
      <c r="B57" s="71"/>
      <c r="C57" s="72"/>
      <c r="D57" s="73"/>
      <c r="E57" s="73"/>
      <c r="F57" s="73"/>
      <c r="G57" s="74"/>
      <c r="H57" s="72"/>
      <c r="I57" s="72"/>
      <c r="J57" s="71"/>
      <c r="K57" s="75" t="str">
        <f aca="false">IF($A57="","",IF(AND(G57&lt;45%,H57&gt;=0.9),"A",IF(AND(G57&lt;60%,H57&gt;0.8),"B","C")))</f>
        <v/>
      </c>
      <c r="L57" s="75" t="str">
        <f aca="false">IF($A57="","",IF(AND(G57&lt;60%,H57&gt;0.8,I57="True"),"是","否"))</f>
        <v/>
      </c>
      <c r="M57" s="75" t="str">
        <f aca="false">IF($A57="","",IF(AND(D57&gt;0,E57&gt;0,D57&lt;=E57*1.02),"是","否"))</f>
        <v/>
      </c>
      <c r="N57" s="76" t="n">
        <f aca="false">IFERROR(INDEX(账户总表!$O:$O,COUNTA(账户总表!$A:$A)),0)</f>
        <v>0.35</v>
      </c>
      <c r="O57" s="77" t="n">
        <f aca="false">IFERROR(INDEX(账户总表!$B:$B,COUNTA(账户总表!$A:$A))*N57,0)</f>
        <v>7294.812</v>
      </c>
      <c r="P57" s="78" t="n">
        <f aca="false">IFERROR(O57/D57,0)</f>
        <v>0</v>
      </c>
      <c r="Q57" s="78" t="n">
        <f aca="false">IFERROR(FLOOR(P57,100),0)</f>
        <v>0</v>
      </c>
      <c r="R57" s="78" t="n">
        <f aca="false">IFERROR(CEILING(800/(100*D57),1)*100,0)</f>
        <v>0</v>
      </c>
      <c r="S57" s="79"/>
      <c r="T57" s="77" t="n">
        <f aca="false">IFERROR(S57*D57,0)</f>
        <v>0</v>
      </c>
      <c r="U57" s="76" t="n">
        <f aca="false">IFERROR(T57/INDEX(账户总表!$B:$B,COUNTA(账户总表!$A:$A)),0)</f>
        <v>0</v>
      </c>
      <c r="V57" s="76" t="n">
        <f aca="false">IFERROR(INDEX(账户总表!$E:$E,COUNTA(账户总表!$A:$A))+U57,0)</f>
        <v>0.407056412146057</v>
      </c>
      <c r="W57" s="75" t="str">
        <f aca="false">IF($A57="","",IFERROR(IF(V57&lt;=INDEX(账户总表!$N:$N,COUNTA(账户总表!$A:$A)),"是","否"),"否"))</f>
        <v/>
      </c>
      <c r="X57" s="77" t="str">
        <f aca="false">IF($A57="","",MAX(F57*0.98,D57*0.92))</f>
        <v/>
      </c>
      <c r="Y57" s="72"/>
      <c r="Z57" s="75" t="str">
        <f aca="false">IF($A57="","",IFERROR(IF(AND(T57&gt;INDEX(账户总表!$C:$C,COUNTA(账户总表!$A:$A)),L57="是"),"是","否"),"否"))</f>
        <v/>
      </c>
      <c r="AA57" s="77" t="str">
        <f aca="false">IF($A57="","",IFERROR(IF(Z57="是",MAX(0,T57-INDEX(账户总表!$C:$C,COUNTA(账户总表!$A:$A)),IF(N57&gt;0,T57/N57-INDEX(账户总表!$B:$B,COUNTA(账户总表!$A:$A)),0)),0),0))</f>
        <v/>
      </c>
      <c r="AB57" s="77" t="str">
        <f aca="false">IF($A57="","",IF(AND(Z57="是",INDEX(账户总表!$U:$U,COUNTA(账户总表!$A:$A))="是"),IF(INDEX(账户总表!$L:$L,COUNTA(账户总表!$A:$A))&gt;=4,AA57*1.5,AA57),0))</f>
        <v/>
      </c>
      <c r="AC57" s="75" t="str">
        <f aca="false">IF($A57="","",IF(AND(L57="是",Q57&gt;=R57,S57&lt;=Q57,S57&gt;=R57,W57="是",X57&gt;0,M57="是",INDEX(账户总表!$M:$M,COUNTA(账户总表!$A:$A))&lt;=2,INDEX(账户总表!$V:$V,COUNTA(账户总表!$A:$A))="是",OR(T57&lt;=INDEX(账户总表!$C:$C,COUNTA(账户总表!$A:$A)),AND(Z57="是",INDEX(账户总表!$U:$U,COUNTA(账户总表!$A:$A))="是",AB57&gt;0))),"是","否"))</f>
        <v/>
      </c>
      <c r="AD57" s="75" t="str">
        <f aca="false">IF($A57="","",IF(L57&lt;&gt;"是","信号未确认",IF(X57&lt;=0,"止损价未定义",IF(Q57&lt;R57,"100股约束不满足",IF(S57&gt;Q57,"计划股数超单股上限",IF(S57&lt;R57,"计划股数低于最小门槛",IF(W57&lt;&gt;"是","总仓位超限",IF(M57&lt;&gt;"是","追价",IF(INDEX(账户总表!$M:$M,COUNTA(账户总表!$A:$A))&gt;2,"亏钱效应偏高",IF(INDEX(账户总表!$V:$V,COUNTA(账户总表!$A:$A))&lt;&gt;"是","账户不允许新开仓",IF(AND(T57&gt;INDEX(账户总表!$C:$C,COUNTA(账户总表!$A:$A)),INDEX(账户总表!$U:$U,COUNTA(账户总表!$A:$A))&lt;&gt;"是"),"现金不足且不允许转入",IF(AND(Z57="是",AB57&lt;=0),"转入金额未满足",""))))))))))))</f>
        <v/>
      </c>
      <c r="AE57" s="71"/>
      <c r="AF57" s="1" t="str">
        <f aca="false">IF($A57="","",D57*100)</f>
        <v/>
      </c>
      <c r="AG57" s="1" t="str">
        <f aca="false">IF($A57="","",IFERROR(AF57/INDEX(账户总表!$B:$B,COUNTA(账户总表!$A:$A)),0))</f>
        <v/>
      </c>
      <c r="AH57" s="1" t="str">
        <f aca="false">IF($A57="","",IFERROR(INDEX(账户总表!$B:$B,COUNTA(账户总表!$A:$A))*INDEX(账户总表!$O:$O,COUNTA(账户总表!$A:$A)),0))</f>
        <v/>
      </c>
      <c r="AI57" s="1" t="str">
        <f aca="false">IF($A57="","",IF(AF57&gt;AH57,"超限","合规"))</f>
        <v/>
      </c>
      <c r="AJ57" s="1" t="str">
        <f aca="false">IF($A57="","",IFERROR(AF57/INDEX(账户总表!$O:$O,COUNTA(账户总表!$A:$A)),0))</f>
        <v/>
      </c>
      <c r="AK57" s="1" t="str">
        <f aca="false">IF($A57="","",IFERROR(MAX(0,AJ57-INDEX(账户总表!$B:$B,COUNTA(账户总表!$A:$A)),AF57-INDEX(账户总表!$C:$C,COUNTA(账户总表!$A:$A))),0))</f>
        <v/>
      </c>
      <c r="AL57" s="1" t="str">
        <f aca="false">IF($A57="","",IF(COUNTIF(持仓表!$C$2:$C$201,C57)&gt;0,"已有","新标的"))</f>
        <v/>
      </c>
      <c r="AM57" s="1" t="str">
        <f aca="false">IF($A57="","",IFERROR(SUMIFS(持仓表!$N$2:$N$201,持仓表!$C$2:$C$201,C57,持仓表!$A$2:$A$201,$A57),0))</f>
        <v/>
      </c>
      <c r="AN57" s="1" t="str">
        <f aca="false">IF($A57="","",IFERROR(AM57+AF57/INDEX(账户总表!$B:$B,COUNTA(账户总表!$A:$A)),0))</f>
        <v/>
      </c>
      <c r="AO57" s="1" t="str">
        <f aca="false">IF($A57="","",IF(AN57&gt;INDEX(账户总表!$O:$O,COUNTA(账户总表!$A:$A)),"超限","合规"))</f>
        <v/>
      </c>
      <c r="AP57" s="1" t="str">
        <f aca="false">IF($A57="","",IF(AND(AL57="新标的",INDEX(账户总表!$R:$R,COUNTA(账户总表!$A:$A))&gt;=INDEX(账户总表!$S:$S,COUNTA(账户总表!$A:$A))),"新增受限","可通过"))</f>
        <v/>
      </c>
      <c r="AQ57" s="1" t="str">
        <f aca="false">IF($A57="","",IF(K57&lt;&gt;"核心池","非核心池",IF(OR(AI57="超限",AO57="超限",AP57="新增受限"),"不可加仓","可加仓")))</f>
        <v/>
      </c>
      <c r="AR57" s="1" t="str">
        <f aca="false">IF($A57="","",TRIM(IF(AI57="超限","1手超单股上限；","")&amp;IF(AO57="超限","买后仓位超限；","")&amp;IF(AP57="新增受限","有效持仓数超限；","")&amp;IF(AF57&gt;INDEX(账户总表!$C:$C,COUNTA(账户总表!$A:$A)),"现金不足；","")))</f>
        <v/>
      </c>
      <c r="AS57" s="1" t="str">
        <f aca="false">IF($A57="","",IFERROR(INDEX(候选池历史!$L:$L,MATCH(1,(候选池历史!$B:$B=C57)*(候选池历史!$A:$A=$A57),0)),0))</f>
        <v/>
      </c>
      <c r="AT57" s="1" t="str">
        <f aca="false">IF($A57="","",IF(AS57&gt;=3,"★信号强化",IF(K57="核心池","核心观察","")))</f>
        <v/>
      </c>
      <c r="AU57" s="1" t="str">
        <f aca="false">IF($A57="","",IF(AK57&gt;30000-INDEX(账户总表!$B:$B,COUNTA(账户总表!$A:$A)),"不适合婴儿阶段","可纳入幼儿路径"))</f>
        <v/>
      </c>
    </row>
    <row r="58" customFormat="false" ht="15" hidden="false" customHeight="true" outlineLevel="0" collapsed="false">
      <c r="A58" s="70"/>
      <c r="B58" s="71"/>
      <c r="C58" s="72"/>
      <c r="D58" s="73"/>
      <c r="E58" s="73"/>
      <c r="F58" s="73"/>
      <c r="G58" s="74"/>
      <c r="H58" s="72"/>
      <c r="I58" s="72"/>
      <c r="J58" s="71"/>
      <c r="K58" s="75" t="str">
        <f aca="false">IF($A58="","",IF(AND(G58&lt;45%,H58&gt;=0.9),"A",IF(AND(G58&lt;60%,H58&gt;0.8),"B","C")))</f>
        <v/>
      </c>
      <c r="L58" s="75" t="str">
        <f aca="false">IF($A58="","",IF(AND(G58&lt;60%,H58&gt;0.8,I58="True"),"是","否"))</f>
        <v/>
      </c>
      <c r="M58" s="75" t="str">
        <f aca="false">IF($A58="","",IF(AND(D58&gt;0,E58&gt;0,D58&lt;=E58*1.02),"是","否"))</f>
        <v/>
      </c>
      <c r="N58" s="76" t="n">
        <f aca="false">IFERROR(INDEX(账户总表!$O:$O,COUNTA(账户总表!$A:$A)),0)</f>
        <v>0.35</v>
      </c>
      <c r="O58" s="77" t="n">
        <f aca="false">IFERROR(INDEX(账户总表!$B:$B,COUNTA(账户总表!$A:$A))*N58,0)</f>
        <v>7294.812</v>
      </c>
      <c r="P58" s="78" t="n">
        <f aca="false">IFERROR(O58/D58,0)</f>
        <v>0</v>
      </c>
      <c r="Q58" s="78" t="n">
        <f aca="false">IFERROR(FLOOR(P58,100),0)</f>
        <v>0</v>
      </c>
      <c r="R58" s="78" t="n">
        <f aca="false">IFERROR(CEILING(800/(100*D58),1)*100,0)</f>
        <v>0</v>
      </c>
      <c r="S58" s="79"/>
      <c r="T58" s="77" t="n">
        <f aca="false">IFERROR(S58*D58,0)</f>
        <v>0</v>
      </c>
      <c r="U58" s="76" t="n">
        <f aca="false">IFERROR(T58/INDEX(账户总表!$B:$B,COUNTA(账户总表!$A:$A)),0)</f>
        <v>0</v>
      </c>
      <c r="V58" s="76" t="n">
        <f aca="false">IFERROR(INDEX(账户总表!$E:$E,COUNTA(账户总表!$A:$A))+U58,0)</f>
        <v>0.407056412146057</v>
      </c>
      <c r="W58" s="75" t="str">
        <f aca="false">IF($A58="","",IFERROR(IF(V58&lt;=INDEX(账户总表!$N:$N,COUNTA(账户总表!$A:$A)),"是","否"),"否"))</f>
        <v/>
      </c>
      <c r="X58" s="77" t="str">
        <f aca="false">IF($A58="","",MAX(F58*0.98,D58*0.92))</f>
        <v/>
      </c>
      <c r="Y58" s="72"/>
      <c r="Z58" s="75" t="str">
        <f aca="false">IF($A58="","",IFERROR(IF(AND(T58&gt;INDEX(账户总表!$C:$C,COUNTA(账户总表!$A:$A)),L58="是"),"是","否"),"否"))</f>
        <v/>
      </c>
      <c r="AA58" s="77" t="str">
        <f aca="false">IF($A58="","",IFERROR(IF(Z58="是",MAX(0,T58-INDEX(账户总表!$C:$C,COUNTA(账户总表!$A:$A)),IF(N58&gt;0,T58/N58-INDEX(账户总表!$B:$B,COUNTA(账户总表!$A:$A)),0)),0),0))</f>
        <v/>
      </c>
      <c r="AB58" s="77" t="str">
        <f aca="false">IF($A58="","",IF(AND(Z58="是",INDEX(账户总表!$U:$U,COUNTA(账户总表!$A:$A))="是"),IF(INDEX(账户总表!$L:$L,COUNTA(账户总表!$A:$A))&gt;=4,AA58*1.5,AA58),0))</f>
        <v/>
      </c>
      <c r="AC58" s="75" t="str">
        <f aca="false">IF($A58="","",IF(AND(L58="是",Q58&gt;=R58,S58&lt;=Q58,S58&gt;=R58,W58="是",X58&gt;0,M58="是",INDEX(账户总表!$M:$M,COUNTA(账户总表!$A:$A))&lt;=2,INDEX(账户总表!$V:$V,COUNTA(账户总表!$A:$A))="是",OR(T58&lt;=INDEX(账户总表!$C:$C,COUNTA(账户总表!$A:$A)),AND(Z58="是",INDEX(账户总表!$U:$U,COUNTA(账户总表!$A:$A))="是",AB58&gt;0))),"是","否"))</f>
        <v/>
      </c>
      <c r="AD58" s="75" t="str">
        <f aca="false">IF($A58="","",IF(L58&lt;&gt;"是","信号未确认",IF(X58&lt;=0,"止损价未定义",IF(Q58&lt;R58,"100股约束不满足",IF(S58&gt;Q58,"计划股数超单股上限",IF(S58&lt;R58,"计划股数低于最小门槛",IF(W58&lt;&gt;"是","总仓位超限",IF(M58&lt;&gt;"是","追价",IF(INDEX(账户总表!$M:$M,COUNTA(账户总表!$A:$A))&gt;2,"亏钱效应偏高",IF(INDEX(账户总表!$V:$V,COUNTA(账户总表!$A:$A))&lt;&gt;"是","账户不允许新开仓",IF(AND(T58&gt;INDEX(账户总表!$C:$C,COUNTA(账户总表!$A:$A)),INDEX(账户总表!$U:$U,COUNTA(账户总表!$A:$A))&lt;&gt;"是"),"现金不足且不允许转入",IF(AND(Z58="是",AB58&lt;=0),"转入金额未满足",""))))))))))))</f>
        <v/>
      </c>
      <c r="AE58" s="71"/>
      <c r="AF58" s="1" t="str">
        <f aca="false">IF($A58="","",D58*100)</f>
        <v/>
      </c>
      <c r="AG58" s="1" t="str">
        <f aca="false">IF($A58="","",IFERROR(AF58/INDEX(账户总表!$B:$B,COUNTA(账户总表!$A:$A)),0))</f>
        <v/>
      </c>
      <c r="AH58" s="1" t="str">
        <f aca="false">IF($A58="","",IFERROR(INDEX(账户总表!$B:$B,COUNTA(账户总表!$A:$A))*INDEX(账户总表!$O:$O,COUNTA(账户总表!$A:$A)),0))</f>
        <v/>
      </c>
      <c r="AI58" s="1" t="str">
        <f aca="false">IF($A58="","",IF(AF58&gt;AH58,"超限","合规"))</f>
        <v/>
      </c>
      <c r="AJ58" s="1" t="str">
        <f aca="false">IF($A58="","",IFERROR(AF58/INDEX(账户总表!$O:$O,COUNTA(账户总表!$A:$A)),0))</f>
        <v/>
      </c>
      <c r="AK58" s="1" t="str">
        <f aca="false">IF($A58="","",IFERROR(MAX(0,AJ58-INDEX(账户总表!$B:$B,COUNTA(账户总表!$A:$A)),AF58-INDEX(账户总表!$C:$C,COUNTA(账户总表!$A:$A))),0))</f>
        <v/>
      </c>
      <c r="AL58" s="1" t="str">
        <f aca="false">IF($A58="","",IF(COUNTIF(持仓表!$C$2:$C$201,C58)&gt;0,"已有","新标的"))</f>
        <v/>
      </c>
      <c r="AM58" s="1" t="str">
        <f aca="false">IF($A58="","",IFERROR(SUMIFS(持仓表!$N$2:$N$201,持仓表!$C$2:$C$201,C58,持仓表!$A$2:$A$201,$A58),0))</f>
        <v/>
      </c>
      <c r="AN58" s="1" t="str">
        <f aca="false">IF($A58="","",IFERROR(AM58+AF58/INDEX(账户总表!$B:$B,COUNTA(账户总表!$A:$A)),0))</f>
        <v/>
      </c>
      <c r="AO58" s="1" t="str">
        <f aca="false">IF($A58="","",IF(AN58&gt;INDEX(账户总表!$O:$O,COUNTA(账户总表!$A:$A)),"超限","合规"))</f>
        <v/>
      </c>
      <c r="AP58" s="1" t="str">
        <f aca="false">IF($A58="","",IF(AND(AL58="新标的",INDEX(账户总表!$R:$R,COUNTA(账户总表!$A:$A))&gt;=INDEX(账户总表!$S:$S,COUNTA(账户总表!$A:$A))),"新增受限","可通过"))</f>
        <v/>
      </c>
      <c r="AQ58" s="1" t="str">
        <f aca="false">IF($A58="","",IF(K58&lt;&gt;"核心池","非核心池",IF(OR(AI58="超限",AO58="超限",AP58="新增受限"),"不可加仓","可加仓")))</f>
        <v/>
      </c>
      <c r="AR58" s="1" t="str">
        <f aca="false">IF($A58="","",TRIM(IF(AI58="超限","1手超单股上限；","")&amp;IF(AO58="超限","买后仓位超限；","")&amp;IF(AP58="新增受限","有效持仓数超限；","")&amp;IF(AF58&gt;INDEX(账户总表!$C:$C,COUNTA(账户总表!$A:$A)),"现金不足；","")))</f>
        <v/>
      </c>
      <c r="AS58" s="1" t="str">
        <f aca="false">IF($A58="","",IFERROR(INDEX(候选池历史!$L:$L,MATCH(1,(候选池历史!$B:$B=C58)*(候选池历史!$A:$A=$A58),0)),0))</f>
        <v/>
      </c>
      <c r="AT58" s="1" t="str">
        <f aca="false">IF($A58="","",IF(AS58&gt;=3,"★信号强化",IF(K58="核心池","核心观察","")))</f>
        <v/>
      </c>
      <c r="AU58" s="1" t="str">
        <f aca="false">IF($A58="","",IF(AK58&gt;30000-INDEX(账户总表!$B:$B,COUNTA(账户总表!$A:$A)),"不适合婴儿阶段","可纳入幼儿路径"))</f>
        <v/>
      </c>
    </row>
    <row r="59" customFormat="false" ht="15" hidden="false" customHeight="true" outlineLevel="0" collapsed="false">
      <c r="A59" s="70"/>
      <c r="B59" s="71"/>
      <c r="C59" s="72"/>
      <c r="D59" s="73"/>
      <c r="E59" s="73"/>
      <c r="F59" s="73"/>
      <c r="G59" s="74"/>
      <c r="H59" s="72"/>
      <c r="I59" s="72"/>
      <c r="J59" s="71"/>
      <c r="K59" s="75" t="str">
        <f aca="false">IF($A59="","",IF(AND(G59&lt;45%,H59&gt;=0.9),"A",IF(AND(G59&lt;60%,H59&gt;0.8),"B","C")))</f>
        <v/>
      </c>
      <c r="L59" s="75" t="str">
        <f aca="false">IF($A59="","",IF(AND(G59&lt;60%,H59&gt;0.8,I59="True"),"是","否"))</f>
        <v/>
      </c>
      <c r="M59" s="75" t="str">
        <f aca="false">IF($A59="","",IF(AND(D59&gt;0,E59&gt;0,D59&lt;=E59*1.02),"是","否"))</f>
        <v/>
      </c>
      <c r="N59" s="76" t="n">
        <f aca="false">IFERROR(INDEX(账户总表!$O:$O,COUNTA(账户总表!$A:$A)),0)</f>
        <v>0.35</v>
      </c>
      <c r="O59" s="77" t="n">
        <f aca="false">IFERROR(INDEX(账户总表!$B:$B,COUNTA(账户总表!$A:$A))*N59,0)</f>
        <v>7294.812</v>
      </c>
      <c r="P59" s="78" t="n">
        <f aca="false">IFERROR(O59/D59,0)</f>
        <v>0</v>
      </c>
      <c r="Q59" s="78" t="n">
        <f aca="false">IFERROR(FLOOR(P59,100),0)</f>
        <v>0</v>
      </c>
      <c r="R59" s="78" t="n">
        <f aca="false">IFERROR(CEILING(800/(100*D59),1)*100,0)</f>
        <v>0</v>
      </c>
      <c r="S59" s="79"/>
      <c r="T59" s="77" t="n">
        <f aca="false">IFERROR(S59*D59,0)</f>
        <v>0</v>
      </c>
      <c r="U59" s="76" t="n">
        <f aca="false">IFERROR(T59/INDEX(账户总表!$B:$B,COUNTA(账户总表!$A:$A)),0)</f>
        <v>0</v>
      </c>
      <c r="V59" s="76" t="n">
        <f aca="false">IFERROR(INDEX(账户总表!$E:$E,COUNTA(账户总表!$A:$A))+U59,0)</f>
        <v>0.407056412146057</v>
      </c>
      <c r="W59" s="75" t="str">
        <f aca="false">IF($A59="","",IFERROR(IF(V59&lt;=INDEX(账户总表!$N:$N,COUNTA(账户总表!$A:$A)),"是","否"),"否"))</f>
        <v/>
      </c>
      <c r="X59" s="77" t="str">
        <f aca="false">IF($A59="","",MAX(F59*0.98,D59*0.92))</f>
        <v/>
      </c>
      <c r="Y59" s="72"/>
      <c r="Z59" s="75" t="str">
        <f aca="false">IF($A59="","",IFERROR(IF(AND(T59&gt;INDEX(账户总表!$C:$C,COUNTA(账户总表!$A:$A)),L59="是"),"是","否"),"否"))</f>
        <v/>
      </c>
      <c r="AA59" s="77" t="str">
        <f aca="false">IF($A59="","",IFERROR(IF(Z59="是",MAX(0,T59-INDEX(账户总表!$C:$C,COUNTA(账户总表!$A:$A)),IF(N59&gt;0,T59/N59-INDEX(账户总表!$B:$B,COUNTA(账户总表!$A:$A)),0)),0),0))</f>
        <v/>
      </c>
      <c r="AB59" s="77" t="str">
        <f aca="false">IF($A59="","",IF(AND(Z59="是",INDEX(账户总表!$U:$U,COUNTA(账户总表!$A:$A))="是"),IF(INDEX(账户总表!$L:$L,COUNTA(账户总表!$A:$A))&gt;=4,AA59*1.5,AA59),0))</f>
        <v/>
      </c>
      <c r="AC59" s="75" t="str">
        <f aca="false">IF($A59="","",IF(AND(L59="是",Q59&gt;=R59,S59&lt;=Q59,S59&gt;=R59,W59="是",X59&gt;0,M59="是",INDEX(账户总表!$M:$M,COUNTA(账户总表!$A:$A))&lt;=2,INDEX(账户总表!$V:$V,COUNTA(账户总表!$A:$A))="是",OR(T59&lt;=INDEX(账户总表!$C:$C,COUNTA(账户总表!$A:$A)),AND(Z59="是",INDEX(账户总表!$U:$U,COUNTA(账户总表!$A:$A))="是",AB59&gt;0))),"是","否"))</f>
        <v/>
      </c>
      <c r="AD59" s="75" t="str">
        <f aca="false">IF($A59="","",IF(L59&lt;&gt;"是","信号未确认",IF(X59&lt;=0,"止损价未定义",IF(Q59&lt;R59,"100股约束不满足",IF(S59&gt;Q59,"计划股数超单股上限",IF(S59&lt;R59,"计划股数低于最小门槛",IF(W59&lt;&gt;"是","总仓位超限",IF(M59&lt;&gt;"是","追价",IF(INDEX(账户总表!$M:$M,COUNTA(账户总表!$A:$A))&gt;2,"亏钱效应偏高",IF(INDEX(账户总表!$V:$V,COUNTA(账户总表!$A:$A))&lt;&gt;"是","账户不允许新开仓",IF(AND(T59&gt;INDEX(账户总表!$C:$C,COUNTA(账户总表!$A:$A)),INDEX(账户总表!$U:$U,COUNTA(账户总表!$A:$A))&lt;&gt;"是"),"现金不足且不允许转入",IF(AND(Z59="是",AB59&lt;=0),"转入金额未满足",""))))))))))))</f>
        <v/>
      </c>
      <c r="AE59" s="71"/>
      <c r="AF59" s="1" t="str">
        <f aca="false">IF($A59="","",D59*100)</f>
        <v/>
      </c>
      <c r="AG59" s="1" t="str">
        <f aca="false">IF($A59="","",IFERROR(AF59/INDEX(账户总表!$B:$B,COUNTA(账户总表!$A:$A)),0))</f>
        <v/>
      </c>
      <c r="AH59" s="1" t="str">
        <f aca="false">IF($A59="","",IFERROR(INDEX(账户总表!$B:$B,COUNTA(账户总表!$A:$A))*INDEX(账户总表!$O:$O,COUNTA(账户总表!$A:$A)),0))</f>
        <v/>
      </c>
      <c r="AI59" s="1" t="str">
        <f aca="false">IF($A59="","",IF(AF59&gt;AH59,"超限","合规"))</f>
        <v/>
      </c>
      <c r="AJ59" s="1" t="str">
        <f aca="false">IF($A59="","",IFERROR(AF59/INDEX(账户总表!$O:$O,COUNTA(账户总表!$A:$A)),0))</f>
        <v/>
      </c>
      <c r="AK59" s="1" t="str">
        <f aca="false">IF($A59="","",IFERROR(MAX(0,AJ59-INDEX(账户总表!$B:$B,COUNTA(账户总表!$A:$A)),AF59-INDEX(账户总表!$C:$C,COUNTA(账户总表!$A:$A))),0))</f>
        <v/>
      </c>
      <c r="AL59" s="1" t="str">
        <f aca="false">IF($A59="","",IF(COUNTIF(持仓表!$C$2:$C$201,C59)&gt;0,"已有","新标的"))</f>
        <v/>
      </c>
      <c r="AM59" s="1" t="str">
        <f aca="false">IF($A59="","",IFERROR(SUMIFS(持仓表!$N$2:$N$201,持仓表!$C$2:$C$201,C59,持仓表!$A$2:$A$201,$A59),0))</f>
        <v/>
      </c>
      <c r="AN59" s="1" t="str">
        <f aca="false">IF($A59="","",IFERROR(AM59+AF59/INDEX(账户总表!$B:$B,COUNTA(账户总表!$A:$A)),0))</f>
        <v/>
      </c>
      <c r="AO59" s="1" t="str">
        <f aca="false">IF($A59="","",IF(AN59&gt;INDEX(账户总表!$O:$O,COUNTA(账户总表!$A:$A)),"超限","合规"))</f>
        <v/>
      </c>
      <c r="AP59" s="1" t="str">
        <f aca="false">IF($A59="","",IF(AND(AL59="新标的",INDEX(账户总表!$R:$R,COUNTA(账户总表!$A:$A))&gt;=INDEX(账户总表!$S:$S,COUNTA(账户总表!$A:$A))),"新增受限","可通过"))</f>
        <v/>
      </c>
      <c r="AQ59" s="1" t="str">
        <f aca="false">IF($A59="","",IF(K59&lt;&gt;"核心池","非核心池",IF(OR(AI59="超限",AO59="超限",AP59="新增受限"),"不可加仓","可加仓")))</f>
        <v/>
      </c>
      <c r="AR59" s="1" t="str">
        <f aca="false">IF($A59="","",TRIM(IF(AI59="超限","1手超单股上限；","")&amp;IF(AO59="超限","买后仓位超限；","")&amp;IF(AP59="新增受限","有效持仓数超限；","")&amp;IF(AF59&gt;INDEX(账户总表!$C:$C,COUNTA(账户总表!$A:$A)),"现金不足；","")))</f>
        <v/>
      </c>
      <c r="AS59" s="1" t="str">
        <f aca="false">IF($A59="","",IFERROR(INDEX(候选池历史!$L:$L,MATCH(1,(候选池历史!$B:$B=C59)*(候选池历史!$A:$A=$A59),0)),0))</f>
        <v/>
      </c>
      <c r="AT59" s="1" t="str">
        <f aca="false">IF($A59="","",IF(AS59&gt;=3,"★信号强化",IF(K59="核心池","核心观察","")))</f>
        <v/>
      </c>
      <c r="AU59" s="1" t="str">
        <f aca="false">IF($A59="","",IF(AK59&gt;30000-INDEX(账户总表!$B:$B,COUNTA(账户总表!$A:$A)),"不适合婴儿阶段","可纳入幼儿路径"))</f>
        <v/>
      </c>
    </row>
    <row r="60" customFormat="false" ht="15" hidden="false" customHeight="true" outlineLevel="0" collapsed="false">
      <c r="A60" s="70"/>
      <c r="B60" s="71"/>
      <c r="C60" s="72"/>
      <c r="D60" s="73"/>
      <c r="E60" s="73"/>
      <c r="F60" s="73"/>
      <c r="G60" s="74"/>
      <c r="H60" s="72"/>
      <c r="I60" s="72"/>
      <c r="J60" s="71"/>
      <c r="K60" s="75" t="str">
        <f aca="false">IF($A60="","",IF(AND(G60&lt;45%,H60&gt;=0.9),"A",IF(AND(G60&lt;60%,H60&gt;0.8),"B","C")))</f>
        <v/>
      </c>
      <c r="L60" s="75" t="str">
        <f aca="false">IF($A60="","",IF(AND(G60&lt;60%,H60&gt;0.8,I60="True"),"是","否"))</f>
        <v/>
      </c>
      <c r="M60" s="75" t="str">
        <f aca="false">IF($A60="","",IF(AND(D60&gt;0,E60&gt;0,D60&lt;=E60*1.02),"是","否"))</f>
        <v/>
      </c>
      <c r="N60" s="76" t="n">
        <f aca="false">IFERROR(INDEX(账户总表!$O:$O,COUNTA(账户总表!$A:$A)),0)</f>
        <v>0.35</v>
      </c>
      <c r="O60" s="77" t="n">
        <f aca="false">IFERROR(INDEX(账户总表!$B:$B,COUNTA(账户总表!$A:$A))*N60,0)</f>
        <v>7294.812</v>
      </c>
      <c r="P60" s="78" t="n">
        <f aca="false">IFERROR(O60/D60,0)</f>
        <v>0</v>
      </c>
      <c r="Q60" s="78" t="n">
        <f aca="false">IFERROR(FLOOR(P60,100),0)</f>
        <v>0</v>
      </c>
      <c r="R60" s="78" t="n">
        <f aca="false">IFERROR(CEILING(800/(100*D60),1)*100,0)</f>
        <v>0</v>
      </c>
      <c r="S60" s="79"/>
      <c r="T60" s="77" t="n">
        <f aca="false">IFERROR(S60*D60,0)</f>
        <v>0</v>
      </c>
      <c r="U60" s="76" t="n">
        <f aca="false">IFERROR(T60/INDEX(账户总表!$B:$B,COUNTA(账户总表!$A:$A)),0)</f>
        <v>0</v>
      </c>
      <c r="V60" s="76" t="n">
        <f aca="false">IFERROR(INDEX(账户总表!$E:$E,COUNTA(账户总表!$A:$A))+U60,0)</f>
        <v>0.407056412146057</v>
      </c>
      <c r="W60" s="75" t="str">
        <f aca="false">IF($A60="","",IFERROR(IF(V60&lt;=INDEX(账户总表!$N:$N,COUNTA(账户总表!$A:$A)),"是","否"),"否"))</f>
        <v/>
      </c>
      <c r="X60" s="77" t="str">
        <f aca="false">IF($A60="","",MAX(F60*0.98,D60*0.92))</f>
        <v/>
      </c>
      <c r="Y60" s="72"/>
      <c r="Z60" s="75" t="str">
        <f aca="false">IF($A60="","",IFERROR(IF(AND(T60&gt;INDEX(账户总表!$C:$C,COUNTA(账户总表!$A:$A)),L60="是"),"是","否"),"否"))</f>
        <v/>
      </c>
      <c r="AA60" s="77" t="str">
        <f aca="false">IF($A60="","",IFERROR(IF(Z60="是",MAX(0,T60-INDEX(账户总表!$C:$C,COUNTA(账户总表!$A:$A)),IF(N60&gt;0,T60/N60-INDEX(账户总表!$B:$B,COUNTA(账户总表!$A:$A)),0)),0),0))</f>
        <v/>
      </c>
      <c r="AB60" s="77" t="str">
        <f aca="false">IF($A60="","",IF(AND(Z60="是",INDEX(账户总表!$U:$U,COUNTA(账户总表!$A:$A))="是"),IF(INDEX(账户总表!$L:$L,COUNTA(账户总表!$A:$A))&gt;=4,AA60*1.5,AA60),0))</f>
        <v/>
      </c>
      <c r="AC60" s="75" t="str">
        <f aca="false">IF($A60="","",IF(AND(L60="是",Q60&gt;=R60,S60&lt;=Q60,S60&gt;=R60,W60="是",X60&gt;0,M60="是",INDEX(账户总表!$M:$M,COUNTA(账户总表!$A:$A))&lt;=2,INDEX(账户总表!$V:$V,COUNTA(账户总表!$A:$A))="是",OR(T60&lt;=INDEX(账户总表!$C:$C,COUNTA(账户总表!$A:$A)),AND(Z60="是",INDEX(账户总表!$U:$U,COUNTA(账户总表!$A:$A))="是",AB60&gt;0))),"是","否"))</f>
        <v/>
      </c>
      <c r="AD60" s="75" t="str">
        <f aca="false">IF($A60="","",IF(L60&lt;&gt;"是","信号未确认",IF(X60&lt;=0,"止损价未定义",IF(Q60&lt;R60,"100股约束不满足",IF(S60&gt;Q60,"计划股数超单股上限",IF(S60&lt;R60,"计划股数低于最小门槛",IF(W60&lt;&gt;"是","总仓位超限",IF(M60&lt;&gt;"是","追价",IF(INDEX(账户总表!$M:$M,COUNTA(账户总表!$A:$A))&gt;2,"亏钱效应偏高",IF(INDEX(账户总表!$V:$V,COUNTA(账户总表!$A:$A))&lt;&gt;"是","账户不允许新开仓",IF(AND(T60&gt;INDEX(账户总表!$C:$C,COUNTA(账户总表!$A:$A)),INDEX(账户总表!$U:$U,COUNTA(账户总表!$A:$A))&lt;&gt;"是"),"现金不足且不允许转入",IF(AND(Z60="是",AB60&lt;=0),"转入金额未满足",""))))))))))))</f>
        <v/>
      </c>
      <c r="AE60" s="71"/>
      <c r="AF60" s="1" t="str">
        <f aca="false">IF($A60="","",D60*100)</f>
        <v/>
      </c>
      <c r="AG60" s="1" t="str">
        <f aca="false">IF($A60="","",IFERROR(AF60/INDEX(账户总表!$B:$B,COUNTA(账户总表!$A:$A)),0))</f>
        <v/>
      </c>
      <c r="AH60" s="1" t="str">
        <f aca="false">IF($A60="","",IFERROR(INDEX(账户总表!$B:$B,COUNTA(账户总表!$A:$A))*INDEX(账户总表!$O:$O,COUNTA(账户总表!$A:$A)),0))</f>
        <v/>
      </c>
      <c r="AI60" s="1" t="str">
        <f aca="false">IF($A60="","",IF(AF60&gt;AH60,"超限","合规"))</f>
        <v/>
      </c>
      <c r="AJ60" s="1" t="str">
        <f aca="false">IF($A60="","",IFERROR(AF60/INDEX(账户总表!$O:$O,COUNTA(账户总表!$A:$A)),0))</f>
        <v/>
      </c>
      <c r="AK60" s="1" t="str">
        <f aca="false">IF($A60="","",IFERROR(MAX(0,AJ60-INDEX(账户总表!$B:$B,COUNTA(账户总表!$A:$A)),AF60-INDEX(账户总表!$C:$C,COUNTA(账户总表!$A:$A))),0))</f>
        <v/>
      </c>
      <c r="AL60" s="1" t="str">
        <f aca="false">IF($A60="","",IF(COUNTIF(持仓表!$C$2:$C$201,C60)&gt;0,"已有","新标的"))</f>
        <v/>
      </c>
      <c r="AM60" s="1" t="str">
        <f aca="false">IF($A60="","",IFERROR(SUMIFS(持仓表!$N$2:$N$201,持仓表!$C$2:$C$201,C60,持仓表!$A$2:$A$201,$A60),0))</f>
        <v/>
      </c>
      <c r="AN60" s="1" t="str">
        <f aca="false">IF($A60="","",IFERROR(AM60+AF60/INDEX(账户总表!$B:$B,COUNTA(账户总表!$A:$A)),0))</f>
        <v/>
      </c>
      <c r="AO60" s="1" t="str">
        <f aca="false">IF($A60="","",IF(AN60&gt;INDEX(账户总表!$O:$O,COUNTA(账户总表!$A:$A)),"超限","合规"))</f>
        <v/>
      </c>
      <c r="AP60" s="1" t="str">
        <f aca="false">IF($A60="","",IF(AND(AL60="新标的",INDEX(账户总表!$R:$R,COUNTA(账户总表!$A:$A))&gt;=INDEX(账户总表!$S:$S,COUNTA(账户总表!$A:$A))),"新增受限","可通过"))</f>
        <v/>
      </c>
      <c r="AQ60" s="1" t="str">
        <f aca="false">IF($A60="","",IF(K60&lt;&gt;"核心池","非核心池",IF(OR(AI60="超限",AO60="超限",AP60="新增受限"),"不可加仓","可加仓")))</f>
        <v/>
      </c>
      <c r="AR60" s="1" t="str">
        <f aca="false">IF($A60="","",TRIM(IF(AI60="超限","1手超单股上限；","")&amp;IF(AO60="超限","买后仓位超限；","")&amp;IF(AP60="新增受限","有效持仓数超限；","")&amp;IF(AF60&gt;INDEX(账户总表!$C:$C,COUNTA(账户总表!$A:$A)),"现金不足；","")))</f>
        <v/>
      </c>
      <c r="AS60" s="1" t="str">
        <f aca="false">IF($A60="","",IFERROR(INDEX(候选池历史!$L:$L,MATCH(1,(候选池历史!$B:$B=C60)*(候选池历史!$A:$A=$A60),0)),0))</f>
        <v/>
      </c>
      <c r="AT60" s="1" t="str">
        <f aca="false">IF($A60="","",IF(AS60&gt;=3,"★信号强化",IF(K60="核心池","核心观察","")))</f>
        <v/>
      </c>
      <c r="AU60" s="1" t="str">
        <f aca="false">IF($A60="","",IF(AK60&gt;30000-INDEX(账户总表!$B:$B,COUNTA(账户总表!$A:$A)),"不适合婴儿阶段","可纳入幼儿路径"))</f>
        <v/>
      </c>
    </row>
    <row r="61" customFormat="false" ht="15" hidden="false" customHeight="true" outlineLevel="0" collapsed="false">
      <c r="A61" s="70"/>
      <c r="B61" s="71"/>
      <c r="C61" s="72"/>
      <c r="D61" s="73"/>
      <c r="E61" s="73"/>
      <c r="F61" s="73"/>
      <c r="G61" s="74"/>
      <c r="H61" s="72"/>
      <c r="I61" s="72"/>
      <c r="J61" s="71"/>
      <c r="K61" s="75" t="str">
        <f aca="false">IF($A61="","",IF(AND(G61&lt;45%,H61&gt;=0.9),"A",IF(AND(G61&lt;60%,H61&gt;0.8),"B","C")))</f>
        <v/>
      </c>
      <c r="L61" s="75" t="str">
        <f aca="false">IF($A61="","",IF(AND(G61&lt;60%,H61&gt;0.8,I61="True"),"是","否"))</f>
        <v/>
      </c>
      <c r="M61" s="75" t="str">
        <f aca="false">IF($A61="","",IF(AND(D61&gt;0,E61&gt;0,D61&lt;=E61*1.02),"是","否"))</f>
        <v/>
      </c>
      <c r="N61" s="76" t="n">
        <f aca="false">IFERROR(INDEX(账户总表!$O:$O,COUNTA(账户总表!$A:$A)),0)</f>
        <v>0.35</v>
      </c>
      <c r="O61" s="77" t="n">
        <f aca="false">IFERROR(INDEX(账户总表!$B:$B,COUNTA(账户总表!$A:$A))*N61,0)</f>
        <v>7294.812</v>
      </c>
      <c r="P61" s="78" t="n">
        <f aca="false">IFERROR(O61/D61,0)</f>
        <v>0</v>
      </c>
      <c r="Q61" s="78" t="n">
        <f aca="false">IFERROR(FLOOR(P61,100),0)</f>
        <v>0</v>
      </c>
      <c r="R61" s="78" t="n">
        <f aca="false">IFERROR(CEILING(800/(100*D61),1)*100,0)</f>
        <v>0</v>
      </c>
      <c r="S61" s="79"/>
      <c r="T61" s="77" t="n">
        <f aca="false">IFERROR(S61*D61,0)</f>
        <v>0</v>
      </c>
      <c r="U61" s="76" t="n">
        <f aca="false">IFERROR(T61/INDEX(账户总表!$B:$B,COUNTA(账户总表!$A:$A)),0)</f>
        <v>0</v>
      </c>
      <c r="V61" s="76" t="n">
        <f aca="false">IFERROR(INDEX(账户总表!$E:$E,COUNTA(账户总表!$A:$A))+U61,0)</f>
        <v>0.407056412146057</v>
      </c>
      <c r="W61" s="75" t="str">
        <f aca="false">IF($A61="","",IFERROR(IF(V61&lt;=INDEX(账户总表!$N:$N,COUNTA(账户总表!$A:$A)),"是","否"),"否"))</f>
        <v/>
      </c>
      <c r="X61" s="77" t="str">
        <f aca="false">IF($A61="","",MAX(F61*0.98,D61*0.92))</f>
        <v/>
      </c>
      <c r="Y61" s="72"/>
      <c r="Z61" s="75" t="str">
        <f aca="false">IF($A61="","",IFERROR(IF(AND(T61&gt;INDEX(账户总表!$C:$C,COUNTA(账户总表!$A:$A)),L61="是"),"是","否"),"否"))</f>
        <v/>
      </c>
      <c r="AA61" s="77" t="str">
        <f aca="false">IF($A61="","",IFERROR(IF(Z61="是",MAX(0,T61-INDEX(账户总表!$C:$C,COUNTA(账户总表!$A:$A)),IF(N61&gt;0,T61/N61-INDEX(账户总表!$B:$B,COUNTA(账户总表!$A:$A)),0)),0),0))</f>
        <v/>
      </c>
      <c r="AB61" s="77" t="str">
        <f aca="false">IF($A61="","",IF(AND(Z61="是",INDEX(账户总表!$U:$U,COUNTA(账户总表!$A:$A))="是"),IF(INDEX(账户总表!$L:$L,COUNTA(账户总表!$A:$A))&gt;=4,AA61*1.5,AA61),0))</f>
        <v/>
      </c>
      <c r="AC61" s="75" t="str">
        <f aca="false">IF($A61="","",IF(AND(L61="是",Q61&gt;=R61,S61&lt;=Q61,S61&gt;=R61,W61="是",X61&gt;0,M61="是",INDEX(账户总表!$M:$M,COUNTA(账户总表!$A:$A))&lt;=2,INDEX(账户总表!$V:$V,COUNTA(账户总表!$A:$A))="是",OR(T61&lt;=INDEX(账户总表!$C:$C,COUNTA(账户总表!$A:$A)),AND(Z61="是",INDEX(账户总表!$U:$U,COUNTA(账户总表!$A:$A))="是",AB61&gt;0))),"是","否"))</f>
        <v/>
      </c>
      <c r="AD61" s="75" t="str">
        <f aca="false">IF($A61="","",IF(L61&lt;&gt;"是","信号未确认",IF(X61&lt;=0,"止损价未定义",IF(Q61&lt;R61,"100股约束不满足",IF(S61&gt;Q61,"计划股数超单股上限",IF(S61&lt;R61,"计划股数低于最小门槛",IF(W61&lt;&gt;"是","总仓位超限",IF(M61&lt;&gt;"是","追价",IF(INDEX(账户总表!$M:$M,COUNTA(账户总表!$A:$A))&gt;2,"亏钱效应偏高",IF(INDEX(账户总表!$V:$V,COUNTA(账户总表!$A:$A))&lt;&gt;"是","账户不允许新开仓",IF(AND(T61&gt;INDEX(账户总表!$C:$C,COUNTA(账户总表!$A:$A)),INDEX(账户总表!$U:$U,COUNTA(账户总表!$A:$A))&lt;&gt;"是"),"现金不足且不允许转入",IF(AND(Z61="是",AB61&lt;=0),"转入金额未满足",""))))))))))))</f>
        <v/>
      </c>
      <c r="AE61" s="71"/>
      <c r="AF61" s="1" t="str">
        <f aca="false">IF($A61="","",D61*100)</f>
        <v/>
      </c>
      <c r="AG61" s="1" t="str">
        <f aca="false">IF($A61="","",IFERROR(AF61/INDEX(账户总表!$B:$B,COUNTA(账户总表!$A:$A)),0))</f>
        <v/>
      </c>
      <c r="AH61" s="1" t="str">
        <f aca="false">IF($A61="","",IFERROR(INDEX(账户总表!$B:$B,COUNTA(账户总表!$A:$A))*INDEX(账户总表!$O:$O,COUNTA(账户总表!$A:$A)),0))</f>
        <v/>
      </c>
      <c r="AI61" s="1" t="str">
        <f aca="false">IF($A61="","",IF(AF61&gt;AH61,"超限","合规"))</f>
        <v/>
      </c>
      <c r="AJ61" s="1" t="str">
        <f aca="false">IF($A61="","",IFERROR(AF61/INDEX(账户总表!$O:$O,COUNTA(账户总表!$A:$A)),0))</f>
        <v/>
      </c>
      <c r="AK61" s="1" t="str">
        <f aca="false">IF($A61="","",IFERROR(MAX(0,AJ61-INDEX(账户总表!$B:$B,COUNTA(账户总表!$A:$A)),AF61-INDEX(账户总表!$C:$C,COUNTA(账户总表!$A:$A))),0))</f>
        <v/>
      </c>
      <c r="AL61" s="1" t="str">
        <f aca="false">IF($A61="","",IF(COUNTIF(持仓表!$C$2:$C$201,C61)&gt;0,"已有","新标的"))</f>
        <v/>
      </c>
      <c r="AM61" s="1" t="str">
        <f aca="false">IF($A61="","",IFERROR(SUMIFS(持仓表!$N$2:$N$201,持仓表!$C$2:$C$201,C61,持仓表!$A$2:$A$201,$A61),0))</f>
        <v/>
      </c>
      <c r="AN61" s="1" t="str">
        <f aca="false">IF($A61="","",IFERROR(AM61+AF61/INDEX(账户总表!$B:$B,COUNTA(账户总表!$A:$A)),0))</f>
        <v/>
      </c>
      <c r="AO61" s="1" t="str">
        <f aca="false">IF($A61="","",IF(AN61&gt;INDEX(账户总表!$O:$O,COUNTA(账户总表!$A:$A)),"超限","合规"))</f>
        <v/>
      </c>
      <c r="AP61" s="1" t="str">
        <f aca="false">IF($A61="","",IF(AND(AL61="新标的",INDEX(账户总表!$R:$R,COUNTA(账户总表!$A:$A))&gt;=INDEX(账户总表!$S:$S,COUNTA(账户总表!$A:$A))),"新增受限","可通过"))</f>
        <v/>
      </c>
      <c r="AQ61" s="1" t="str">
        <f aca="false">IF($A61="","",IF(K61&lt;&gt;"核心池","非核心池",IF(OR(AI61="超限",AO61="超限",AP61="新增受限"),"不可加仓","可加仓")))</f>
        <v/>
      </c>
      <c r="AR61" s="1" t="str">
        <f aca="false">IF($A61="","",TRIM(IF(AI61="超限","1手超单股上限；","")&amp;IF(AO61="超限","买后仓位超限；","")&amp;IF(AP61="新增受限","有效持仓数超限；","")&amp;IF(AF61&gt;INDEX(账户总表!$C:$C,COUNTA(账户总表!$A:$A)),"现金不足；","")))</f>
        <v/>
      </c>
      <c r="AS61" s="1" t="str">
        <f aca="false">IF($A61="","",IFERROR(INDEX(候选池历史!$L:$L,MATCH(1,(候选池历史!$B:$B=C61)*(候选池历史!$A:$A=$A61),0)),0))</f>
        <v/>
      </c>
      <c r="AT61" s="1" t="str">
        <f aca="false">IF($A61="","",IF(AS61&gt;=3,"★信号强化",IF(K61="核心池","核心观察","")))</f>
        <v/>
      </c>
      <c r="AU61" s="1" t="str">
        <f aca="false">IF($A61="","",IF(AK61&gt;30000-INDEX(账户总表!$B:$B,COUNTA(账户总表!$A:$A)),"不适合婴儿阶段","可纳入幼儿路径"))</f>
        <v/>
      </c>
    </row>
    <row r="62" customFormat="false" ht="15" hidden="false" customHeight="true" outlineLevel="0" collapsed="false">
      <c r="A62" s="70"/>
      <c r="B62" s="71"/>
      <c r="C62" s="72"/>
      <c r="D62" s="73"/>
      <c r="E62" s="73"/>
      <c r="F62" s="73"/>
      <c r="G62" s="74"/>
      <c r="H62" s="72"/>
      <c r="I62" s="72"/>
      <c r="J62" s="71"/>
      <c r="K62" s="75" t="str">
        <f aca="false">IF($A62="","",IF(AND(G62&lt;45%,H62&gt;=0.9),"A",IF(AND(G62&lt;60%,H62&gt;0.8),"B","C")))</f>
        <v/>
      </c>
      <c r="L62" s="75" t="str">
        <f aca="false">IF($A62="","",IF(AND(G62&lt;60%,H62&gt;0.8,I62="True"),"是","否"))</f>
        <v/>
      </c>
      <c r="M62" s="75" t="str">
        <f aca="false">IF($A62="","",IF(AND(D62&gt;0,E62&gt;0,D62&lt;=E62*1.02),"是","否"))</f>
        <v/>
      </c>
      <c r="N62" s="76" t="n">
        <f aca="false">IFERROR(INDEX(账户总表!$O:$O,COUNTA(账户总表!$A:$A)),0)</f>
        <v>0.35</v>
      </c>
      <c r="O62" s="77" t="n">
        <f aca="false">IFERROR(INDEX(账户总表!$B:$B,COUNTA(账户总表!$A:$A))*N62,0)</f>
        <v>7294.812</v>
      </c>
      <c r="P62" s="78" t="n">
        <f aca="false">IFERROR(O62/D62,0)</f>
        <v>0</v>
      </c>
      <c r="Q62" s="78" t="n">
        <f aca="false">IFERROR(FLOOR(P62,100),0)</f>
        <v>0</v>
      </c>
      <c r="R62" s="78" t="n">
        <f aca="false">IFERROR(CEILING(800/(100*D62),1)*100,0)</f>
        <v>0</v>
      </c>
      <c r="S62" s="79"/>
      <c r="T62" s="77" t="n">
        <f aca="false">IFERROR(S62*D62,0)</f>
        <v>0</v>
      </c>
      <c r="U62" s="76" t="n">
        <f aca="false">IFERROR(T62/INDEX(账户总表!$B:$B,COUNTA(账户总表!$A:$A)),0)</f>
        <v>0</v>
      </c>
      <c r="V62" s="76" t="n">
        <f aca="false">IFERROR(INDEX(账户总表!$E:$E,COUNTA(账户总表!$A:$A))+U62,0)</f>
        <v>0.407056412146057</v>
      </c>
      <c r="W62" s="75" t="str">
        <f aca="false">IF($A62="","",IFERROR(IF(V62&lt;=INDEX(账户总表!$N:$N,COUNTA(账户总表!$A:$A)),"是","否"),"否"))</f>
        <v/>
      </c>
      <c r="X62" s="77" t="str">
        <f aca="false">IF($A62="","",MAX(F62*0.98,D62*0.92))</f>
        <v/>
      </c>
      <c r="Y62" s="72"/>
      <c r="Z62" s="75" t="str">
        <f aca="false">IF($A62="","",IFERROR(IF(AND(T62&gt;INDEX(账户总表!$C:$C,COUNTA(账户总表!$A:$A)),L62="是"),"是","否"),"否"))</f>
        <v/>
      </c>
      <c r="AA62" s="77" t="str">
        <f aca="false">IF($A62="","",IFERROR(IF(Z62="是",MAX(0,T62-INDEX(账户总表!$C:$C,COUNTA(账户总表!$A:$A)),IF(N62&gt;0,T62/N62-INDEX(账户总表!$B:$B,COUNTA(账户总表!$A:$A)),0)),0),0))</f>
        <v/>
      </c>
      <c r="AB62" s="77" t="str">
        <f aca="false">IF($A62="","",IF(AND(Z62="是",INDEX(账户总表!$U:$U,COUNTA(账户总表!$A:$A))="是"),IF(INDEX(账户总表!$L:$L,COUNTA(账户总表!$A:$A))&gt;=4,AA62*1.5,AA62),0))</f>
        <v/>
      </c>
      <c r="AC62" s="75" t="str">
        <f aca="false">IF($A62="","",IF(AND(L62="是",Q62&gt;=R62,S62&lt;=Q62,S62&gt;=R62,W62="是",X62&gt;0,M62="是",INDEX(账户总表!$M:$M,COUNTA(账户总表!$A:$A))&lt;=2,INDEX(账户总表!$V:$V,COUNTA(账户总表!$A:$A))="是",OR(T62&lt;=INDEX(账户总表!$C:$C,COUNTA(账户总表!$A:$A)),AND(Z62="是",INDEX(账户总表!$U:$U,COUNTA(账户总表!$A:$A))="是",AB62&gt;0))),"是","否"))</f>
        <v/>
      </c>
      <c r="AD62" s="75" t="str">
        <f aca="false">IF($A62="","",IF(L62&lt;&gt;"是","信号未确认",IF(X62&lt;=0,"止损价未定义",IF(Q62&lt;R62,"100股约束不满足",IF(S62&gt;Q62,"计划股数超单股上限",IF(S62&lt;R62,"计划股数低于最小门槛",IF(W62&lt;&gt;"是","总仓位超限",IF(M62&lt;&gt;"是","追价",IF(INDEX(账户总表!$M:$M,COUNTA(账户总表!$A:$A))&gt;2,"亏钱效应偏高",IF(INDEX(账户总表!$V:$V,COUNTA(账户总表!$A:$A))&lt;&gt;"是","账户不允许新开仓",IF(AND(T62&gt;INDEX(账户总表!$C:$C,COUNTA(账户总表!$A:$A)),INDEX(账户总表!$U:$U,COUNTA(账户总表!$A:$A))&lt;&gt;"是"),"现金不足且不允许转入",IF(AND(Z62="是",AB62&lt;=0),"转入金额未满足",""))))))))))))</f>
        <v/>
      </c>
      <c r="AE62" s="71"/>
      <c r="AF62" s="1" t="str">
        <f aca="false">IF($A62="","",D62*100)</f>
        <v/>
      </c>
      <c r="AG62" s="1" t="str">
        <f aca="false">IF($A62="","",IFERROR(AF62/INDEX(账户总表!$B:$B,COUNTA(账户总表!$A:$A)),0))</f>
        <v/>
      </c>
      <c r="AH62" s="1" t="str">
        <f aca="false">IF($A62="","",IFERROR(INDEX(账户总表!$B:$B,COUNTA(账户总表!$A:$A))*INDEX(账户总表!$O:$O,COUNTA(账户总表!$A:$A)),0))</f>
        <v/>
      </c>
      <c r="AI62" s="1" t="str">
        <f aca="false">IF($A62="","",IF(AF62&gt;AH62,"超限","合规"))</f>
        <v/>
      </c>
      <c r="AJ62" s="1" t="str">
        <f aca="false">IF($A62="","",IFERROR(AF62/INDEX(账户总表!$O:$O,COUNTA(账户总表!$A:$A)),0))</f>
        <v/>
      </c>
      <c r="AK62" s="1" t="str">
        <f aca="false">IF($A62="","",IFERROR(MAX(0,AJ62-INDEX(账户总表!$B:$B,COUNTA(账户总表!$A:$A)),AF62-INDEX(账户总表!$C:$C,COUNTA(账户总表!$A:$A))),0))</f>
        <v/>
      </c>
      <c r="AL62" s="1" t="str">
        <f aca="false">IF($A62="","",IF(COUNTIF(持仓表!$C$2:$C$201,C62)&gt;0,"已有","新标的"))</f>
        <v/>
      </c>
      <c r="AM62" s="1" t="str">
        <f aca="false">IF($A62="","",IFERROR(SUMIFS(持仓表!$N$2:$N$201,持仓表!$C$2:$C$201,C62,持仓表!$A$2:$A$201,$A62),0))</f>
        <v/>
      </c>
      <c r="AN62" s="1" t="str">
        <f aca="false">IF($A62="","",IFERROR(AM62+AF62/INDEX(账户总表!$B:$B,COUNTA(账户总表!$A:$A)),0))</f>
        <v/>
      </c>
      <c r="AO62" s="1" t="str">
        <f aca="false">IF($A62="","",IF(AN62&gt;INDEX(账户总表!$O:$O,COUNTA(账户总表!$A:$A)),"超限","合规"))</f>
        <v/>
      </c>
      <c r="AP62" s="1" t="str">
        <f aca="false">IF($A62="","",IF(AND(AL62="新标的",INDEX(账户总表!$R:$R,COUNTA(账户总表!$A:$A))&gt;=INDEX(账户总表!$S:$S,COUNTA(账户总表!$A:$A))),"新增受限","可通过"))</f>
        <v/>
      </c>
      <c r="AQ62" s="1" t="str">
        <f aca="false">IF($A62="","",IF(K62&lt;&gt;"核心池","非核心池",IF(OR(AI62="超限",AO62="超限",AP62="新增受限"),"不可加仓","可加仓")))</f>
        <v/>
      </c>
      <c r="AR62" s="1" t="str">
        <f aca="false">IF($A62="","",TRIM(IF(AI62="超限","1手超单股上限；","")&amp;IF(AO62="超限","买后仓位超限；","")&amp;IF(AP62="新增受限","有效持仓数超限；","")&amp;IF(AF62&gt;INDEX(账户总表!$C:$C,COUNTA(账户总表!$A:$A)),"现金不足；","")))</f>
        <v/>
      </c>
      <c r="AS62" s="1" t="str">
        <f aca="false">IF($A62="","",IFERROR(INDEX(候选池历史!$L:$L,MATCH(1,(候选池历史!$B:$B=C62)*(候选池历史!$A:$A=$A62),0)),0))</f>
        <v/>
      </c>
      <c r="AT62" s="1" t="str">
        <f aca="false">IF($A62="","",IF(AS62&gt;=3,"★信号强化",IF(K62="核心池","核心观察","")))</f>
        <v/>
      </c>
      <c r="AU62" s="1" t="str">
        <f aca="false">IF($A62="","",IF(AK62&gt;30000-INDEX(账户总表!$B:$B,COUNTA(账户总表!$A:$A)),"不适合婴儿阶段","可纳入幼儿路径"))</f>
        <v/>
      </c>
    </row>
    <row r="63" customFormat="false" ht="15" hidden="false" customHeight="true" outlineLevel="0" collapsed="false">
      <c r="A63" s="70"/>
      <c r="B63" s="71"/>
      <c r="C63" s="72"/>
      <c r="D63" s="73"/>
      <c r="E63" s="73"/>
      <c r="F63" s="73"/>
      <c r="G63" s="74"/>
      <c r="H63" s="72"/>
      <c r="I63" s="72"/>
      <c r="J63" s="71"/>
      <c r="K63" s="75" t="str">
        <f aca="false">IF($A63="","",IF(AND(G63&lt;45%,H63&gt;=0.9),"A",IF(AND(G63&lt;60%,H63&gt;0.8),"B","C")))</f>
        <v/>
      </c>
      <c r="L63" s="75" t="str">
        <f aca="false">IF($A63="","",IF(AND(G63&lt;60%,H63&gt;0.8,I63="True"),"是","否"))</f>
        <v/>
      </c>
      <c r="M63" s="75" t="str">
        <f aca="false">IF($A63="","",IF(AND(D63&gt;0,E63&gt;0,D63&lt;=E63*1.02),"是","否"))</f>
        <v/>
      </c>
      <c r="N63" s="76" t="n">
        <f aca="false">IFERROR(INDEX(账户总表!$O:$O,COUNTA(账户总表!$A:$A)),0)</f>
        <v>0.35</v>
      </c>
      <c r="O63" s="77" t="n">
        <f aca="false">IFERROR(INDEX(账户总表!$B:$B,COUNTA(账户总表!$A:$A))*N63,0)</f>
        <v>7294.812</v>
      </c>
      <c r="P63" s="78" t="n">
        <f aca="false">IFERROR(O63/D63,0)</f>
        <v>0</v>
      </c>
      <c r="Q63" s="78" t="n">
        <f aca="false">IFERROR(FLOOR(P63,100),0)</f>
        <v>0</v>
      </c>
      <c r="R63" s="78" t="n">
        <f aca="false">IFERROR(CEILING(800/(100*D63),1)*100,0)</f>
        <v>0</v>
      </c>
      <c r="S63" s="79"/>
      <c r="T63" s="77" t="n">
        <f aca="false">IFERROR(S63*D63,0)</f>
        <v>0</v>
      </c>
      <c r="U63" s="76" t="n">
        <f aca="false">IFERROR(T63/INDEX(账户总表!$B:$B,COUNTA(账户总表!$A:$A)),0)</f>
        <v>0</v>
      </c>
      <c r="V63" s="76" t="n">
        <f aca="false">IFERROR(INDEX(账户总表!$E:$E,COUNTA(账户总表!$A:$A))+U63,0)</f>
        <v>0.407056412146057</v>
      </c>
      <c r="W63" s="75" t="str">
        <f aca="false">IF($A63="","",IFERROR(IF(V63&lt;=INDEX(账户总表!$N:$N,COUNTA(账户总表!$A:$A)),"是","否"),"否"))</f>
        <v/>
      </c>
      <c r="X63" s="77" t="str">
        <f aca="false">IF($A63="","",MAX(F63*0.98,D63*0.92))</f>
        <v/>
      </c>
      <c r="Y63" s="72"/>
      <c r="Z63" s="75" t="str">
        <f aca="false">IF($A63="","",IFERROR(IF(AND(T63&gt;INDEX(账户总表!$C:$C,COUNTA(账户总表!$A:$A)),L63="是"),"是","否"),"否"))</f>
        <v/>
      </c>
      <c r="AA63" s="77" t="str">
        <f aca="false">IF($A63="","",IFERROR(IF(Z63="是",MAX(0,T63-INDEX(账户总表!$C:$C,COUNTA(账户总表!$A:$A)),IF(N63&gt;0,T63/N63-INDEX(账户总表!$B:$B,COUNTA(账户总表!$A:$A)),0)),0),0))</f>
        <v/>
      </c>
      <c r="AB63" s="77" t="str">
        <f aca="false">IF($A63="","",IF(AND(Z63="是",INDEX(账户总表!$U:$U,COUNTA(账户总表!$A:$A))="是"),IF(INDEX(账户总表!$L:$L,COUNTA(账户总表!$A:$A))&gt;=4,AA63*1.5,AA63),0))</f>
        <v/>
      </c>
      <c r="AC63" s="75" t="str">
        <f aca="false">IF($A63="","",IF(AND(L63="是",Q63&gt;=R63,S63&lt;=Q63,S63&gt;=R63,W63="是",X63&gt;0,M63="是",INDEX(账户总表!$M:$M,COUNTA(账户总表!$A:$A))&lt;=2,INDEX(账户总表!$V:$V,COUNTA(账户总表!$A:$A))="是",OR(T63&lt;=INDEX(账户总表!$C:$C,COUNTA(账户总表!$A:$A)),AND(Z63="是",INDEX(账户总表!$U:$U,COUNTA(账户总表!$A:$A))="是",AB63&gt;0))),"是","否"))</f>
        <v/>
      </c>
      <c r="AD63" s="75" t="str">
        <f aca="false">IF($A63="","",IF(L63&lt;&gt;"是","信号未确认",IF(X63&lt;=0,"止损价未定义",IF(Q63&lt;R63,"100股约束不满足",IF(S63&gt;Q63,"计划股数超单股上限",IF(S63&lt;R63,"计划股数低于最小门槛",IF(W63&lt;&gt;"是","总仓位超限",IF(M63&lt;&gt;"是","追价",IF(INDEX(账户总表!$M:$M,COUNTA(账户总表!$A:$A))&gt;2,"亏钱效应偏高",IF(INDEX(账户总表!$V:$V,COUNTA(账户总表!$A:$A))&lt;&gt;"是","账户不允许新开仓",IF(AND(T63&gt;INDEX(账户总表!$C:$C,COUNTA(账户总表!$A:$A)),INDEX(账户总表!$U:$U,COUNTA(账户总表!$A:$A))&lt;&gt;"是"),"现金不足且不允许转入",IF(AND(Z63="是",AB63&lt;=0),"转入金额未满足",""))))))))))))</f>
        <v/>
      </c>
      <c r="AE63" s="71"/>
      <c r="AF63" s="1" t="str">
        <f aca="false">IF($A63="","",D63*100)</f>
        <v/>
      </c>
      <c r="AG63" s="1" t="str">
        <f aca="false">IF($A63="","",IFERROR(AF63/INDEX(账户总表!$B:$B,COUNTA(账户总表!$A:$A)),0))</f>
        <v/>
      </c>
      <c r="AH63" s="1" t="str">
        <f aca="false">IF($A63="","",IFERROR(INDEX(账户总表!$B:$B,COUNTA(账户总表!$A:$A))*INDEX(账户总表!$O:$O,COUNTA(账户总表!$A:$A)),0))</f>
        <v/>
      </c>
      <c r="AI63" s="1" t="str">
        <f aca="false">IF($A63="","",IF(AF63&gt;AH63,"超限","合规"))</f>
        <v/>
      </c>
      <c r="AJ63" s="1" t="str">
        <f aca="false">IF($A63="","",IFERROR(AF63/INDEX(账户总表!$O:$O,COUNTA(账户总表!$A:$A)),0))</f>
        <v/>
      </c>
      <c r="AK63" s="1" t="str">
        <f aca="false">IF($A63="","",IFERROR(MAX(0,AJ63-INDEX(账户总表!$B:$B,COUNTA(账户总表!$A:$A)),AF63-INDEX(账户总表!$C:$C,COUNTA(账户总表!$A:$A))),0))</f>
        <v/>
      </c>
      <c r="AL63" s="1" t="str">
        <f aca="false">IF($A63="","",IF(COUNTIF(持仓表!$C$2:$C$201,C63)&gt;0,"已有","新标的"))</f>
        <v/>
      </c>
      <c r="AM63" s="1" t="str">
        <f aca="false">IF($A63="","",IFERROR(SUMIFS(持仓表!$N$2:$N$201,持仓表!$C$2:$C$201,C63,持仓表!$A$2:$A$201,$A63),0))</f>
        <v/>
      </c>
      <c r="AN63" s="1" t="str">
        <f aca="false">IF($A63="","",IFERROR(AM63+AF63/INDEX(账户总表!$B:$B,COUNTA(账户总表!$A:$A)),0))</f>
        <v/>
      </c>
      <c r="AO63" s="1" t="str">
        <f aca="false">IF($A63="","",IF(AN63&gt;INDEX(账户总表!$O:$O,COUNTA(账户总表!$A:$A)),"超限","合规"))</f>
        <v/>
      </c>
      <c r="AP63" s="1" t="str">
        <f aca="false">IF($A63="","",IF(AND(AL63="新标的",INDEX(账户总表!$R:$R,COUNTA(账户总表!$A:$A))&gt;=INDEX(账户总表!$S:$S,COUNTA(账户总表!$A:$A))),"新增受限","可通过"))</f>
        <v/>
      </c>
      <c r="AQ63" s="1" t="str">
        <f aca="false">IF($A63="","",IF(K63&lt;&gt;"核心池","非核心池",IF(OR(AI63="超限",AO63="超限",AP63="新增受限"),"不可加仓","可加仓")))</f>
        <v/>
      </c>
      <c r="AR63" s="1" t="str">
        <f aca="false">IF($A63="","",TRIM(IF(AI63="超限","1手超单股上限；","")&amp;IF(AO63="超限","买后仓位超限；","")&amp;IF(AP63="新增受限","有效持仓数超限；","")&amp;IF(AF63&gt;INDEX(账户总表!$C:$C,COUNTA(账户总表!$A:$A)),"现金不足；","")))</f>
        <v/>
      </c>
      <c r="AS63" s="1" t="str">
        <f aca="false">IF($A63="","",IFERROR(INDEX(候选池历史!$L:$L,MATCH(1,(候选池历史!$B:$B=C63)*(候选池历史!$A:$A=$A63),0)),0))</f>
        <v/>
      </c>
      <c r="AT63" s="1" t="str">
        <f aca="false">IF($A63="","",IF(AS63&gt;=3,"★信号强化",IF(K63="核心池","核心观察","")))</f>
        <v/>
      </c>
      <c r="AU63" s="1" t="str">
        <f aca="false">IF($A63="","",IF(AK63&gt;30000-INDEX(账户总表!$B:$B,COUNTA(账户总表!$A:$A)),"不适合婴儿阶段","可纳入幼儿路径"))</f>
        <v/>
      </c>
    </row>
    <row r="64" customFormat="false" ht="15" hidden="false" customHeight="true" outlineLevel="0" collapsed="false">
      <c r="A64" s="70"/>
      <c r="B64" s="71"/>
      <c r="C64" s="72"/>
      <c r="D64" s="73"/>
      <c r="E64" s="73"/>
      <c r="F64" s="73"/>
      <c r="G64" s="74"/>
      <c r="H64" s="72"/>
      <c r="I64" s="72"/>
      <c r="J64" s="71"/>
      <c r="K64" s="75" t="str">
        <f aca="false">IF($A64="","",IF(AND(G64&lt;45%,H64&gt;=0.9),"A",IF(AND(G64&lt;60%,H64&gt;0.8),"B","C")))</f>
        <v/>
      </c>
      <c r="L64" s="75" t="str">
        <f aca="false">IF($A64="","",IF(AND(G64&lt;60%,H64&gt;0.8,I64="True"),"是","否"))</f>
        <v/>
      </c>
      <c r="M64" s="75" t="str">
        <f aca="false">IF($A64="","",IF(AND(D64&gt;0,E64&gt;0,D64&lt;=E64*1.02),"是","否"))</f>
        <v/>
      </c>
      <c r="N64" s="76" t="n">
        <f aca="false">IFERROR(INDEX(账户总表!$O:$O,COUNTA(账户总表!$A:$A)),0)</f>
        <v>0.35</v>
      </c>
      <c r="O64" s="77" t="n">
        <f aca="false">IFERROR(INDEX(账户总表!$B:$B,COUNTA(账户总表!$A:$A))*N64,0)</f>
        <v>7294.812</v>
      </c>
      <c r="P64" s="78" t="n">
        <f aca="false">IFERROR(O64/D64,0)</f>
        <v>0</v>
      </c>
      <c r="Q64" s="78" t="n">
        <f aca="false">IFERROR(FLOOR(P64,100),0)</f>
        <v>0</v>
      </c>
      <c r="R64" s="78" t="n">
        <f aca="false">IFERROR(CEILING(800/(100*D64),1)*100,0)</f>
        <v>0</v>
      </c>
      <c r="S64" s="79"/>
      <c r="T64" s="77" t="n">
        <f aca="false">IFERROR(S64*D64,0)</f>
        <v>0</v>
      </c>
      <c r="U64" s="76" t="n">
        <f aca="false">IFERROR(T64/INDEX(账户总表!$B:$B,COUNTA(账户总表!$A:$A)),0)</f>
        <v>0</v>
      </c>
      <c r="V64" s="76" t="n">
        <f aca="false">IFERROR(INDEX(账户总表!$E:$E,COUNTA(账户总表!$A:$A))+U64,0)</f>
        <v>0.407056412146057</v>
      </c>
      <c r="W64" s="75" t="str">
        <f aca="false">IF($A64="","",IFERROR(IF(V64&lt;=INDEX(账户总表!$N:$N,COUNTA(账户总表!$A:$A)),"是","否"),"否"))</f>
        <v/>
      </c>
      <c r="X64" s="77" t="str">
        <f aca="false">IF($A64="","",MAX(F64*0.98,D64*0.92))</f>
        <v/>
      </c>
      <c r="Y64" s="72"/>
      <c r="Z64" s="75" t="str">
        <f aca="false">IF($A64="","",IFERROR(IF(AND(T64&gt;INDEX(账户总表!$C:$C,COUNTA(账户总表!$A:$A)),L64="是"),"是","否"),"否"))</f>
        <v/>
      </c>
      <c r="AA64" s="77" t="str">
        <f aca="false">IF($A64="","",IFERROR(IF(Z64="是",MAX(0,T64-INDEX(账户总表!$C:$C,COUNTA(账户总表!$A:$A)),IF(N64&gt;0,T64/N64-INDEX(账户总表!$B:$B,COUNTA(账户总表!$A:$A)),0)),0),0))</f>
        <v/>
      </c>
      <c r="AB64" s="77" t="str">
        <f aca="false">IF($A64="","",IF(AND(Z64="是",INDEX(账户总表!$U:$U,COUNTA(账户总表!$A:$A))="是"),IF(INDEX(账户总表!$L:$L,COUNTA(账户总表!$A:$A))&gt;=4,AA64*1.5,AA64),0))</f>
        <v/>
      </c>
      <c r="AC64" s="75" t="str">
        <f aca="false">IF($A64="","",IF(AND(L64="是",Q64&gt;=R64,S64&lt;=Q64,S64&gt;=R64,W64="是",X64&gt;0,M64="是",INDEX(账户总表!$M:$M,COUNTA(账户总表!$A:$A))&lt;=2,INDEX(账户总表!$V:$V,COUNTA(账户总表!$A:$A))="是",OR(T64&lt;=INDEX(账户总表!$C:$C,COUNTA(账户总表!$A:$A)),AND(Z64="是",INDEX(账户总表!$U:$U,COUNTA(账户总表!$A:$A))="是",AB64&gt;0))),"是","否"))</f>
        <v/>
      </c>
      <c r="AD64" s="75" t="str">
        <f aca="false">IF($A64="","",IF(L64&lt;&gt;"是","信号未确认",IF(X64&lt;=0,"止损价未定义",IF(Q64&lt;R64,"100股约束不满足",IF(S64&gt;Q64,"计划股数超单股上限",IF(S64&lt;R64,"计划股数低于最小门槛",IF(W64&lt;&gt;"是","总仓位超限",IF(M64&lt;&gt;"是","追价",IF(INDEX(账户总表!$M:$M,COUNTA(账户总表!$A:$A))&gt;2,"亏钱效应偏高",IF(INDEX(账户总表!$V:$V,COUNTA(账户总表!$A:$A))&lt;&gt;"是","账户不允许新开仓",IF(AND(T64&gt;INDEX(账户总表!$C:$C,COUNTA(账户总表!$A:$A)),INDEX(账户总表!$U:$U,COUNTA(账户总表!$A:$A))&lt;&gt;"是"),"现金不足且不允许转入",IF(AND(Z64="是",AB64&lt;=0),"转入金额未满足",""))))))))))))</f>
        <v/>
      </c>
      <c r="AE64" s="71"/>
      <c r="AF64" s="1" t="str">
        <f aca="false">IF($A64="","",D64*100)</f>
        <v/>
      </c>
      <c r="AG64" s="1" t="str">
        <f aca="false">IF($A64="","",IFERROR(AF64/INDEX(账户总表!$B:$B,COUNTA(账户总表!$A:$A)),0))</f>
        <v/>
      </c>
      <c r="AH64" s="1" t="str">
        <f aca="false">IF($A64="","",IFERROR(INDEX(账户总表!$B:$B,COUNTA(账户总表!$A:$A))*INDEX(账户总表!$O:$O,COUNTA(账户总表!$A:$A)),0))</f>
        <v/>
      </c>
      <c r="AI64" s="1" t="str">
        <f aca="false">IF($A64="","",IF(AF64&gt;AH64,"超限","合规"))</f>
        <v/>
      </c>
      <c r="AJ64" s="1" t="str">
        <f aca="false">IF($A64="","",IFERROR(AF64/INDEX(账户总表!$O:$O,COUNTA(账户总表!$A:$A)),0))</f>
        <v/>
      </c>
      <c r="AK64" s="1" t="str">
        <f aca="false">IF($A64="","",IFERROR(MAX(0,AJ64-INDEX(账户总表!$B:$B,COUNTA(账户总表!$A:$A)),AF64-INDEX(账户总表!$C:$C,COUNTA(账户总表!$A:$A))),0))</f>
        <v/>
      </c>
      <c r="AL64" s="1" t="str">
        <f aca="false">IF($A64="","",IF(COUNTIF(持仓表!$C$2:$C$201,C64)&gt;0,"已有","新标的"))</f>
        <v/>
      </c>
      <c r="AM64" s="1" t="str">
        <f aca="false">IF($A64="","",IFERROR(SUMIFS(持仓表!$N$2:$N$201,持仓表!$C$2:$C$201,C64,持仓表!$A$2:$A$201,$A64),0))</f>
        <v/>
      </c>
      <c r="AN64" s="1" t="str">
        <f aca="false">IF($A64="","",IFERROR(AM64+AF64/INDEX(账户总表!$B:$B,COUNTA(账户总表!$A:$A)),0))</f>
        <v/>
      </c>
      <c r="AO64" s="1" t="str">
        <f aca="false">IF($A64="","",IF(AN64&gt;INDEX(账户总表!$O:$O,COUNTA(账户总表!$A:$A)),"超限","合规"))</f>
        <v/>
      </c>
      <c r="AP64" s="1" t="str">
        <f aca="false">IF($A64="","",IF(AND(AL64="新标的",INDEX(账户总表!$R:$R,COUNTA(账户总表!$A:$A))&gt;=INDEX(账户总表!$S:$S,COUNTA(账户总表!$A:$A))),"新增受限","可通过"))</f>
        <v/>
      </c>
      <c r="AQ64" s="1" t="str">
        <f aca="false">IF($A64="","",IF(K64&lt;&gt;"核心池","非核心池",IF(OR(AI64="超限",AO64="超限",AP64="新增受限"),"不可加仓","可加仓")))</f>
        <v/>
      </c>
      <c r="AR64" s="1" t="str">
        <f aca="false">IF($A64="","",TRIM(IF(AI64="超限","1手超单股上限；","")&amp;IF(AO64="超限","买后仓位超限；","")&amp;IF(AP64="新增受限","有效持仓数超限；","")&amp;IF(AF64&gt;INDEX(账户总表!$C:$C,COUNTA(账户总表!$A:$A)),"现金不足；","")))</f>
        <v/>
      </c>
      <c r="AS64" s="1" t="str">
        <f aca="false">IF($A64="","",IFERROR(INDEX(候选池历史!$L:$L,MATCH(1,(候选池历史!$B:$B=C64)*(候选池历史!$A:$A=$A64),0)),0))</f>
        <v/>
      </c>
      <c r="AT64" s="1" t="str">
        <f aca="false">IF($A64="","",IF(AS64&gt;=3,"★信号强化",IF(K64="核心池","核心观察","")))</f>
        <v/>
      </c>
      <c r="AU64" s="1" t="str">
        <f aca="false">IF($A64="","",IF(AK64&gt;30000-INDEX(账户总表!$B:$B,COUNTA(账户总表!$A:$A)),"不适合婴儿阶段","可纳入幼儿路径"))</f>
        <v/>
      </c>
    </row>
    <row r="65" customFormat="false" ht="15" hidden="false" customHeight="true" outlineLevel="0" collapsed="false">
      <c r="A65" s="70"/>
      <c r="B65" s="71"/>
      <c r="C65" s="72"/>
      <c r="D65" s="73"/>
      <c r="E65" s="73"/>
      <c r="F65" s="73"/>
      <c r="G65" s="74"/>
      <c r="H65" s="72"/>
      <c r="I65" s="72"/>
      <c r="J65" s="71"/>
      <c r="K65" s="75" t="str">
        <f aca="false">IF($A65="","",IF(AND(G65&lt;45%,H65&gt;=0.9),"A",IF(AND(G65&lt;60%,H65&gt;0.8),"B","C")))</f>
        <v/>
      </c>
      <c r="L65" s="75" t="str">
        <f aca="false">IF($A65="","",IF(AND(G65&lt;60%,H65&gt;0.8,I65="True"),"是","否"))</f>
        <v/>
      </c>
      <c r="M65" s="75" t="str">
        <f aca="false">IF($A65="","",IF(AND(D65&gt;0,E65&gt;0,D65&lt;=E65*1.02),"是","否"))</f>
        <v/>
      </c>
      <c r="N65" s="76" t="n">
        <f aca="false">IFERROR(INDEX(账户总表!$O:$O,COUNTA(账户总表!$A:$A)),0)</f>
        <v>0.35</v>
      </c>
      <c r="O65" s="77" t="n">
        <f aca="false">IFERROR(INDEX(账户总表!$B:$B,COUNTA(账户总表!$A:$A))*N65,0)</f>
        <v>7294.812</v>
      </c>
      <c r="P65" s="78" t="n">
        <f aca="false">IFERROR(O65/D65,0)</f>
        <v>0</v>
      </c>
      <c r="Q65" s="78" t="n">
        <f aca="false">IFERROR(FLOOR(P65,100),0)</f>
        <v>0</v>
      </c>
      <c r="R65" s="78" t="n">
        <f aca="false">IFERROR(CEILING(800/(100*D65),1)*100,0)</f>
        <v>0</v>
      </c>
      <c r="S65" s="79"/>
      <c r="T65" s="77" t="n">
        <f aca="false">IFERROR(S65*D65,0)</f>
        <v>0</v>
      </c>
      <c r="U65" s="76" t="n">
        <f aca="false">IFERROR(T65/INDEX(账户总表!$B:$B,COUNTA(账户总表!$A:$A)),0)</f>
        <v>0</v>
      </c>
      <c r="V65" s="76" t="n">
        <f aca="false">IFERROR(INDEX(账户总表!$E:$E,COUNTA(账户总表!$A:$A))+U65,0)</f>
        <v>0.407056412146057</v>
      </c>
      <c r="W65" s="75" t="str">
        <f aca="false">IF($A65="","",IFERROR(IF(V65&lt;=INDEX(账户总表!$N:$N,COUNTA(账户总表!$A:$A)),"是","否"),"否"))</f>
        <v/>
      </c>
      <c r="X65" s="77" t="str">
        <f aca="false">IF($A65="","",MAX(F65*0.98,D65*0.92))</f>
        <v/>
      </c>
      <c r="Y65" s="72"/>
      <c r="Z65" s="75" t="str">
        <f aca="false">IF($A65="","",IFERROR(IF(AND(T65&gt;INDEX(账户总表!$C:$C,COUNTA(账户总表!$A:$A)),L65="是"),"是","否"),"否"))</f>
        <v/>
      </c>
      <c r="AA65" s="77" t="str">
        <f aca="false">IF($A65="","",IFERROR(IF(Z65="是",MAX(0,T65-INDEX(账户总表!$C:$C,COUNTA(账户总表!$A:$A)),IF(N65&gt;0,T65/N65-INDEX(账户总表!$B:$B,COUNTA(账户总表!$A:$A)),0)),0),0))</f>
        <v/>
      </c>
      <c r="AB65" s="77" t="str">
        <f aca="false">IF($A65="","",IF(AND(Z65="是",INDEX(账户总表!$U:$U,COUNTA(账户总表!$A:$A))="是"),IF(INDEX(账户总表!$L:$L,COUNTA(账户总表!$A:$A))&gt;=4,AA65*1.5,AA65),0))</f>
        <v/>
      </c>
      <c r="AC65" s="75" t="str">
        <f aca="false">IF($A65="","",IF(AND(L65="是",Q65&gt;=R65,S65&lt;=Q65,S65&gt;=R65,W65="是",X65&gt;0,M65="是",INDEX(账户总表!$M:$M,COUNTA(账户总表!$A:$A))&lt;=2,INDEX(账户总表!$V:$V,COUNTA(账户总表!$A:$A))="是",OR(T65&lt;=INDEX(账户总表!$C:$C,COUNTA(账户总表!$A:$A)),AND(Z65="是",INDEX(账户总表!$U:$U,COUNTA(账户总表!$A:$A))="是",AB65&gt;0))),"是","否"))</f>
        <v/>
      </c>
      <c r="AD65" s="75" t="str">
        <f aca="false">IF($A65="","",IF(L65&lt;&gt;"是","信号未确认",IF(X65&lt;=0,"止损价未定义",IF(Q65&lt;R65,"100股约束不满足",IF(S65&gt;Q65,"计划股数超单股上限",IF(S65&lt;R65,"计划股数低于最小门槛",IF(W65&lt;&gt;"是","总仓位超限",IF(M65&lt;&gt;"是","追价",IF(INDEX(账户总表!$M:$M,COUNTA(账户总表!$A:$A))&gt;2,"亏钱效应偏高",IF(INDEX(账户总表!$V:$V,COUNTA(账户总表!$A:$A))&lt;&gt;"是","账户不允许新开仓",IF(AND(T65&gt;INDEX(账户总表!$C:$C,COUNTA(账户总表!$A:$A)),INDEX(账户总表!$U:$U,COUNTA(账户总表!$A:$A))&lt;&gt;"是"),"现金不足且不允许转入",IF(AND(Z65="是",AB65&lt;=0),"转入金额未满足",""))))))))))))</f>
        <v/>
      </c>
      <c r="AE65" s="71"/>
      <c r="AF65" s="1" t="str">
        <f aca="false">IF($A65="","",D65*100)</f>
        <v/>
      </c>
      <c r="AG65" s="1" t="str">
        <f aca="false">IF($A65="","",IFERROR(AF65/INDEX(账户总表!$B:$B,COUNTA(账户总表!$A:$A)),0))</f>
        <v/>
      </c>
      <c r="AH65" s="1" t="str">
        <f aca="false">IF($A65="","",IFERROR(INDEX(账户总表!$B:$B,COUNTA(账户总表!$A:$A))*INDEX(账户总表!$O:$O,COUNTA(账户总表!$A:$A)),0))</f>
        <v/>
      </c>
      <c r="AI65" s="1" t="str">
        <f aca="false">IF($A65="","",IF(AF65&gt;AH65,"超限","合规"))</f>
        <v/>
      </c>
      <c r="AJ65" s="1" t="str">
        <f aca="false">IF($A65="","",IFERROR(AF65/INDEX(账户总表!$O:$O,COUNTA(账户总表!$A:$A)),0))</f>
        <v/>
      </c>
      <c r="AK65" s="1" t="str">
        <f aca="false">IF($A65="","",IFERROR(MAX(0,AJ65-INDEX(账户总表!$B:$B,COUNTA(账户总表!$A:$A)),AF65-INDEX(账户总表!$C:$C,COUNTA(账户总表!$A:$A))),0))</f>
        <v/>
      </c>
      <c r="AL65" s="1" t="str">
        <f aca="false">IF($A65="","",IF(COUNTIF(持仓表!$C$2:$C$201,C65)&gt;0,"已有","新标的"))</f>
        <v/>
      </c>
      <c r="AM65" s="1" t="str">
        <f aca="false">IF($A65="","",IFERROR(SUMIFS(持仓表!$N$2:$N$201,持仓表!$C$2:$C$201,C65,持仓表!$A$2:$A$201,$A65),0))</f>
        <v/>
      </c>
      <c r="AN65" s="1" t="str">
        <f aca="false">IF($A65="","",IFERROR(AM65+AF65/INDEX(账户总表!$B:$B,COUNTA(账户总表!$A:$A)),0))</f>
        <v/>
      </c>
      <c r="AO65" s="1" t="str">
        <f aca="false">IF($A65="","",IF(AN65&gt;INDEX(账户总表!$O:$O,COUNTA(账户总表!$A:$A)),"超限","合规"))</f>
        <v/>
      </c>
      <c r="AP65" s="1" t="str">
        <f aca="false">IF($A65="","",IF(AND(AL65="新标的",INDEX(账户总表!$R:$R,COUNTA(账户总表!$A:$A))&gt;=INDEX(账户总表!$S:$S,COUNTA(账户总表!$A:$A))),"新增受限","可通过"))</f>
        <v/>
      </c>
      <c r="AQ65" s="1" t="str">
        <f aca="false">IF($A65="","",IF(K65&lt;&gt;"核心池","非核心池",IF(OR(AI65="超限",AO65="超限",AP65="新增受限"),"不可加仓","可加仓")))</f>
        <v/>
      </c>
      <c r="AR65" s="1" t="str">
        <f aca="false">IF($A65="","",TRIM(IF(AI65="超限","1手超单股上限；","")&amp;IF(AO65="超限","买后仓位超限；","")&amp;IF(AP65="新增受限","有效持仓数超限；","")&amp;IF(AF65&gt;INDEX(账户总表!$C:$C,COUNTA(账户总表!$A:$A)),"现金不足；","")))</f>
        <v/>
      </c>
      <c r="AS65" s="1" t="str">
        <f aca="false">IF($A65="","",IFERROR(INDEX(候选池历史!$L:$L,MATCH(1,(候选池历史!$B:$B=C65)*(候选池历史!$A:$A=$A65),0)),0))</f>
        <v/>
      </c>
      <c r="AT65" s="1" t="str">
        <f aca="false">IF($A65="","",IF(AS65&gt;=3,"★信号强化",IF(K65="核心池","核心观察","")))</f>
        <v/>
      </c>
      <c r="AU65" s="1" t="str">
        <f aca="false">IF($A65="","",IF(AK65&gt;30000-INDEX(账户总表!$B:$B,COUNTA(账户总表!$A:$A)),"不适合婴儿阶段","可纳入幼儿路径"))</f>
        <v/>
      </c>
    </row>
    <row r="66" customFormat="false" ht="15" hidden="false" customHeight="true" outlineLevel="0" collapsed="false">
      <c r="A66" s="70"/>
      <c r="B66" s="71"/>
      <c r="C66" s="72"/>
      <c r="D66" s="73"/>
      <c r="E66" s="73"/>
      <c r="F66" s="73"/>
      <c r="G66" s="74"/>
      <c r="H66" s="72"/>
      <c r="I66" s="72"/>
      <c r="J66" s="71"/>
      <c r="K66" s="75" t="str">
        <f aca="false">IF($A66="","",IF(AND(G66&lt;45%,H66&gt;=0.9),"A",IF(AND(G66&lt;60%,H66&gt;0.8),"B","C")))</f>
        <v/>
      </c>
      <c r="L66" s="75" t="str">
        <f aca="false">IF($A66="","",IF(AND(G66&lt;60%,H66&gt;0.8,I66="True"),"是","否"))</f>
        <v/>
      </c>
      <c r="M66" s="75" t="str">
        <f aca="false">IF($A66="","",IF(AND(D66&gt;0,E66&gt;0,D66&lt;=E66*1.02),"是","否"))</f>
        <v/>
      </c>
      <c r="N66" s="76" t="n">
        <f aca="false">IFERROR(INDEX(账户总表!$O:$O,COUNTA(账户总表!$A:$A)),0)</f>
        <v>0.35</v>
      </c>
      <c r="O66" s="77" t="n">
        <f aca="false">IFERROR(INDEX(账户总表!$B:$B,COUNTA(账户总表!$A:$A))*N66,0)</f>
        <v>7294.812</v>
      </c>
      <c r="P66" s="78" t="n">
        <f aca="false">IFERROR(O66/D66,0)</f>
        <v>0</v>
      </c>
      <c r="Q66" s="78" t="n">
        <f aca="false">IFERROR(FLOOR(P66,100),0)</f>
        <v>0</v>
      </c>
      <c r="R66" s="78" t="n">
        <f aca="false">IFERROR(CEILING(800/(100*D66),1)*100,0)</f>
        <v>0</v>
      </c>
      <c r="S66" s="79"/>
      <c r="T66" s="77" t="n">
        <f aca="false">IFERROR(S66*D66,0)</f>
        <v>0</v>
      </c>
      <c r="U66" s="76" t="n">
        <f aca="false">IFERROR(T66/INDEX(账户总表!$B:$B,COUNTA(账户总表!$A:$A)),0)</f>
        <v>0</v>
      </c>
      <c r="V66" s="76" t="n">
        <f aca="false">IFERROR(INDEX(账户总表!$E:$E,COUNTA(账户总表!$A:$A))+U66,0)</f>
        <v>0.407056412146057</v>
      </c>
      <c r="W66" s="75" t="str">
        <f aca="false">IF($A66="","",IFERROR(IF(V66&lt;=INDEX(账户总表!$N:$N,COUNTA(账户总表!$A:$A)),"是","否"),"否"))</f>
        <v/>
      </c>
      <c r="X66" s="77" t="str">
        <f aca="false">IF($A66="","",MAX(F66*0.98,D66*0.92))</f>
        <v/>
      </c>
      <c r="Y66" s="72"/>
      <c r="Z66" s="75" t="str">
        <f aca="false">IF($A66="","",IFERROR(IF(AND(T66&gt;INDEX(账户总表!$C:$C,COUNTA(账户总表!$A:$A)),L66="是"),"是","否"),"否"))</f>
        <v/>
      </c>
      <c r="AA66" s="77" t="str">
        <f aca="false">IF($A66="","",IFERROR(IF(Z66="是",MAX(0,T66-INDEX(账户总表!$C:$C,COUNTA(账户总表!$A:$A)),IF(N66&gt;0,T66/N66-INDEX(账户总表!$B:$B,COUNTA(账户总表!$A:$A)),0)),0),0))</f>
        <v/>
      </c>
      <c r="AB66" s="77" t="str">
        <f aca="false">IF($A66="","",IF(AND(Z66="是",INDEX(账户总表!$U:$U,COUNTA(账户总表!$A:$A))="是"),IF(INDEX(账户总表!$L:$L,COUNTA(账户总表!$A:$A))&gt;=4,AA66*1.5,AA66),0))</f>
        <v/>
      </c>
      <c r="AC66" s="75" t="str">
        <f aca="false">IF($A66="","",IF(AND(L66="是",Q66&gt;=R66,S66&lt;=Q66,S66&gt;=R66,W66="是",X66&gt;0,M66="是",INDEX(账户总表!$M:$M,COUNTA(账户总表!$A:$A))&lt;=2,INDEX(账户总表!$V:$V,COUNTA(账户总表!$A:$A))="是",OR(T66&lt;=INDEX(账户总表!$C:$C,COUNTA(账户总表!$A:$A)),AND(Z66="是",INDEX(账户总表!$U:$U,COUNTA(账户总表!$A:$A))="是",AB66&gt;0))),"是","否"))</f>
        <v/>
      </c>
      <c r="AD66" s="75" t="str">
        <f aca="false">IF($A66="","",IF(L66&lt;&gt;"是","信号未确认",IF(X66&lt;=0,"止损价未定义",IF(Q66&lt;R66,"100股约束不满足",IF(S66&gt;Q66,"计划股数超单股上限",IF(S66&lt;R66,"计划股数低于最小门槛",IF(W66&lt;&gt;"是","总仓位超限",IF(M66&lt;&gt;"是","追价",IF(INDEX(账户总表!$M:$M,COUNTA(账户总表!$A:$A))&gt;2,"亏钱效应偏高",IF(INDEX(账户总表!$V:$V,COUNTA(账户总表!$A:$A))&lt;&gt;"是","账户不允许新开仓",IF(AND(T66&gt;INDEX(账户总表!$C:$C,COUNTA(账户总表!$A:$A)),INDEX(账户总表!$U:$U,COUNTA(账户总表!$A:$A))&lt;&gt;"是"),"现金不足且不允许转入",IF(AND(Z66="是",AB66&lt;=0),"转入金额未满足",""))))))))))))</f>
        <v/>
      </c>
      <c r="AE66" s="71"/>
      <c r="AF66" s="1" t="str">
        <f aca="false">IF($A66="","",D66*100)</f>
        <v/>
      </c>
      <c r="AG66" s="1" t="str">
        <f aca="false">IF($A66="","",IFERROR(AF66/INDEX(账户总表!$B:$B,COUNTA(账户总表!$A:$A)),0))</f>
        <v/>
      </c>
      <c r="AH66" s="1" t="str">
        <f aca="false">IF($A66="","",IFERROR(INDEX(账户总表!$B:$B,COUNTA(账户总表!$A:$A))*INDEX(账户总表!$O:$O,COUNTA(账户总表!$A:$A)),0))</f>
        <v/>
      </c>
      <c r="AI66" s="1" t="str">
        <f aca="false">IF($A66="","",IF(AF66&gt;AH66,"超限","合规"))</f>
        <v/>
      </c>
      <c r="AJ66" s="1" t="str">
        <f aca="false">IF($A66="","",IFERROR(AF66/INDEX(账户总表!$O:$O,COUNTA(账户总表!$A:$A)),0))</f>
        <v/>
      </c>
      <c r="AK66" s="1" t="str">
        <f aca="false">IF($A66="","",IFERROR(MAX(0,AJ66-INDEX(账户总表!$B:$B,COUNTA(账户总表!$A:$A)),AF66-INDEX(账户总表!$C:$C,COUNTA(账户总表!$A:$A))),0))</f>
        <v/>
      </c>
      <c r="AL66" s="1" t="str">
        <f aca="false">IF($A66="","",IF(COUNTIF(持仓表!$C$2:$C$201,C66)&gt;0,"已有","新标的"))</f>
        <v/>
      </c>
      <c r="AM66" s="1" t="str">
        <f aca="false">IF($A66="","",IFERROR(SUMIFS(持仓表!$N$2:$N$201,持仓表!$C$2:$C$201,C66,持仓表!$A$2:$A$201,$A66),0))</f>
        <v/>
      </c>
      <c r="AN66" s="1" t="str">
        <f aca="false">IF($A66="","",IFERROR(AM66+AF66/INDEX(账户总表!$B:$B,COUNTA(账户总表!$A:$A)),0))</f>
        <v/>
      </c>
      <c r="AO66" s="1" t="str">
        <f aca="false">IF($A66="","",IF(AN66&gt;INDEX(账户总表!$O:$O,COUNTA(账户总表!$A:$A)),"超限","合规"))</f>
        <v/>
      </c>
      <c r="AP66" s="1" t="str">
        <f aca="false">IF($A66="","",IF(AND(AL66="新标的",INDEX(账户总表!$R:$R,COUNTA(账户总表!$A:$A))&gt;=INDEX(账户总表!$S:$S,COUNTA(账户总表!$A:$A))),"新增受限","可通过"))</f>
        <v/>
      </c>
      <c r="AQ66" s="1" t="str">
        <f aca="false">IF($A66="","",IF(K66&lt;&gt;"核心池","非核心池",IF(OR(AI66="超限",AO66="超限",AP66="新增受限"),"不可加仓","可加仓")))</f>
        <v/>
      </c>
      <c r="AR66" s="1" t="str">
        <f aca="false">IF($A66="","",TRIM(IF(AI66="超限","1手超单股上限；","")&amp;IF(AO66="超限","买后仓位超限；","")&amp;IF(AP66="新增受限","有效持仓数超限；","")&amp;IF(AF66&gt;INDEX(账户总表!$C:$C,COUNTA(账户总表!$A:$A)),"现金不足；","")))</f>
        <v/>
      </c>
      <c r="AS66" s="1" t="str">
        <f aca="false">IF($A66="","",IFERROR(INDEX(候选池历史!$L:$L,MATCH(1,(候选池历史!$B:$B=C66)*(候选池历史!$A:$A=$A66),0)),0))</f>
        <v/>
      </c>
      <c r="AT66" s="1" t="str">
        <f aca="false">IF($A66="","",IF(AS66&gt;=3,"★信号强化",IF(K66="核心池","核心观察","")))</f>
        <v/>
      </c>
      <c r="AU66" s="1" t="str">
        <f aca="false">IF($A66="","",IF(AK66&gt;30000-INDEX(账户总表!$B:$B,COUNTA(账户总表!$A:$A)),"不适合婴儿阶段","可纳入幼儿路径"))</f>
        <v/>
      </c>
    </row>
    <row r="67" customFormat="false" ht="15" hidden="false" customHeight="true" outlineLevel="0" collapsed="false">
      <c r="A67" s="70"/>
      <c r="B67" s="71"/>
      <c r="C67" s="72"/>
      <c r="D67" s="73"/>
      <c r="E67" s="73"/>
      <c r="F67" s="73"/>
      <c r="G67" s="74"/>
      <c r="H67" s="72"/>
      <c r="I67" s="72"/>
      <c r="J67" s="71"/>
      <c r="K67" s="75" t="str">
        <f aca="false">IF($A67="","",IF(AND(G67&lt;45%,H67&gt;=0.9),"A",IF(AND(G67&lt;60%,H67&gt;0.8),"B","C")))</f>
        <v/>
      </c>
      <c r="L67" s="75" t="str">
        <f aca="false">IF($A67="","",IF(AND(G67&lt;60%,H67&gt;0.8,I67="True"),"是","否"))</f>
        <v/>
      </c>
      <c r="M67" s="75" t="str">
        <f aca="false">IF($A67="","",IF(AND(D67&gt;0,E67&gt;0,D67&lt;=E67*1.02),"是","否"))</f>
        <v/>
      </c>
      <c r="N67" s="76" t="n">
        <f aca="false">IFERROR(INDEX(账户总表!$O:$O,COUNTA(账户总表!$A:$A)),0)</f>
        <v>0.35</v>
      </c>
      <c r="O67" s="77" t="n">
        <f aca="false">IFERROR(INDEX(账户总表!$B:$B,COUNTA(账户总表!$A:$A))*N67,0)</f>
        <v>7294.812</v>
      </c>
      <c r="P67" s="78" t="n">
        <f aca="false">IFERROR(O67/D67,0)</f>
        <v>0</v>
      </c>
      <c r="Q67" s="78" t="n">
        <f aca="false">IFERROR(FLOOR(P67,100),0)</f>
        <v>0</v>
      </c>
      <c r="R67" s="78" t="n">
        <f aca="false">IFERROR(CEILING(800/(100*D67),1)*100,0)</f>
        <v>0</v>
      </c>
      <c r="S67" s="79"/>
      <c r="T67" s="77" t="n">
        <f aca="false">IFERROR(S67*D67,0)</f>
        <v>0</v>
      </c>
      <c r="U67" s="76" t="n">
        <f aca="false">IFERROR(T67/INDEX(账户总表!$B:$B,COUNTA(账户总表!$A:$A)),0)</f>
        <v>0</v>
      </c>
      <c r="V67" s="76" t="n">
        <f aca="false">IFERROR(INDEX(账户总表!$E:$E,COUNTA(账户总表!$A:$A))+U67,0)</f>
        <v>0.407056412146057</v>
      </c>
      <c r="W67" s="75" t="str">
        <f aca="false">IF($A67="","",IFERROR(IF(V67&lt;=INDEX(账户总表!$N:$N,COUNTA(账户总表!$A:$A)),"是","否"),"否"))</f>
        <v/>
      </c>
      <c r="X67" s="77" t="str">
        <f aca="false">IF($A67="","",MAX(F67*0.98,D67*0.92))</f>
        <v/>
      </c>
      <c r="Y67" s="72"/>
      <c r="Z67" s="75" t="str">
        <f aca="false">IF($A67="","",IFERROR(IF(AND(T67&gt;INDEX(账户总表!$C:$C,COUNTA(账户总表!$A:$A)),L67="是"),"是","否"),"否"))</f>
        <v/>
      </c>
      <c r="AA67" s="77" t="str">
        <f aca="false">IF($A67="","",IFERROR(IF(Z67="是",MAX(0,T67-INDEX(账户总表!$C:$C,COUNTA(账户总表!$A:$A)),IF(N67&gt;0,T67/N67-INDEX(账户总表!$B:$B,COUNTA(账户总表!$A:$A)),0)),0),0))</f>
        <v/>
      </c>
      <c r="AB67" s="77" t="str">
        <f aca="false">IF($A67="","",IF(AND(Z67="是",INDEX(账户总表!$U:$U,COUNTA(账户总表!$A:$A))="是"),IF(INDEX(账户总表!$L:$L,COUNTA(账户总表!$A:$A))&gt;=4,AA67*1.5,AA67),0))</f>
        <v/>
      </c>
      <c r="AC67" s="75" t="str">
        <f aca="false">IF($A67="","",IF(AND(L67="是",Q67&gt;=R67,S67&lt;=Q67,S67&gt;=R67,W67="是",X67&gt;0,M67="是",INDEX(账户总表!$M:$M,COUNTA(账户总表!$A:$A))&lt;=2,INDEX(账户总表!$V:$V,COUNTA(账户总表!$A:$A))="是",OR(T67&lt;=INDEX(账户总表!$C:$C,COUNTA(账户总表!$A:$A)),AND(Z67="是",INDEX(账户总表!$U:$U,COUNTA(账户总表!$A:$A))="是",AB67&gt;0))),"是","否"))</f>
        <v/>
      </c>
      <c r="AD67" s="75" t="str">
        <f aca="false">IF($A67="","",IF(L67&lt;&gt;"是","信号未确认",IF(X67&lt;=0,"止损价未定义",IF(Q67&lt;R67,"100股约束不满足",IF(S67&gt;Q67,"计划股数超单股上限",IF(S67&lt;R67,"计划股数低于最小门槛",IF(W67&lt;&gt;"是","总仓位超限",IF(M67&lt;&gt;"是","追价",IF(INDEX(账户总表!$M:$M,COUNTA(账户总表!$A:$A))&gt;2,"亏钱效应偏高",IF(INDEX(账户总表!$V:$V,COUNTA(账户总表!$A:$A))&lt;&gt;"是","账户不允许新开仓",IF(AND(T67&gt;INDEX(账户总表!$C:$C,COUNTA(账户总表!$A:$A)),INDEX(账户总表!$U:$U,COUNTA(账户总表!$A:$A))&lt;&gt;"是"),"现金不足且不允许转入",IF(AND(Z67="是",AB67&lt;=0),"转入金额未满足",""))))))))))))</f>
        <v/>
      </c>
      <c r="AE67" s="71"/>
      <c r="AF67" s="1" t="str">
        <f aca="false">IF($A67="","",D67*100)</f>
        <v/>
      </c>
      <c r="AG67" s="1" t="str">
        <f aca="false">IF($A67="","",IFERROR(AF67/INDEX(账户总表!$B:$B,COUNTA(账户总表!$A:$A)),0))</f>
        <v/>
      </c>
      <c r="AH67" s="1" t="str">
        <f aca="false">IF($A67="","",IFERROR(INDEX(账户总表!$B:$B,COUNTA(账户总表!$A:$A))*INDEX(账户总表!$O:$O,COUNTA(账户总表!$A:$A)),0))</f>
        <v/>
      </c>
      <c r="AI67" s="1" t="str">
        <f aca="false">IF($A67="","",IF(AF67&gt;AH67,"超限","合规"))</f>
        <v/>
      </c>
      <c r="AJ67" s="1" t="str">
        <f aca="false">IF($A67="","",IFERROR(AF67/INDEX(账户总表!$O:$O,COUNTA(账户总表!$A:$A)),0))</f>
        <v/>
      </c>
      <c r="AK67" s="1" t="str">
        <f aca="false">IF($A67="","",IFERROR(MAX(0,AJ67-INDEX(账户总表!$B:$B,COUNTA(账户总表!$A:$A)),AF67-INDEX(账户总表!$C:$C,COUNTA(账户总表!$A:$A))),0))</f>
        <v/>
      </c>
      <c r="AL67" s="1" t="str">
        <f aca="false">IF($A67="","",IF(COUNTIF(持仓表!$C$2:$C$201,C67)&gt;0,"已有","新标的"))</f>
        <v/>
      </c>
      <c r="AM67" s="1" t="str">
        <f aca="false">IF($A67="","",IFERROR(SUMIFS(持仓表!$N$2:$N$201,持仓表!$C$2:$C$201,C67,持仓表!$A$2:$A$201,$A67),0))</f>
        <v/>
      </c>
      <c r="AN67" s="1" t="str">
        <f aca="false">IF($A67="","",IFERROR(AM67+AF67/INDEX(账户总表!$B:$B,COUNTA(账户总表!$A:$A)),0))</f>
        <v/>
      </c>
      <c r="AO67" s="1" t="str">
        <f aca="false">IF($A67="","",IF(AN67&gt;INDEX(账户总表!$O:$O,COUNTA(账户总表!$A:$A)),"超限","合规"))</f>
        <v/>
      </c>
      <c r="AP67" s="1" t="str">
        <f aca="false">IF($A67="","",IF(AND(AL67="新标的",INDEX(账户总表!$R:$R,COUNTA(账户总表!$A:$A))&gt;=INDEX(账户总表!$S:$S,COUNTA(账户总表!$A:$A))),"新增受限","可通过"))</f>
        <v/>
      </c>
      <c r="AQ67" s="1" t="str">
        <f aca="false">IF($A67="","",IF(K67&lt;&gt;"核心池","非核心池",IF(OR(AI67="超限",AO67="超限",AP67="新增受限"),"不可加仓","可加仓")))</f>
        <v/>
      </c>
      <c r="AR67" s="1" t="str">
        <f aca="false">IF($A67="","",TRIM(IF(AI67="超限","1手超单股上限；","")&amp;IF(AO67="超限","买后仓位超限；","")&amp;IF(AP67="新增受限","有效持仓数超限；","")&amp;IF(AF67&gt;INDEX(账户总表!$C:$C,COUNTA(账户总表!$A:$A)),"现金不足；","")))</f>
        <v/>
      </c>
      <c r="AS67" s="1" t="str">
        <f aca="false">IF($A67="","",IFERROR(INDEX(候选池历史!$L:$L,MATCH(1,(候选池历史!$B:$B=C67)*(候选池历史!$A:$A=$A67),0)),0))</f>
        <v/>
      </c>
      <c r="AT67" s="1" t="str">
        <f aca="false">IF($A67="","",IF(AS67&gt;=3,"★信号强化",IF(K67="核心池","核心观察","")))</f>
        <v/>
      </c>
      <c r="AU67" s="1" t="str">
        <f aca="false">IF($A67="","",IF(AK67&gt;30000-INDEX(账户总表!$B:$B,COUNTA(账户总表!$A:$A)),"不适合婴儿阶段","可纳入幼儿路径"))</f>
        <v/>
      </c>
    </row>
    <row r="68" customFormat="false" ht="15" hidden="false" customHeight="true" outlineLevel="0" collapsed="false">
      <c r="A68" s="70"/>
      <c r="B68" s="71"/>
      <c r="C68" s="72"/>
      <c r="D68" s="73"/>
      <c r="E68" s="73"/>
      <c r="F68" s="73"/>
      <c r="G68" s="74"/>
      <c r="H68" s="72"/>
      <c r="I68" s="72"/>
      <c r="J68" s="71"/>
      <c r="K68" s="75" t="str">
        <f aca="false">IF($A68="","",IF(AND(G68&lt;45%,H68&gt;=0.9),"A",IF(AND(G68&lt;60%,H68&gt;0.8),"B","C")))</f>
        <v/>
      </c>
      <c r="L68" s="75" t="str">
        <f aca="false">IF($A68="","",IF(AND(G68&lt;60%,H68&gt;0.8,I68="True"),"是","否"))</f>
        <v/>
      </c>
      <c r="M68" s="75" t="str">
        <f aca="false">IF($A68="","",IF(AND(D68&gt;0,E68&gt;0,D68&lt;=E68*1.02),"是","否"))</f>
        <v/>
      </c>
      <c r="N68" s="76" t="n">
        <f aca="false">IFERROR(INDEX(账户总表!$O:$O,COUNTA(账户总表!$A:$A)),0)</f>
        <v>0.35</v>
      </c>
      <c r="O68" s="77" t="n">
        <f aca="false">IFERROR(INDEX(账户总表!$B:$B,COUNTA(账户总表!$A:$A))*N68,0)</f>
        <v>7294.812</v>
      </c>
      <c r="P68" s="78" t="n">
        <f aca="false">IFERROR(O68/D68,0)</f>
        <v>0</v>
      </c>
      <c r="Q68" s="78" t="n">
        <f aca="false">IFERROR(FLOOR(P68,100),0)</f>
        <v>0</v>
      </c>
      <c r="R68" s="78" t="n">
        <f aca="false">IFERROR(CEILING(800/(100*D68),1)*100,0)</f>
        <v>0</v>
      </c>
      <c r="S68" s="79"/>
      <c r="T68" s="77" t="n">
        <f aca="false">IFERROR(S68*D68,0)</f>
        <v>0</v>
      </c>
      <c r="U68" s="76" t="n">
        <f aca="false">IFERROR(T68/INDEX(账户总表!$B:$B,COUNTA(账户总表!$A:$A)),0)</f>
        <v>0</v>
      </c>
      <c r="V68" s="76" t="n">
        <f aca="false">IFERROR(INDEX(账户总表!$E:$E,COUNTA(账户总表!$A:$A))+U68,0)</f>
        <v>0.407056412146057</v>
      </c>
      <c r="W68" s="75" t="str">
        <f aca="false">IF($A68="","",IFERROR(IF(V68&lt;=INDEX(账户总表!$N:$N,COUNTA(账户总表!$A:$A)),"是","否"),"否"))</f>
        <v/>
      </c>
      <c r="X68" s="77" t="str">
        <f aca="false">IF($A68="","",MAX(F68*0.98,D68*0.92))</f>
        <v/>
      </c>
      <c r="Y68" s="72"/>
      <c r="Z68" s="75" t="str">
        <f aca="false">IF($A68="","",IFERROR(IF(AND(T68&gt;INDEX(账户总表!$C:$C,COUNTA(账户总表!$A:$A)),L68="是"),"是","否"),"否"))</f>
        <v/>
      </c>
      <c r="AA68" s="77" t="str">
        <f aca="false">IF($A68="","",IFERROR(IF(Z68="是",MAX(0,T68-INDEX(账户总表!$C:$C,COUNTA(账户总表!$A:$A)),IF(N68&gt;0,T68/N68-INDEX(账户总表!$B:$B,COUNTA(账户总表!$A:$A)),0)),0),0))</f>
        <v/>
      </c>
      <c r="AB68" s="77" t="str">
        <f aca="false">IF($A68="","",IF(AND(Z68="是",INDEX(账户总表!$U:$U,COUNTA(账户总表!$A:$A))="是"),IF(INDEX(账户总表!$L:$L,COUNTA(账户总表!$A:$A))&gt;=4,AA68*1.5,AA68),0))</f>
        <v/>
      </c>
      <c r="AC68" s="75" t="str">
        <f aca="false">IF($A68="","",IF(AND(L68="是",Q68&gt;=R68,S68&lt;=Q68,S68&gt;=R68,W68="是",X68&gt;0,M68="是",INDEX(账户总表!$M:$M,COUNTA(账户总表!$A:$A))&lt;=2,INDEX(账户总表!$V:$V,COUNTA(账户总表!$A:$A))="是",OR(T68&lt;=INDEX(账户总表!$C:$C,COUNTA(账户总表!$A:$A)),AND(Z68="是",INDEX(账户总表!$U:$U,COUNTA(账户总表!$A:$A))="是",AB68&gt;0))),"是","否"))</f>
        <v/>
      </c>
      <c r="AD68" s="75" t="str">
        <f aca="false">IF($A68="","",IF(L68&lt;&gt;"是","信号未确认",IF(X68&lt;=0,"止损价未定义",IF(Q68&lt;R68,"100股约束不满足",IF(S68&gt;Q68,"计划股数超单股上限",IF(S68&lt;R68,"计划股数低于最小门槛",IF(W68&lt;&gt;"是","总仓位超限",IF(M68&lt;&gt;"是","追价",IF(INDEX(账户总表!$M:$M,COUNTA(账户总表!$A:$A))&gt;2,"亏钱效应偏高",IF(INDEX(账户总表!$V:$V,COUNTA(账户总表!$A:$A))&lt;&gt;"是","账户不允许新开仓",IF(AND(T68&gt;INDEX(账户总表!$C:$C,COUNTA(账户总表!$A:$A)),INDEX(账户总表!$U:$U,COUNTA(账户总表!$A:$A))&lt;&gt;"是"),"现金不足且不允许转入",IF(AND(Z68="是",AB68&lt;=0),"转入金额未满足",""))))))))))))</f>
        <v/>
      </c>
      <c r="AE68" s="71"/>
      <c r="AF68" s="1" t="str">
        <f aca="false">IF($A68="","",D68*100)</f>
        <v/>
      </c>
      <c r="AG68" s="1" t="str">
        <f aca="false">IF($A68="","",IFERROR(AF68/INDEX(账户总表!$B:$B,COUNTA(账户总表!$A:$A)),0))</f>
        <v/>
      </c>
      <c r="AH68" s="1" t="str">
        <f aca="false">IF($A68="","",IFERROR(INDEX(账户总表!$B:$B,COUNTA(账户总表!$A:$A))*INDEX(账户总表!$O:$O,COUNTA(账户总表!$A:$A)),0))</f>
        <v/>
      </c>
      <c r="AI68" s="1" t="str">
        <f aca="false">IF($A68="","",IF(AF68&gt;AH68,"超限","合规"))</f>
        <v/>
      </c>
      <c r="AJ68" s="1" t="str">
        <f aca="false">IF($A68="","",IFERROR(AF68/INDEX(账户总表!$O:$O,COUNTA(账户总表!$A:$A)),0))</f>
        <v/>
      </c>
      <c r="AK68" s="1" t="str">
        <f aca="false">IF($A68="","",IFERROR(MAX(0,AJ68-INDEX(账户总表!$B:$B,COUNTA(账户总表!$A:$A)),AF68-INDEX(账户总表!$C:$C,COUNTA(账户总表!$A:$A))),0))</f>
        <v/>
      </c>
      <c r="AL68" s="1" t="str">
        <f aca="false">IF($A68="","",IF(COUNTIF(持仓表!$C$2:$C$201,C68)&gt;0,"已有","新标的"))</f>
        <v/>
      </c>
      <c r="AM68" s="1" t="str">
        <f aca="false">IF($A68="","",IFERROR(SUMIFS(持仓表!$N$2:$N$201,持仓表!$C$2:$C$201,C68,持仓表!$A$2:$A$201,$A68),0))</f>
        <v/>
      </c>
      <c r="AN68" s="1" t="str">
        <f aca="false">IF($A68="","",IFERROR(AM68+AF68/INDEX(账户总表!$B:$B,COUNTA(账户总表!$A:$A)),0))</f>
        <v/>
      </c>
      <c r="AO68" s="1" t="str">
        <f aca="false">IF($A68="","",IF(AN68&gt;INDEX(账户总表!$O:$O,COUNTA(账户总表!$A:$A)),"超限","合规"))</f>
        <v/>
      </c>
      <c r="AP68" s="1" t="str">
        <f aca="false">IF($A68="","",IF(AND(AL68="新标的",INDEX(账户总表!$R:$R,COUNTA(账户总表!$A:$A))&gt;=INDEX(账户总表!$S:$S,COUNTA(账户总表!$A:$A))),"新增受限","可通过"))</f>
        <v/>
      </c>
      <c r="AQ68" s="1" t="str">
        <f aca="false">IF($A68="","",IF(K68&lt;&gt;"核心池","非核心池",IF(OR(AI68="超限",AO68="超限",AP68="新增受限"),"不可加仓","可加仓")))</f>
        <v/>
      </c>
      <c r="AR68" s="1" t="str">
        <f aca="false">IF($A68="","",TRIM(IF(AI68="超限","1手超单股上限；","")&amp;IF(AO68="超限","买后仓位超限；","")&amp;IF(AP68="新增受限","有效持仓数超限；","")&amp;IF(AF68&gt;INDEX(账户总表!$C:$C,COUNTA(账户总表!$A:$A)),"现金不足；","")))</f>
        <v/>
      </c>
      <c r="AS68" s="1" t="str">
        <f aca="false">IF($A68="","",IFERROR(INDEX(候选池历史!$L:$L,MATCH(1,(候选池历史!$B:$B=C68)*(候选池历史!$A:$A=$A68),0)),0))</f>
        <v/>
      </c>
      <c r="AT68" s="1" t="str">
        <f aca="false">IF($A68="","",IF(AS68&gt;=3,"★信号强化",IF(K68="核心池","核心观察","")))</f>
        <v/>
      </c>
      <c r="AU68" s="1" t="str">
        <f aca="false">IF($A68="","",IF(AK68&gt;30000-INDEX(账户总表!$B:$B,COUNTA(账户总表!$A:$A)),"不适合婴儿阶段","可纳入幼儿路径"))</f>
        <v/>
      </c>
    </row>
    <row r="69" customFormat="false" ht="15" hidden="false" customHeight="true" outlineLevel="0" collapsed="false">
      <c r="A69" s="70"/>
      <c r="B69" s="71"/>
      <c r="C69" s="72"/>
      <c r="D69" s="73"/>
      <c r="E69" s="73"/>
      <c r="F69" s="73"/>
      <c r="G69" s="74"/>
      <c r="H69" s="72"/>
      <c r="I69" s="72"/>
      <c r="J69" s="71"/>
      <c r="K69" s="75" t="str">
        <f aca="false">IF($A69="","",IF(AND(G69&lt;45%,H69&gt;=0.9),"A",IF(AND(G69&lt;60%,H69&gt;0.8),"B","C")))</f>
        <v/>
      </c>
      <c r="L69" s="75" t="str">
        <f aca="false">IF($A69="","",IF(AND(G69&lt;60%,H69&gt;0.8,I69="True"),"是","否"))</f>
        <v/>
      </c>
      <c r="M69" s="75" t="str">
        <f aca="false">IF($A69="","",IF(AND(D69&gt;0,E69&gt;0,D69&lt;=E69*1.02),"是","否"))</f>
        <v/>
      </c>
      <c r="N69" s="76" t="n">
        <f aca="false">IFERROR(INDEX(账户总表!$O:$O,COUNTA(账户总表!$A:$A)),0)</f>
        <v>0.35</v>
      </c>
      <c r="O69" s="77" t="n">
        <f aca="false">IFERROR(INDEX(账户总表!$B:$B,COUNTA(账户总表!$A:$A))*N69,0)</f>
        <v>7294.812</v>
      </c>
      <c r="P69" s="78" t="n">
        <f aca="false">IFERROR(O69/D69,0)</f>
        <v>0</v>
      </c>
      <c r="Q69" s="78" t="n">
        <f aca="false">IFERROR(FLOOR(P69,100),0)</f>
        <v>0</v>
      </c>
      <c r="R69" s="78" t="n">
        <f aca="false">IFERROR(CEILING(800/(100*D69),1)*100,0)</f>
        <v>0</v>
      </c>
      <c r="S69" s="79"/>
      <c r="T69" s="77" t="n">
        <f aca="false">IFERROR(S69*D69,0)</f>
        <v>0</v>
      </c>
      <c r="U69" s="76" t="n">
        <f aca="false">IFERROR(T69/INDEX(账户总表!$B:$B,COUNTA(账户总表!$A:$A)),0)</f>
        <v>0</v>
      </c>
      <c r="V69" s="76" t="n">
        <f aca="false">IFERROR(INDEX(账户总表!$E:$E,COUNTA(账户总表!$A:$A))+U69,0)</f>
        <v>0.407056412146057</v>
      </c>
      <c r="W69" s="75" t="str">
        <f aca="false">IF($A69="","",IFERROR(IF(V69&lt;=INDEX(账户总表!$N:$N,COUNTA(账户总表!$A:$A)),"是","否"),"否"))</f>
        <v/>
      </c>
      <c r="X69" s="77" t="str">
        <f aca="false">IF($A69="","",MAX(F69*0.98,D69*0.92))</f>
        <v/>
      </c>
      <c r="Y69" s="72"/>
      <c r="Z69" s="75" t="str">
        <f aca="false">IF($A69="","",IFERROR(IF(AND(T69&gt;INDEX(账户总表!$C:$C,COUNTA(账户总表!$A:$A)),L69="是"),"是","否"),"否"))</f>
        <v/>
      </c>
      <c r="AA69" s="77" t="str">
        <f aca="false">IF($A69="","",IFERROR(IF(Z69="是",MAX(0,T69-INDEX(账户总表!$C:$C,COUNTA(账户总表!$A:$A)),IF(N69&gt;0,T69/N69-INDEX(账户总表!$B:$B,COUNTA(账户总表!$A:$A)),0)),0),0))</f>
        <v/>
      </c>
      <c r="AB69" s="77" t="str">
        <f aca="false">IF($A69="","",IF(AND(Z69="是",INDEX(账户总表!$U:$U,COUNTA(账户总表!$A:$A))="是"),IF(INDEX(账户总表!$L:$L,COUNTA(账户总表!$A:$A))&gt;=4,AA69*1.5,AA69),0))</f>
        <v/>
      </c>
      <c r="AC69" s="75" t="str">
        <f aca="false">IF($A69="","",IF(AND(L69="是",Q69&gt;=R69,S69&lt;=Q69,S69&gt;=R69,W69="是",X69&gt;0,M69="是",INDEX(账户总表!$M:$M,COUNTA(账户总表!$A:$A))&lt;=2,INDEX(账户总表!$V:$V,COUNTA(账户总表!$A:$A))="是",OR(T69&lt;=INDEX(账户总表!$C:$C,COUNTA(账户总表!$A:$A)),AND(Z69="是",INDEX(账户总表!$U:$U,COUNTA(账户总表!$A:$A))="是",AB69&gt;0))),"是","否"))</f>
        <v/>
      </c>
      <c r="AD69" s="75" t="str">
        <f aca="false">IF($A69="","",IF(L69&lt;&gt;"是","信号未确认",IF(X69&lt;=0,"止损价未定义",IF(Q69&lt;R69,"100股约束不满足",IF(S69&gt;Q69,"计划股数超单股上限",IF(S69&lt;R69,"计划股数低于最小门槛",IF(W69&lt;&gt;"是","总仓位超限",IF(M69&lt;&gt;"是","追价",IF(INDEX(账户总表!$M:$M,COUNTA(账户总表!$A:$A))&gt;2,"亏钱效应偏高",IF(INDEX(账户总表!$V:$V,COUNTA(账户总表!$A:$A))&lt;&gt;"是","账户不允许新开仓",IF(AND(T69&gt;INDEX(账户总表!$C:$C,COUNTA(账户总表!$A:$A)),INDEX(账户总表!$U:$U,COUNTA(账户总表!$A:$A))&lt;&gt;"是"),"现金不足且不允许转入",IF(AND(Z69="是",AB69&lt;=0),"转入金额未满足",""))))))))))))</f>
        <v/>
      </c>
      <c r="AE69" s="71"/>
      <c r="AF69" s="1" t="str">
        <f aca="false">IF($A69="","",D69*100)</f>
        <v/>
      </c>
      <c r="AG69" s="1" t="str">
        <f aca="false">IF($A69="","",IFERROR(AF69/INDEX(账户总表!$B:$B,COUNTA(账户总表!$A:$A)),0))</f>
        <v/>
      </c>
      <c r="AH69" s="1" t="str">
        <f aca="false">IF($A69="","",IFERROR(INDEX(账户总表!$B:$B,COUNTA(账户总表!$A:$A))*INDEX(账户总表!$O:$O,COUNTA(账户总表!$A:$A)),0))</f>
        <v/>
      </c>
      <c r="AI69" s="1" t="str">
        <f aca="false">IF($A69="","",IF(AF69&gt;AH69,"超限","合规"))</f>
        <v/>
      </c>
      <c r="AJ69" s="1" t="str">
        <f aca="false">IF($A69="","",IFERROR(AF69/INDEX(账户总表!$O:$O,COUNTA(账户总表!$A:$A)),0))</f>
        <v/>
      </c>
      <c r="AK69" s="1" t="str">
        <f aca="false">IF($A69="","",IFERROR(MAX(0,AJ69-INDEX(账户总表!$B:$B,COUNTA(账户总表!$A:$A)),AF69-INDEX(账户总表!$C:$C,COUNTA(账户总表!$A:$A))),0))</f>
        <v/>
      </c>
      <c r="AL69" s="1" t="str">
        <f aca="false">IF($A69="","",IF(COUNTIF(持仓表!$C$2:$C$201,C69)&gt;0,"已有","新标的"))</f>
        <v/>
      </c>
      <c r="AM69" s="1" t="str">
        <f aca="false">IF($A69="","",IFERROR(SUMIFS(持仓表!$N$2:$N$201,持仓表!$C$2:$C$201,C69,持仓表!$A$2:$A$201,$A69),0))</f>
        <v/>
      </c>
      <c r="AN69" s="1" t="str">
        <f aca="false">IF($A69="","",IFERROR(AM69+AF69/INDEX(账户总表!$B:$B,COUNTA(账户总表!$A:$A)),0))</f>
        <v/>
      </c>
      <c r="AO69" s="1" t="str">
        <f aca="false">IF($A69="","",IF(AN69&gt;INDEX(账户总表!$O:$O,COUNTA(账户总表!$A:$A)),"超限","合规"))</f>
        <v/>
      </c>
      <c r="AP69" s="1" t="str">
        <f aca="false">IF($A69="","",IF(AND(AL69="新标的",INDEX(账户总表!$R:$R,COUNTA(账户总表!$A:$A))&gt;=INDEX(账户总表!$S:$S,COUNTA(账户总表!$A:$A))),"新增受限","可通过"))</f>
        <v/>
      </c>
      <c r="AQ69" s="1" t="str">
        <f aca="false">IF($A69="","",IF(K69&lt;&gt;"核心池","非核心池",IF(OR(AI69="超限",AO69="超限",AP69="新增受限"),"不可加仓","可加仓")))</f>
        <v/>
      </c>
      <c r="AR69" s="1" t="str">
        <f aca="false">IF($A69="","",TRIM(IF(AI69="超限","1手超单股上限；","")&amp;IF(AO69="超限","买后仓位超限；","")&amp;IF(AP69="新增受限","有效持仓数超限；","")&amp;IF(AF69&gt;INDEX(账户总表!$C:$C,COUNTA(账户总表!$A:$A)),"现金不足；","")))</f>
        <v/>
      </c>
      <c r="AS69" s="1" t="str">
        <f aca="false">IF($A69="","",IFERROR(INDEX(候选池历史!$L:$L,MATCH(1,(候选池历史!$B:$B=C69)*(候选池历史!$A:$A=$A69),0)),0))</f>
        <v/>
      </c>
      <c r="AT69" s="1" t="str">
        <f aca="false">IF($A69="","",IF(AS69&gt;=3,"★信号强化",IF(K69="核心池","核心观察","")))</f>
        <v/>
      </c>
      <c r="AU69" s="1" t="str">
        <f aca="false">IF($A69="","",IF(AK69&gt;30000-INDEX(账户总表!$B:$B,COUNTA(账户总表!$A:$A)),"不适合婴儿阶段","可纳入幼儿路径"))</f>
        <v/>
      </c>
    </row>
    <row r="70" customFormat="false" ht="15" hidden="false" customHeight="true" outlineLevel="0" collapsed="false">
      <c r="A70" s="70"/>
      <c r="B70" s="71"/>
      <c r="C70" s="72"/>
      <c r="D70" s="73"/>
      <c r="E70" s="73"/>
      <c r="F70" s="73"/>
      <c r="G70" s="74"/>
      <c r="H70" s="72"/>
      <c r="I70" s="72"/>
      <c r="J70" s="71"/>
      <c r="K70" s="75" t="str">
        <f aca="false">IF($A70="","",IF(AND(G70&lt;45%,H70&gt;=0.9),"A",IF(AND(G70&lt;60%,H70&gt;0.8),"B","C")))</f>
        <v/>
      </c>
      <c r="L70" s="75" t="str">
        <f aca="false">IF($A70="","",IF(AND(G70&lt;60%,H70&gt;0.8,I70="True"),"是","否"))</f>
        <v/>
      </c>
      <c r="M70" s="75" t="str">
        <f aca="false">IF($A70="","",IF(AND(D70&gt;0,E70&gt;0,D70&lt;=E70*1.02),"是","否"))</f>
        <v/>
      </c>
      <c r="N70" s="76" t="n">
        <f aca="false">IFERROR(INDEX(账户总表!$O:$O,COUNTA(账户总表!$A:$A)),0)</f>
        <v>0.35</v>
      </c>
      <c r="O70" s="77" t="n">
        <f aca="false">IFERROR(INDEX(账户总表!$B:$B,COUNTA(账户总表!$A:$A))*N70,0)</f>
        <v>7294.812</v>
      </c>
      <c r="P70" s="78" t="n">
        <f aca="false">IFERROR(O70/D70,0)</f>
        <v>0</v>
      </c>
      <c r="Q70" s="78" t="n">
        <f aca="false">IFERROR(FLOOR(P70,100),0)</f>
        <v>0</v>
      </c>
      <c r="R70" s="78" t="n">
        <f aca="false">IFERROR(CEILING(800/(100*D70),1)*100,0)</f>
        <v>0</v>
      </c>
      <c r="S70" s="79"/>
      <c r="T70" s="77" t="n">
        <f aca="false">IFERROR(S70*D70,0)</f>
        <v>0</v>
      </c>
      <c r="U70" s="76" t="n">
        <f aca="false">IFERROR(T70/INDEX(账户总表!$B:$B,COUNTA(账户总表!$A:$A)),0)</f>
        <v>0</v>
      </c>
      <c r="V70" s="76" t="n">
        <f aca="false">IFERROR(INDEX(账户总表!$E:$E,COUNTA(账户总表!$A:$A))+U70,0)</f>
        <v>0.407056412146057</v>
      </c>
      <c r="W70" s="75" t="str">
        <f aca="false">IF($A70="","",IFERROR(IF(V70&lt;=INDEX(账户总表!$N:$N,COUNTA(账户总表!$A:$A)),"是","否"),"否"))</f>
        <v/>
      </c>
      <c r="X70" s="77" t="str">
        <f aca="false">IF($A70="","",MAX(F70*0.98,D70*0.92))</f>
        <v/>
      </c>
      <c r="Y70" s="72"/>
      <c r="Z70" s="75" t="str">
        <f aca="false">IF($A70="","",IFERROR(IF(AND(T70&gt;INDEX(账户总表!$C:$C,COUNTA(账户总表!$A:$A)),L70="是"),"是","否"),"否"))</f>
        <v/>
      </c>
      <c r="AA70" s="77" t="str">
        <f aca="false">IF($A70="","",IFERROR(IF(Z70="是",MAX(0,T70-INDEX(账户总表!$C:$C,COUNTA(账户总表!$A:$A)),IF(N70&gt;0,T70/N70-INDEX(账户总表!$B:$B,COUNTA(账户总表!$A:$A)),0)),0),0))</f>
        <v/>
      </c>
      <c r="AB70" s="77" t="str">
        <f aca="false">IF($A70="","",IF(AND(Z70="是",INDEX(账户总表!$U:$U,COUNTA(账户总表!$A:$A))="是"),IF(INDEX(账户总表!$L:$L,COUNTA(账户总表!$A:$A))&gt;=4,AA70*1.5,AA70),0))</f>
        <v/>
      </c>
      <c r="AC70" s="75" t="str">
        <f aca="false">IF($A70="","",IF(AND(L70="是",Q70&gt;=R70,S70&lt;=Q70,S70&gt;=R70,W70="是",X70&gt;0,M70="是",INDEX(账户总表!$M:$M,COUNTA(账户总表!$A:$A))&lt;=2,INDEX(账户总表!$V:$V,COUNTA(账户总表!$A:$A))="是",OR(T70&lt;=INDEX(账户总表!$C:$C,COUNTA(账户总表!$A:$A)),AND(Z70="是",INDEX(账户总表!$U:$U,COUNTA(账户总表!$A:$A))="是",AB70&gt;0))),"是","否"))</f>
        <v/>
      </c>
      <c r="AD70" s="75" t="str">
        <f aca="false">IF($A70="","",IF(L70&lt;&gt;"是","信号未确认",IF(X70&lt;=0,"止损价未定义",IF(Q70&lt;R70,"100股约束不满足",IF(S70&gt;Q70,"计划股数超单股上限",IF(S70&lt;R70,"计划股数低于最小门槛",IF(W70&lt;&gt;"是","总仓位超限",IF(M70&lt;&gt;"是","追价",IF(INDEX(账户总表!$M:$M,COUNTA(账户总表!$A:$A))&gt;2,"亏钱效应偏高",IF(INDEX(账户总表!$V:$V,COUNTA(账户总表!$A:$A))&lt;&gt;"是","账户不允许新开仓",IF(AND(T70&gt;INDEX(账户总表!$C:$C,COUNTA(账户总表!$A:$A)),INDEX(账户总表!$U:$U,COUNTA(账户总表!$A:$A))&lt;&gt;"是"),"现金不足且不允许转入",IF(AND(Z70="是",AB70&lt;=0),"转入金额未满足",""))))))))))))</f>
        <v/>
      </c>
      <c r="AE70" s="71"/>
      <c r="AF70" s="1" t="str">
        <f aca="false">IF($A70="","",D70*100)</f>
        <v/>
      </c>
      <c r="AG70" s="1" t="str">
        <f aca="false">IF($A70="","",IFERROR(AF70/INDEX(账户总表!$B:$B,COUNTA(账户总表!$A:$A)),0))</f>
        <v/>
      </c>
      <c r="AH70" s="1" t="str">
        <f aca="false">IF($A70="","",IFERROR(INDEX(账户总表!$B:$B,COUNTA(账户总表!$A:$A))*INDEX(账户总表!$O:$O,COUNTA(账户总表!$A:$A)),0))</f>
        <v/>
      </c>
      <c r="AI70" s="1" t="str">
        <f aca="false">IF($A70="","",IF(AF70&gt;AH70,"超限","合规"))</f>
        <v/>
      </c>
      <c r="AJ70" s="1" t="str">
        <f aca="false">IF($A70="","",IFERROR(AF70/INDEX(账户总表!$O:$O,COUNTA(账户总表!$A:$A)),0))</f>
        <v/>
      </c>
      <c r="AK70" s="1" t="str">
        <f aca="false">IF($A70="","",IFERROR(MAX(0,AJ70-INDEX(账户总表!$B:$B,COUNTA(账户总表!$A:$A)),AF70-INDEX(账户总表!$C:$C,COUNTA(账户总表!$A:$A))),0))</f>
        <v/>
      </c>
      <c r="AL70" s="1" t="str">
        <f aca="false">IF($A70="","",IF(COUNTIF(持仓表!$C$2:$C$201,C70)&gt;0,"已有","新标的"))</f>
        <v/>
      </c>
      <c r="AM70" s="1" t="str">
        <f aca="false">IF($A70="","",IFERROR(SUMIFS(持仓表!$N$2:$N$201,持仓表!$C$2:$C$201,C70,持仓表!$A$2:$A$201,$A70),0))</f>
        <v/>
      </c>
      <c r="AN70" s="1" t="str">
        <f aca="false">IF($A70="","",IFERROR(AM70+AF70/INDEX(账户总表!$B:$B,COUNTA(账户总表!$A:$A)),0))</f>
        <v/>
      </c>
      <c r="AO70" s="1" t="str">
        <f aca="false">IF($A70="","",IF(AN70&gt;INDEX(账户总表!$O:$O,COUNTA(账户总表!$A:$A)),"超限","合规"))</f>
        <v/>
      </c>
      <c r="AP70" s="1" t="str">
        <f aca="false">IF($A70="","",IF(AND(AL70="新标的",INDEX(账户总表!$R:$R,COUNTA(账户总表!$A:$A))&gt;=INDEX(账户总表!$S:$S,COUNTA(账户总表!$A:$A))),"新增受限","可通过"))</f>
        <v/>
      </c>
      <c r="AQ70" s="1" t="str">
        <f aca="false">IF($A70="","",IF(K70&lt;&gt;"核心池","非核心池",IF(OR(AI70="超限",AO70="超限",AP70="新增受限"),"不可加仓","可加仓")))</f>
        <v/>
      </c>
      <c r="AR70" s="1" t="str">
        <f aca="false">IF($A70="","",TRIM(IF(AI70="超限","1手超单股上限；","")&amp;IF(AO70="超限","买后仓位超限；","")&amp;IF(AP70="新增受限","有效持仓数超限；","")&amp;IF(AF70&gt;INDEX(账户总表!$C:$C,COUNTA(账户总表!$A:$A)),"现金不足；","")))</f>
        <v/>
      </c>
      <c r="AS70" s="1" t="str">
        <f aca="false">IF($A70="","",IFERROR(INDEX(候选池历史!$L:$L,MATCH(1,(候选池历史!$B:$B=C70)*(候选池历史!$A:$A=$A70),0)),0))</f>
        <v/>
      </c>
      <c r="AT70" s="1" t="str">
        <f aca="false">IF($A70="","",IF(AS70&gt;=3,"★信号强化",IF(K70="核心池","核心观察","")))</f>
        <v/>
      </c>
      <c r="AU70" s="1" t="str">
        <f aca="false">IF($A70="","",IF(AK70&gt;30000-INDEX(账户总表!$B:$B,COUNTA(账户总表!$A:$A)),"不适合婴儿阶段","可纳入幼儿路径"))</f>
        <v/>
      </c>
    </row>
    <row r="71" customFormat="false" ht="15" hidden="false" customHeight="true" outlineLevel="0" collapsed="false">
      <c r="A71" s="70"/>
      <c r="B71" s="71"/>
      <c r="C71" s="72"/>
      <c r="D71" s="73"/>
      <c r="E71" s="73"/>
      <c r="F71" s="73"/>
      <c r="G71" s="74"/>
      <c r="H71" s="72"/>
      <c r="I71" s="72"/>
      <c r="J71" s="71"/>
      <c r="K71" s="75" t="str">
        <f aca="false">IF($A71="","",IF(AND(G71&lt;45%,H71&gt;=0.9),"A",IF(AND(G71&lt;60%,H71&gt;0.8),"B","C")))</f>
        <v/>
      </c>
      <c r="L71" s="75" t="str">
        <f aca="false">IF($A71="","",IF(AND(G71&lt;60%,H71&gt;0.8,I71="True"),"是","否"))</f>
        <v/>
      </c>
      <c r="M71" s="75" t="str">
        <f aca="false">IF($A71="","",IF(AND(D71&gt;0,E71&gt;0,D71&lt;=E71*1.02),"是","否"))</f>
        <v/>
      </c>
      <c r="N71" s="76" t="n">
        <f aca="false">IFERROR(INDEX(账户总表!$O:$O,COUNTA(账户总表!$A:$A)),0)</f>
        <v>0.35</v>
      </c>
      <c r="O71" s="77" t="n">
        <f aca="false">IFERROR(INDEX(账户总表!$B:$B,COUNTA(账户总表!$A:$A))*N71,0)</f>
        <v>7294.812</v>
      </c>
      <c r="P71" s="78" t="n">
        <f aca="false">IFERROR(O71/D71,0)</f>
        <v>0</v>
      </c>
      <c r="Q71" s="78" t="n">
        <f aca="false">IFERROR(FLOOR(P71,100),0)</f>
        <v>0</v>
      </c>
      <c r="R71" s="78" t="n">
        <f aca="false">IFERROR(CEILING(800/(100*D71),1)*100,0)</f>
        <v>0</v>
      </c>
      <c r="S71" s="79"/>
      <c r="T71" s="77" t="n">
        <f aca="false">IFERROR(S71*D71,0)</f>
        <v>0</v>
      </c>
      <c r="U71" s="76" t="n">
        <f aca="false">IFERROR(T71/INDEX(账户总表!$B:$B,COUNTA(账户总表!$A:$A)),0)</f>
        <v>0</v>
      </c>
      <c r="V71" s="76" t="n">
        <f aca="false">IFERROR(INDEX(账户总表!$E:$E,COUNTA(账户总表!$A:$A))+U71,0)</f>
        <v>0.407056412146057</v>
      </c>
      <c r="W71" s="75" t="str">
        <f aca="false">IF($A71="","",IFERROR(IF(V71&lt;=INDEX(账户总表!$N:$N,COUNTA(账户总表!$A:$A)),"是","否"),"否"))</f>
        <v/>
      </c>
      <c r="X71" s="77" t="str">
        <f aca="false">IF($A71="","",MAX(F71*0.98,D71*0.92))</f>
        <v/>
      </c>
      <c r="Y71" s="72"/>
      <c r="Z71" s="75" t="str">
        <f aca="false">IF($A71="","",IFERROR(IF(AND(T71&gt;INDEX(账户总表!$C:$C,COUNTA(账户总表!$A:$A)),L71="是"),"是","否"),"否"))</f>
        <v/>
      </c>
      <c r="AA71" s="77" t="str">
        <f aca="false">IF($A71="","",IFERROR(IF(Z71="是",MAX(0,T71-INDEX(账户总表!$C:$C,COUNTA(账户总表!$A:$A)),IF(N71&gt;0,T71/N71-INDEX(账户总表!$B:$B,COUNTA(账户总表!$A:$A)),0)),0),0))</f>
        <v/>
      </c>
      <c r="AB71" s="77" t="str">
        <f aca="false">IF($A71="","",IF(AND(Z71="是",INDEX(账户总表!$U:$U,COUNTA(账户总表!$A:$A))="是"),IF(INDEX(账户总表!$L:$L,COUNTA(账户总表!$A:$A))&gt;=4,AA71*1.5,AA71),0))</f>
        <v/>
      </c>
      <c r="AC71" s="75" t="str">
        <f aca="false">IF($A71="","",IF(AND(L71="是",Q71&gt;=R71,S71&lt;=Q71,S71&gt;=R71,W71="是",X71&gt;0,M71="是",INDEX(账户总表!$M:$M,COUNTA(账户总表!$A:$A))&lt;=2,INDEX(账户总表!$V:$V,COUNTA(账户总表!$A:$A))="是",OR(T71&lt;=INDEX(账户总表!$C:$C,COUNTA(账户总表!$A:$A)),AND(Z71="是",INDEX(账户总表!$U:$U,COUNTA(账户总表!$A:$A))="是",AB71&gt;0))),"是","否"))</f>
        <v/>
      </c>
      <c r="AD71" s="75" t="str">
        <f aca="false">IF($A71="","",IF(L71&lt;&gt;"是","信号未确认",IF(X71&lt;=0,"止损价未定义",IF(Q71&lt;R71,"100股约束不满足",IF(S71&gt;Q71,"计划股数超单股上限",IF(S71&lt;R71,"计划股数低于最小门槛",IF(W71&lt;&gt;"是","总仓位超限",IF(M71&lt;&gt;"是","追价",IF(INDEX(账户总表!$M:$M,COUNTA(账户总表!$A:$A))&gt;2,"亏钱效应偏高",IF(INDEX(账户总表!$V:$V,COUNTA(账户总表!$A:$A))&lt;&gt;"是","账户不允许新开仓",IF(AND(T71&gt;INDEX(账户总表!$C:$C,COUNTA(账户总表!$A:$A)),INDEX(账户总表!$U:$U,COUNTA(账户总表!$A:$A))&lt;&gt;"是"),"现金不足且不允许转入",IF(AND(Z71="是",AB71&lt;=0),"转入金额未满足",""))))))))))))</f>
        <v/>
      </c>
      <c r="AE71" s="71"/>
      <c r="AF71" s="1" t="str">
        <f aca="false">IF($A71="","",D71*100)</f>
        <v/>
      </c>
      <c r="AG71" s="1" t="str">
        <f aca="false">IF($A71="","",IFERROR(AF71/INDEX(账户总表!$B:$B,COUNTA(账户总表!$A:$A)),0))</f>
        <v/>
      </c>
      <c r="AH71" s="1" t="str">
        <f aca="false">IF($A71="","",IFERROR(INDEX(账户总表!$B:$B,COUNTA(账户总表!$A:$A))*INDEX(账户总表!$O:$O,COUNTA(账户总表!$A:$A)),0))</f>
        <v/>
      </c>
      <c r="AI71" s="1" t="str">
        <f aca="false">IF($A71="","",IF(AF71&gt;AH71,"超限","合规"))</f>
        <v/>
      </c>
      <c r="AJ71" s="1" t="str">
        <f aca="false">IF($A71="","",IFERROR(AF71/INDEX(账户总表!$O:$O,COUNTA(账户总表!$A:$A)),0))</f>
        <v/>
      </c>
      <c r="AK71" s="1" t="str">
        <f aca="false">IF($A71="","",IFERROR(MAX(0,AJ71-INDEX(账户总表!$B:$B,COUNTA(账户总表!$A:$A)),AF71-INDEX(账户总表!$C:$C,COUNTA(账户总表!$A:$A))),0))</f>
        <v/>
      </c>
      <c r="AL71" s="1" t="str">
        <f aca="false">IF($A71="","",IF(COUNTIF(持仓表!$C$2:$C$201,C71)&gt;0,"已有","新标的"))</f>
        <v/>
      </c>
      <c r="AM71" s="1" t="str">
        <f aca="false">IF($A71="","",IFERROR(SUMIFS(持仓表!$N$2:$N$201,持仓表!$C$2:$C$201,C71,持仓表!$A$2:$A$201,$A71),0))</f>
        <v/>
      </c>
      <c r="AN71" s="1" t="str">
        <f aca="false">IF($A71="","",IFERROR(AM71+AF71/INDEX(账户总表!$B:$B,COUNTA(账户总表!$A:$A)),0))</f>
        <v/>
      </c>
      <c r="AO71" s="1" t="str">
        <f aca="false">IF($A71="","",IF(AN71&gt;INDEX(账户总表!$O:$O,COUNTA(账户总表!$A:$A)),"超限","合规"))</f>
        <v/>
      </c>
      <c r="AP71" s="1" t="str">
        <f aca="false">IF($A71="","",IF(AND(AL71="新标的",INDEX(账户总表!$R:$R,COUNTA(账户总表!$A:$A))&gt;=INDEX(账户总表!$S:$S,COUNTA(账户总表!$A:$A))),"新增受限","可通过"))</f>
        <v/>
      </c>
      <c r="AQ71" s="1" t="str">
        <f aca="false">IF($A71="","",IF(K71&lt;&gt;"核心池","非核心池",IF(OR(AI71="超限",AO71="超限",AP71="新增受限"),"不可加仓","可加仓")))</f>
        <v/>
      </c>
      <c r="AR71" s="1" t="str">
        <f aca="false">IF($A71="","",TRIM(IF(AI71="超限","1手超单股上限；","")&amp;IF(AO71="超限","买后仓位超限；","")&amp;IF(AP71="新增受限","有效持仓数超限；","")&amp;IF(AF71&gt;INDEX(账户总表!$C:$C,COUNTA(账户总表!$A:$A)),"现金不足；","")))</f>
        <v/>
      </c>
      <c r="AS71" s="1" t="str">
        <f aca="false">IF($A71="","",IFERROR(INDEX(候选池历史!$L:$L,MATCH(1,(候选池历史!$B:$B=C71)*(候选池历史!$A:$A=$A71),0)),0))</f>
        <v/>
      </c>
      <c r="AT71" s="1" t="str">
        <f aca="false">IF($A71="","",IF(AS71&gt;=3,"★信号强化",IF(K71="核心池","核心观察","")))</f>
        <v/>
      </c>
      <c r="AU71" s="1" t="str">
        <f aca="false">IF($A71="","",IF(AK71&gt;30000-INDEX(账户总表!$B:$B,COUNTA(账户总表!$A:$A)),"不适合婴儿阶段","可纳入幼儿路径"))</f>
        <v/>
      </c>
    </row>
    <row r="72" customFormat="false" ht="15" hidden="false" customHeight="true" outlineLevel="0" collapsed="false">
      <c r="A72" s="70"/>
      <c r="B72" s="71"/>
      <c r="C72" s="72"/>
      <c r="D72" s="73"/>
      <c r="E72" s="73"/>
      <c r="F72" s="73"/>
      <c r="G72" s="74"/>
      <c r="H72" s="72"/>
      <c r="I72" s="72"/>
      <c r="J72" s="71"/>
      <c r="K72" s="75" t="str">
        <f aca="false">IF($A72="","",IF(AND(G72&lt;45%,H72&gt;=0.9),"A",IF(AND(G72&lt;60%,H72&gt;0.8),"B","C")))</f>
        <v/>
      </c>
      <c r="L72" s="75" t="str">
        <f aca="false">IF($A72="","",IF(AND(G72&lt;60%,H72&gt;0.8,I72="True"),"是","否"))</f>
        <v/>
      </c>
      <c r="M72" s="75" t="str">
        <f aca="false">IF($A72="","",IF(AND(D72&gt;0,E72&gt;0,D72&lt;=E72*1.02),"是","否"))</f>
        <v/>
      </c>
      <c r="N72" s="76" t="n">
        <f aca="false">IFERROR(INDEX(账户总表!$O:$O,COUNTA(账户总表!$A:$A)),0)</f>
        <v>0.35</v>
      </c>
      <c r="O72" s="77" t="n">
        <f aca="false">IFERROR(INDEX(账户总表!$B:$B,COUNTA(账户总表!$A:$A))*N72,0)</f>
        <v>7294.812</v>
      </c>
      <c r="P72" s="78" t="n">
        <f aca="false">IFERROR(O72/D72,0)</f>
        <v>0</v>
      </c>
      <c r="Q72" s="78" t="n">
        <f aca="false">IFERROR(FLOOR(P72,100),0)</f>
        <v>0</v>
      </c>
      <c r="R72" s="78" t="n">
        <f aca="false">IFERROR(CEILING(800/(100*D72),1)*100,0)</f>
        <v>0</v>
      </c>
      <c r="S72" s="79"/>
      <c r="T72" s="77" t="n">
        <f aca="false">IFERROR(S72*D72,0)</f>
        <v>0</v>
      </c>
      <c r="U72" s="76" t="n">
        <f aca="false">IFERROR(T72/INDEX(账户总表!$B:$B,COUNTA(账户总表!$A:$A)),0)</f>
        <v>0</v>
      </c>
      <c r="V72" s="76" t="n">
        <f aca="false">IFERROR(INDEX(账户总表!$E:$E,COUNTA(账户总表!$A:$A))+U72,0)</f>
        <v>0.407056412146057</v>
      </c>
      <c r="W72" s="75" t="str">
        <f aca="false">IF($A72="","",IFERROR(IF(V72&lt;=INDEX(账户总表!$N:$N,COUNTA(账户总表!$A:$A)),"是","否"),"否"))</f>
        <v/>
      </c>
      <c r="X72" s="77" t="str">
        <f aca="false">IF($A72="","",MAX(F72*0.98,D72*0.92))</f>
        <v/>
      </c>
      <c r="Y72" s="72"/>
      <c r="Z72" s="75" t="str">
        <f aca="false">IF($A72="","",IFERROR(IF(AND(T72&gt;INDEX(账户总表!$C:$C,COUNTA(账户总表!$A:$A)),L72="是"),"是","否"),"否"))</f>
        <v/>
      </c>
      <c r="AA72" s="77" t="str">
        <f aca="false">IF($A72="","",IFERROR(IF(Z72="是",MAX(0,T72-INDEX(账户总表!$C:$C,COUNTA(账户总表!$A:$A)),IF(N72&gt;0,T72/N72-INDEX(账户总表!$B:$B,COUNTA(账户总表!$A:$A)),0)),0),0))</f>
        <v/>
      </c>
      <c r="AB72" s="77" t="str">
        <f aca="false">IF($A72="","",IF(AND(Z72="是",INDEX(账户总表!$U:$U,COUNTA(账户总表!$A:$A))="是"),IF(INDEX(账户总表!$L:$L,COUNTA(账户总表!$A:$A))&gt;=4,AA72*1.5,AA72),0))</f>
        <v/>
      </c>
      <c r="AC72" s="75" t="str">
        <f aca="false">IF($A72="","",IF(AND(L72="是",Q72&gt;=R72,S72&lt;=Q72,S72&gt;=R72,W72="是",X72&gt;0,M72="是",INDEX(账户总表!$M:$M,COUNTA(账户总表!$A:$A))&lt;=2,INDEX(账户总表!$V:$V,COUNTA(账户总表!$A:$A))="是",OR(T72&lt;=INDEX(账户总表!$C:$C,COUNTA(账户总表!$A:$A)),AND(Z72="是",INDEX(账户总表!$U:$U,COUNTA(账户总表!$A:$A))="是",AB72&gt;0))),"是","否"))</f>
        <v/>
      </c>
      <c r="AD72" s="75" t="str">
        <f aca="false">IF($A72="","",IF(L72&lt;&gt;"是","信号未确认",IF(X72&lt;=0,"止损价未定义",IF(Q72&lt;R72,"100股约束不满足",IF(S72&gt;Q72,"计划股数超单股上限",IF(S72&lt;R72,"计划股数低于最小门槛",IF(W72&lt;&gt;"是","总仓位超限",IF(M72&lt;&gt;"是","追价",IF(INDEX(账户总表!$M:$M,COUNTA(账户总表!$A:$A))&gt;2,"亏钱效应偏高",IF(INDEX(账户总表!$V:$V,COUNTA(账户总表!$A:$A))&lt;&gt;"是","账户不允许新开仓",IF(AND(T72&gt;INDEX(账户总表!$C:$C,COUNTA(账户总表!$A:$A)),INDEX(账户总表!$U:$U,COUNTA(账户总表!$A:$A))&lt;&gt;"是"),"现金不足且不允许转入",IF(AND(Z72="是",AB72&lt;=0),"转入金额未满足",""))))))))))))</f>
        <v/>
      </c>
      <c r="AE72" s="71"/>
      <c r="AF72" s="1" t="str">
        <f aca="false">IF($A72="","",D72*100)</f>
        <v/>
      </c>
      <c r="AG72" s="1" t="str">
        <f aca="false">IF($A72="","",IFERROR(AF72/INDEX(账户总表!$B:$B,COUNTA(账户总表!$A:$A)),0))</f>
        <v/>
      </c>
      <c r="AH72" s="1" t="str">
        <f aca="false">IF($A72="","",IFERROR(INDEX(账户总表!$B:$B,COUNTA(账户总表!$A:$A))*INDEX(账户总表!$O:$O,COUNTA(账户总表!$A:$A)),0))</f>
        <v/>
      </c>
      <c r="AI72" s="1" t="str">
        <f aca="false">IF($A72="","",IF(AF72&gt;AH72,"超限","合规"))</f>
        <v/>
      </c>
      <c r="AJ72" s="1" t="str">
        <f aca="false">IF($A72="","",IFERROR(AF72/INDEX(账户总表!$O:$O,COUNTA(账户总表!$A:$A)),0))</f>
        <v/>
      </c>
      <c r="AK72" s="1" t="str">
        <f aca="false">IF($A72="","",IFERROR(MAX(0,AJ72-INDEX(账户总表!$B:$B,COUNTA(账户总表!$A:$A)),AF72-INDEX(账户总表!$C:$C,COUNTA(账户总表!$A:$A))),0))</f>
        <v/>
      </c>
      <c r="AL72" s="1" t="str">
        <f aca="false">IF($A72="","",IF(COUNTIF(持仓表!$C$2:$C$201,C72)&gt;0,"已有","新标的"))</f>
        <v/>
      </c>
      <c r="AM72" s="1" t="str">
        <f aca="false">IF($A72="","",IFERROR(SUMIFS(持仓表!$N$2:$N$201,持仓表!$C$2:$C$201,C72,持仓表!$A$2:$A$201,$A72),0))</f>
        <v/>
      </c>
      <c r="AN72" s="1" t="str">
        <f aca="false">IF($A72="","",IFERROR(AM72+AF72/INDEX(账户总表!$B:$B,COUNTA(账户总表!$A:$A)),0))</f>
        <v/>
      </c>
      <c r="AO72" s="1" t="str">
        <f aca="false">IF($A72="","",IF(AN72&gt;INDEX(账户总表!$O:$O,COUNTA(账户总表!$A:$A)),"超限","合规"))</f>
        <v/>
      </c>
      <c r="AP72" s="1" t="str">
        <f aca="false">IF($A72="","",IF(AND(AL72="新标的",INDEX(账户总表!$R:$R,COUNTA(账户总表!$A:$A))&gt;=INDEX(账户总表!$S:$S,COUNTA(账户总表!$A:$A))),"新增受限","可通过"))</f>
        <v/>
      </c>
      <c r="AQ72" s="1" t="str">
        <f aca="false">IF($A72="","",IF(K72&lt;&gt;"核心池","非核心池",IF(OR(AI72="超限",AO72="超限",AP72="新增受限"),"不可加仓","可加仓")))</f>
        <v/>
      </c>
      <c r="AR72" s="1" t="str">
        <f aca="false">IF($A72="","",TRIM(IF(AI72="超限","1手超单股上限；","")&amp;IF(AO72="超限","买后仓位超限；","")&amp;IF(AP72="新增受限","有效持仓数超限；","")&amp;IF(AF72&gt;INDEX(账户总表!$C:$C,COUNTA(账户总表!$A:$A)),"现金不足；","")))</f>
        <v/>
      </c>
      <c r="AS72" s="1" t="str">
        <f aca="false">IF($A72="","",IFERROR(INDEX(候选池历史!$L:$L,MATCH(1,(候选池历史!$B:$B=C72)*(候选池历史!$A:$A=$A72),0)),0))</f>
        <v/>
      </c>
      <c r="AT72" s="1" t="str">
        <f aca="false">IF($A72="","",IF(AS72&gt;=3,"★信号强化",IF(K72="核心池","核心观察","")))</f>
        <v/>
      </c>
      <c r="AU72" s="1" t="str">
        <f aca="false">IF($A72="","",IF(AK72&gt;30000-INDEX(账户总表!$B:$B,COUNTA(账户总表!$A:$A)),"不适合婴儿阶段","可纳入幼儿路径"))</f>
        <v/>
      </c>
    </row>
    <row r="73" customFormat="false" ht="15" hidden="false" customHeight="true" outlineLevel="0" collapsed="false">
      <c r="A73" s="70"/>
      <c r="B73" s="71"/>
      <c r="C73" s="72"/>
      <c r="D73" s="73"/>
      <c r="E73" s="73"/>
      <c r="F73" s="73"/>
      <c r="G73" s="74"/>
      <c r="H73" s="72"/>
      <c r="I73" s="72"/>
      <c r="J73" s="71"/>
      <c r="K73" s="75" t="str">
        <f aca="false">IF($A73="","",IF(AND(G73&lt;45%,H73&gt;=0.9),"A",IF(AND(G73&lt;60%,H73&gt;0.8),"B","C")))</f>
        <v/>
      </c>
      <c r="L73" s="75" t="str">
        <f aca="false">IF($A73="","",IF(AND(G73&lt;60%,H73&gt;0.8,I73="True"),"是","否"))</f>
        <v/>
      </c>
      <c r="M73" s="75" t="str">
        <f aca="false">IF($A73="","",IF(AND(D73&gt;0,E73&gt;0,D73&lt;=E73*1.02),"是","否"))</f>
        <v/>
      </c>
      <c r="N73" s="76" t="n">
        <f aca="false">IFERROR(INDEX(账户总表!$O:$O,COUNTA(账户总表!$A:$A)),0)</f>
        <v>0.35</v>
      </c>
      <c r="O73" s="77" t="n">
        <f aca="false">IFERROR(INDEX(账户总表!$B:$B,COUNTA(账户总表!$A:$A))*N73,0)</f>
        <v>7294.812</v>
      </c>
      <c r="P73" s="78" t="n">
        <f aca="false">IFERROR(O73/D73,0)</f>
        <v>0</v>
      </c>
      <c r="Q73" s="78" t="n">
        <f aca="false">IFERROR(FLOOR(P73,100),0)</f>
        <v>0</v>
      </c>
      <c r="R73" s="78" t="n">
        <f aca="false">IFERROR(CEILING(800/(100*D73),1)*100,0)</f>
        <v>0</v>
      </c>
      <c r="S73" s="79"/>
      <c r="T73" s="77" t="n">
        <f aca="false">IFERROR(S73*D73,0)</f>
        <v>0</v>
      </c>
      <c r="U73" s="76" t="n">
        <f aca="false">IFERROR(T73/INDEX(账户总表!$B:$B,COUNTA(账户总表!$A:$A)),0)</f>
        <v>0</v>
      </c>
      <c r="V73" s="76" t="n">
        <f aca="false">IFERROR(INDEX(账户总表!$E:$E,COUNTA(账户总表!$A:$A))+U73,0)</f>
        <v>0.407056412146057</v>
      </c>
      <c r="W73" s="75" t="str">
        <f aca="false">IF($A73="","",IFERROR(IF(V73&lt;=INDEX(账户总表!$N:$N,COUNTA(账户总表!$A:$A)),"是","否"),"否"))</f>
        <v/>
      </c>
      <c r="X73" s="77" t="str">
        <f aca="false">IF($A73="","",MAX(F73*0.98,D73*0.92))</f>
        <v/>
      </c>
      <c r="Y73" s="72"/>
      <c r="Z73" s="75" t="str">
        <f aca="false">IF($A73="","",IFERROR(IF(AND(T73&gt;INDEX(账户总表!$C:$C,COUNTA(账户总表!$A:$A)),L73="是"),"是","否"),"否"))</f>
        <v/>
      </c>
      <c r="AA73" s="77" t="str">
        <f aca="false">IF($A73="","",IFERROR(IF(Z73="是",MAX(0,T73-INDEX(账户总表!$C:$C,COUNTA(账户总表!$A:$A)),IF(N73&gt;0,T73/N73-INDEX(账户总表!$B:$B,COUNTA(账户总表!$A:$A)),0)),0),0))</f>
        <v/>
      </c>
      <c r="AB73" s="77" t="str">
        <f aca="false">IF($A73="","",IF(AND(Z73="是",INDEX(账户总表!$U:$U,COUNTA(账户总表!$A:$A))="是"),IF(INDEX(账户总表!$L:$L,COUNTA(账户总表!$A:$A))&gt;=4,AA73*1.5,AA73),0))</f>
        <v/>
      </c>
      <c r="AC73" s="75" t="str">
        <f aca="false">IF($A73="","",IF(AND(L73="是",Q73&gt;=R73,S73&lt;=Q73,S73&gt;=R73,W73="是",X73&gt;0,M73="是",INDEX(账户总表!$M:$M,COUNTA(账户总表!$A:$A))&lt;=2,INDEX(账户总表!$V:$V,COUNTA(账户总表!$A:$A))="是",OR(T73&lt;=INDEX(账户总表!$C:$C,COUNTA(账户总表!$A:$A)),AND(Z73="是",INDEX(账户总表!$U:$U,COUNTA(账户总表!$A:$A))="是",AB73&gt;0))),"是","否"))</f>
        <v/>
      </c>
      <c r="AD73" s="75" t="str">
        <f aca="false">IF($A73="","",IF(L73&lt;&gt;"是","信号未确认",IF(X73&lt;=0,"止损价未定义",IF(Q73&lt;R73,"100股约束不满足",IF(S73&gt;Q73,"计划股数超单股上限",IF(S73&lt;R73,"计划股数低于最小门槛",IF(W73&lt;&gt;"是","总仓位超限",IF(M73&lt;&gt;"是","追价",IF(INDEX(账户总表!$M:$M,COUNTA(账户总表!$A:$A))&gt;2,"亏钱效应偏高",IF(INDEX(账户总表!$V:$V,COUNTA(账户总表!$A:$A))&lt;&gt;"是","账户不允许新开仓",IF(AND(T73&gt;INDEX(账户总表!$C:$C,COUNTA(账户总表!$A:$A)),INDEX(账户总表!$U:$U,COUNTA(账户总表!$A:$A))&lt;&gt;"是"),"现金不足且不允许转入",IF(AND(Z73="是",AB73&lt;=0),"转入金额未满足",""))))))))))))</f>
        <v/>
      </c>
      <c r="AE73" s="71"/>
      <c r="AF73" s="1" t="str">
        <f aca="false">IF($A73="","",D73*100)</f>
        <v/>
      </c>
      <c r="AG73" s="1" t="str">
        <f aca="false">IF($A73="","",IFERROR(AF73/INDEX(账户总表!$B:$B,COUNTA(账户总表!$A:$A)),0))</f>
        <v/>
      </c>
      <c r="AH73" s="1" t="str">
        <f aca="false">IF($A73="","",IFERROR(INDEX(账户总表!$B:$B,COUNTA(账户总表!$A:$A))*INDEX(账户总表!$O:$O,COUNTA(账户总表!$A:$A)),0))</f>
        <v/>
      </c>
      <c r="AI73" s="1" t="str">
        <f aca="false">IF($A73="","",IF(AF73&gt;AH73,"超限","合规"))</f>
        <v/>
      </c>
      <c r="AJ73" s="1" t="str">
        <f aca="false">IF($A73="","",IFERROR(AF73/INDEX(账户总表!$O:$O,COUNTA(账户总表!$A:$A)),0))</f>
        <v/>
      </c>
      <c r="AK73" s="1" t="str">
        <f aca="false">IF($A73="","",IFERROR(MAX(0,AJ73-INDEX(账户总表!$B:$B,COUNTA(账户总表!$A:$A)),AF73-INDEX(账户总表!$C:$C,COUNTA(账户总表!$A:$A))),0))</f>
        <v/>
      </c>
      <c r="AL73" s="1" t="str">
        <f aca="false">IF($A73="","",IF(COUNTIF(持仓表!$C$2:$C$201,C73)&gt;0,"已有","新标的"))</f>
        <v/>
      </c>
      <c r="AM73" s="1" t="str">
        <f aca="false">IF($A73="","",IFERROR(SUMIFS(持仓表!$N$2:$N$201,持仓表!$C$2:$C$201,C73,持仓表!$A$2:$A$201,$A73),0))</f>
        <v/>
      </c>
      <c r="AN73" s="1" t="str">
        <f aca="false">IF($A73="","",IFERROR(AM73+AF73/INDEX(账户总表!$B:$B,COUNTA(账户总表!$A:$A)),0))</f>
        <v/>
      </c>
      <c r="AO73" s="1" t="str">
        <f aca="false">IF($A73="","",IF(AN73&gt;INDEX(账户总表!$O:$O,COUNTA(账户总表!$A:$A)),"超限","合规"))</f>
        <v/>
      </c>
      <c r="AP73" s="1" t="str">
        <f aca="false">IF($A73="","",IF(AND(AL73="新标的",INDEX(账户总表!$R:$R,COUNTA(账户总表!$A:$A))&gt;=INDEX(账户总表!$S:$S,COUNTA(账户总表!$A:$A))),"新增受限","可通过"))</f>
        <v/>
      </c>
      <c r="AQ73" s="1" t="str">
        <f aca="false">IF($A73="","",IF(K73&lt;&gt;"核心池","非核心池",IF(OR(AI73="超限",AO73="超限",AP73="新增受限"),"不可加仓","可加仓")))</f>
        <v/>
      </c>
      <c r="AR73" s="1" t="str">
        <f aca="false">IF($A73="","",TRIM(IF(AI73="超限","1手超单股上限；","")&amp;IF(AO73="超限","买后仓位超限；","")&amp;IF(AP73="新增受限","有效持仓数超限；","")&amp;IF(AF73&gt;INDEX(账户总表!$C:$C,COUNTA(账户总表!$A:$A)),"现金不足；","")))</f>
        <v/>
      </c>
      <c r="AS73" s="1" t="str">
        <f aca="false">IF($A73="","",IFERROR(INDEX(候选池历史!$L:$L,MATCH(1,(候选池历史!$B:$B=C73)*(候选池历史!$A:$A=$A73),0)),0))</f>
        <v/>
      </c>
      <c r="AT73" s="1" t="str">
        <f aca="false">IF($A73="","",IF(AS73&gt;=3,"★信号强化",IF(K73="核心池","核心观察","")))</f>
        <v/>
      </c>
      <c r="AU73" s="1" t="str">
        <f aca="false">IF($A73="","",IF(AK73&gt;30000-INDEX(账户总表!$B:$B,COUNTA(账户总表!$A:$A)),"不适合婴儿阶段","可纳入幼儿路径"))</f>
        <v/>
      </c>
    </row>
    <row r="74" customFormat="false" ht="15" hidden="false" customHeight="true" outlineLevel="0" collapsed="false">
      <c r="A74" s="70"/>
      <c r="B74" s="71"/>
      <c r="C74" s="72"/>
      <c r="D74" s="73"/>
      <c r="E74" s="73"/>
      <c r="F74" s="73"/>
      <c r="G74" s="74"/>
      <c r="H74" s="72"/>
      <c r="I74" s="72"/>
      <c r="J74" s="71"/>
      <c r="K74" s="75" t="str">
        <f aca="false">IF($A74="","",IF(AND(G74&lt;45%,H74&gt;=0.9),"A",IF(AND(G74&lt;60%,H74&gt;0.8),"B","C")))</f>
        <v/>
      </c>
      <c r="L74" s="75" t="str">
        <f aca="false">IF($A74="","",IF(AND(G74&lt;60%,H74&gt;0.8,I74="True"),"是","否"))</f>
        <v/>
      </c>
      <c r="M74" s="75" t="str">
        <f aca="false">IF($A74="","",IF(AND(D74&gt;0,E74&gt;0,D74&lt;=E74*1.02),"是","否"))</f>
        <v/>
      </c>
      <c r="N74" s="76" t="n">
        <f aca="false">IFERROR(INDEX(账户总表!$O:$O,COUNTA(账户总表!$A:$A)),0)</f>
        <v>0.35</v>
      </c>
      <c r="O74" s="77" t="n">
        <f aca="false">IFERROR(INDEX(账户总表!$B:$B,COUNTA(账户总表!$A:$A))*N74,0)</f>
        <v>7294.812</v>
      </c>
      <c r="P74" s="78" t="n">
        <f aca="false">IFERROR(O74/D74,0)</f>
        <v>0</v>
      </c>
      <c r="Q74" s="78" t="n">
        <f aca="false">IFERROR(FLOOR(P74,100),0)</f>
        <v>0</v>
      </c>
      <c r="R74" s="78" t="n">
        <f aca="false">IFERROR(CEILING(800/(100*D74),1)*100,0)</f>
        <v>0</v>
      </c>
      <c r="S74" s="79"/>
      <c r="T74" s="77" t="n">
        <f aca="false">IFERROR(S74*D74,0)</f>
        <v>0</v>
      </c>
      <c r="U74" s="76" t="n">
        <f aca="false">IFERROR(T74/INDEX(账户总表!$B:$B,COUNTA(账户总表!$A:$A)),0)</f>
        <v>0</v>
      </c>
      <c r="V74" s="76" t="n">
        <f aca="false">IFERROR(INDEX(账户总表!$E:$E,COUNTA(账户总表!$A:$A))+U74,0)</f>
        <v>0.407056412146057</v>
      </c>
      <c r="W74" s="75" t="str">
        <f aca="false">IF($A74="","",IFERROR(IF(V74&lt;=INDEX(账户总表!$N:$N,COUNTA(账户总表!$A:$A)),"是","否"),"否"))</f>
        <v/>
      </c>
      <c r="X74" s="77" t="str">
        <f aca="false">IF($A74="","",MAX(F74*0.98,D74*0.92))</f>
        <v/>
      </c>
      <c r="Y74" s="72"/>
      <c r="Z74" s="75" t="str">
        <f aca="false">IF($A74="","",IFERROR(IF(AND(T74&gt;INDEX(账户总表!$C:$C,COUNTA(账户总表!$A:$A)),L74="是"),"是","否"),"否"))</f>
        <v/>
      </c>
      <c r="AA74" s="77" t="str">
        <f aca="false">IF($A74="","",IFERROR(IF(Z74="是",MAX(0,T74-INDEX(账户总表!$C:$C,COUNTA(账户总表!$A:$A)),IF(N74&gt;0,T74/N74-INDEX(账户总表!$B:$B,COUNTA(账户总表!$A:$A)),0)),0),0))</f>
        <v/>
      </c>
      <c r="AB74" s="77" t="str">
        <f aca="false">IF($A74="","",IF(AND(Z74="是",INDEX(账户总表!$U:$U,COUNTA(账户总表!$A:$A))="是"),IF(INDEX(账户总表!$L:$L,COUNTA(账户总表!$A:$A))&gt;=4,AA74*1.5,AA74),0))</f>
        <v/>
      </c>
      <c r="AC74" s="75" t="str">
        <f aca="false">IF($A74="","",IF(AND(L74="是",Q74&gt;=R74,S74&lt;=Q74,S74&gt;=R74,W74="是",X74&gt;0,M74="是",INDEX(账户总表!$M:$M,COUNTA(账户总表!$A:$A))&lt;=2,INDEX(账户总表!$V:$V,COUNTA(账户总表!$A:$A))="是",OR(T74&lt;=INDEX(账户总表!$C:$C,COUNTA(账户总表!$A:$A)),AND(Z74="是",INDEX(账户总表!$U:$U,COUNTA(账户总表!$A:$A))="是",AB74&gt;0))),"是","否"))</f>
        <v/>
      </c>
      <c r="AD74" s="75" t="str">
        <f aca="false">IF($A74="","",IF(L74&lt;&gt;"是","信号未确认",IF(X74&lt;=0,"止损价未定义",IF(Q74&lt;R74,"100股约束不满足",IF(S74&gt;Q74,"计划股数超单股上限",IF(S74&lt;R74,"计划股数低于最小门槛",IF(W74&lt;&gt;"是","总仓位超限",IF(M74&lt;&gt;"是","追价",IF(INDEX(账户总表!$M:$M,COUNTA(账户总表!$A:$A))&gt;2,"亏钱效应偏高",IF(INDEX(账户总表!$V:$V,COUNTA(账户总表!$A:$A))&lt;&gt;"是","账户不允许新开仓",IF(AND(T74&gt;INDEX(账户总表!$C:$C,COUNTA(账户总表!$A:$A)),INDEX(账户总表!$U:$U,COUNTA(账户总表!$A:$A))&lt;&gt;"是"),"现金不足且不允许转入",IF(AND(Z74="是",AB74&lt;=0),"转入金额未满足",""))))))))))))</f>
        <v/>
      </c>
      <c r="AE74" s="71"/>
      <c r="AF74" s="1" t="str">
        <f aca="false">IF($A74="","",D74*100)</f>
        <v/>
      </c>
      <c r="AG74" s="1" t="str">
        <f aca="false">IF($A74="","",IFERROR(AF74/INDEX(账户总表!$B:$B,COUNTA(账户总表!$A:$A)),0))</f>
        <v/>
      </c>
      <c r="AH74" s="1" t="str">
        <f aca="false">IF($A74="","",IFERROR(INDEX(账户总表!$B:$B,COUNTA(账户总表!$A:$A))*INDEX(账户总表!$O:$O,COUNTA(账户总表!$A:$A)),0))</f>
        <v/>
      </c>
      <c r="AI74" s="1" t="str">
        <f aca="false">IF($A74="","",IF(AF74&gt;AH74,"超限","合规"))</f>
        <v/>
      </c>
      <c r="AJ74" s="1" t="str">
        <f aca="false">IF($A74="","",IFERROR(AF74/INDEX(账户总表!$O:$O,COUNTA(账户总表!$A:$A)),0))</f>
        <v/>
      </c>
      <c r="AK74" s="1" t="str">
        <f aca="false">IF($A74="","",IFERROR(MAX(0,AJ74-INDEX(账户总表!$B:$B,COUNTA(账户总表!$A:$A)),AF74-INDEX(账户总表!$C:$C,COUNTA(账户总表!$A:$A))),0))</f>
        <v/>
      </c>
      <c r="AL74" s="1" t="str">
        <f aca="false">IF($A74="","",IF(COUNTIF(持仓表!$C$2:$C$201,C74)&gt;0,"已有","新标的"))</f>
        <v/>
      </c>
      <c r="AM74" s="1" t="str">
        <f aca="false">IF($A74="","",IFERROR(SUMIFS(持仓表!$N$2:$N$201,持仓表!$C$2:$C$201,C74,持仓表!$A$2:$A$201,$A74),0))</f>
        <v/>
      </c>
      <c r="AN74" s="1" t="str">
        <f aca="false">IF($A74="","",IFERROR(AM74+AF74/INDEX(账户总表!$B:$B,COUNTA(账户总表!$A:$A)),0))</f>
        <v/>
      </c>
      <c r="AO74" s="1" t="str">
        <f aca="false">IF($A74="","",IF(AN74&gt;INDEX(账户总表!$O:$O,COUNTA(账户总表!$A:$A)),"超限","合规"))</f>
        <v/>
      </c>
      <c r="AP74" s="1" t="str">
        <f aca="false">IF($A74="","",IF(AND(AL74="新标的",INDEX(账户总表!$R:$R,COUNTA(账户总表!$A:$A))&gt;=INDEX(账户总表!$S:$S,COUNTA(账户总表!$A:$A))),"新增受限","可通过"))</f>
        <v/>
      </c>
      <c r="AQ74" s="1" t="str">
        <f aca="false">IF($A74="","",IF(K74&lt;&gt;"核心池","非核心池",IF(OR(AI74="超限",AO74="超限",AP74="新增受限"),"不可加仓","可加仓")))</f>
        <v/>
      </c>
      <c r="AR74" s="1" t="str">
        <f aca="false">IF($A74="","",TRIM(IF(AI74="超限","1手超单股上限；","")&amp;IF(AO74="超限","买后仓位超限；","")&amp;IF(AP74="新增受限","有效持仓数超限；","")&amp;IF(AF74&gt;INDEX(账户总表!$C:$C,COUNTA(账户总表!$A:$A)),"现金不足；","")))</f>
        <v/>
      </c>
      <c r="AS74" s="1" t="str">
        <f aca="false">IF($A74="","",IFERROR(INDEX(候选池历史!$L:$L,MATCH(1,(候选池历史!$B:$B=C74)*(候选池历史!$A:$A=$A74),0)),0))</f>
        <v/>
      </c>
      <c r="AT74" s="1" t="str">
        <f aca="false">IF($A74="","",IF(AS74&gt;=3,"★信号强化",IF(K74="核心池","核心观察","")))</f>
        <v/>
      </c>
      <c r="AU74" s="1" t="str">
        <f aca="false">IF($A74="","",IF(AK74&gt;30000-INDEX(账户总表!$B:$B,COUNTA(账户总表!$A:$A)),"不适合婴儿阶段","可纳入幼儿路径"))</f>
        <v/>
      </c>
    </row>
    <row r="75" customFormat="false" ht="15" hidden="false" customHeight="true" outlineLevel="0" collapsed="false">
      <c r="A75" s="70"/>
      <c r="B75" s="71"/>
      <c r="C75" s="72"/>
      <c r="D75" s="73"/>
      <c r="E75" s="73"/>
      <c r="F75" s="73"/>
      <c r="G75" s="74"/>
      <c r="H75" s="72"/>
      <c r="I75" s="72"/>
      <c r="J75" s="71"/>
      <c r="K75" s="75" t="str">
        <f aca="false">IF($A75="","",IF(AND(G75&lt;45%,H75&gt;=0.9),"A",IF(AND(G75&lt;60%,H75&gt;0.8),"B","C")))</f>
        <v/>
      </c>
      <c r="L75" s="75" t="str">
        <f aca="false">IF($A75="","",IF(AND(G75&lt;60%,H75&gt;0.8,I75="True"),"是","否"))</f>
        <v/>
      </c>
      <c r="M75" s="75" t="str">
        <f aca="false">IF($A75="","",IF(AND(D75&gt;0,E75&gt;0,D75&lt;=E75*1.02),"是","否"))</f>
        <v/>
      </c>
      <c r="N75" s="76" t="n">
        <f aca="false">IFERROR(INDEX(账户总表!$O:$O,COUNTA(账户总表!$A:$A)),0)</f>
        <v>0.35</v>
      </c>
      <c r="O75" s="77" t="n">
        <f aca="false">IFERROR(INDEX(账户总表!$B:$B,COUNTA(账户总表!$A:$A))*N75,0)</f>
        <v>7294.812</v>
      </c>
      <c r="P75" s="78" t="n">
        <f aca="false">IFERROR(O75/D75,0)</f>
        <v>0</v>
      </c>
      <c r="Q75" s="78" t="n">
        <f aca="false">IFERROR(FLOOR(P75,100),0)</f>
        <v>0</v>
      </c>
      <c r="R75" s="78" t="n">
        <f aca="false">IFERROR(CEILING(800/(100*D75),1)*100,0)</f>
        <v>0</v>
      </c>
      <c r="S75" s="79"/>
      <c r="T75" s="77" t="n">
        <f aca="false">IFERROR(S75*D75,0)</f>
        <v>0</v>
      </c>
      <c r="U75" s="76" t="n">
        <f aca="false">IFERROR(T75/INDEX(账户总表!$B:$B,COUNTA(账户总表!$A:$A)),0)</f>
        <v>0</v>
      </c>
      <c r="V75" s="76" t="n">
        <f aca="false">IFERROR(INDEX(账户总表!$E:$E,COUNTA(账户总表!$A:$A))+U75,0)</f>
        <v>0.407056412146057</v>
      </c>
      <c r="W75" s="75" t="str">
        <f aca="false">IF($A75="","",IFERROR(IF(V75&lt;=INDEX(账户总表!$N:$N,COUNTA(账户总表!$A:$A)),"是","否"),"否"))</f>
        <v/>
      </c>
      <c r="X75" s="77" t="str">
        <f aca="false">IF($A75="","",MAX(F75*0.98,D75*0.92))</f>
        <v/>
      </c>
      <c r="Y75" s="72"/>
      <c r="Z75" s="75" t="str">
        <f aca="false">IF($A75="","",IFERROR(IF(AND(T75&gt;INDEX(账户总表!$C:$C,COUNTA(账户总表!$A:$A)),L75="是"),"是","否"),"否"))</f>
        <v/>
      </c>
      <c r="AA75" s="77" t="str">
        <f aca="false">IF($A75="","",IFERROR(IF(Z75="是",MAX(0,T75-INDEX(账户总表!$C:$C,COUNTA(账户总表!$A:$A)),IF(N75&gt;0,T75/N75-INDEX(账户总表!$B:$B,COUNTA(账户总表!$A:$A)),0)),0),0))</f>
        <v/>
      </c>
      <c r="AB75" s="77" t="str">
        <f aca="false">IF($A75="","",IF(AND(Z75="是",INDEX(账户总表!$U:$U,COUNTA(账户总表!$A:$A))="是"),IF(INDEX(账户总表!$L:$L,COUNTA(账户总表!$A:$A))&gt;=4,AA75*1.5,AA75),0))</f>
        <v/>
      </c>
      <c r="AC75" s="75" t="str">
        <f aca="false">IF($A75="","",IF(AND(L75="是",Q75&gt;=R75,S75&lt;=Q75,S75&gt;=R75,W75="是",X75&gt;0,M75="是",INDEX(账户总表!$M:$M,COUNTA(账户总表!$A:$A))&lt;=2,INDEX(账户总表!$V:$V,COUNTA(账户总表!$A:$A))="是",OR(T75&lt;=INDEX(账户总表!$C:$C,COUNTA(账户总表!$A:$A)),AND(Z75="是",INDEX(账户总表!$U:$U,COUNTA(账户总表!$A:$A))="是",AB75&gt;0))),"是","否"))</f>
        <v/>
      </c>
      <c r="AD75" s="75" t="str">
        <f aca="false">IF($A75="","",IF(L75&lt;&gt;"是","信号未确认",IF(X75&lt;=0,"止损价未定义",IF(Q75&lt;R75,"100股约束不满足",IF(S75&gt;Q75,"计划股数超单股上限",IF(S75&lt;R75,"计划股数低于最小门槛",IF(W75&lt;&gt;"是","总仓位超限",IF(M75&lt;&gt;"是","追价",IF(INDEX(账户总表!$M:$M,COUNTA(账户总表!$A:$A))&gt;2,"亏钱效应偏高",IF(INDEX(账户总表!$V:$V,COUNTA(账户总表!$A:$A))&lt;&gt;"是","账户不允许新开仓",IF(AND(T75&gt;INDEX(账户总表!$C:$C,COUNTA(账户总表!$A:$A)),INDEX(账户总表!$U:$U,COUNTA(账户总表!$A:$A))&lt;&gt;"是"),"现金不足且不允许转入",IF(AND(Z75="是",AB75&lt;=0),"转入金额未满足",""))))))))))))</f>
        <v/>
      </c>
      <c r="AE75" s="71"/>
      <c r="AF75" s="1" t="str">
        <f aca="false">IF($A75="","",D75*100)</f>
        <v/>
      </c>
      <c r="AG75" s="1" t="str">
        <f aca="false">IF($A75="","",IFERROR(AF75/INDEX(账户总表!$B:$B,COUNTA(账户总表!$A:$A)),0))</f>
        <v/>
      </c>
      <c r="AH75" s="1" t="str">
        <f aca="false">IF($A75="","",IFERROR(INDEX(账户总表!$B:$B,COUNTA(账户总表!$A:$A))*INDEX(账户总表!$O:$O,COUNTA(账户总表!$A:$A)),0))</f>
        <v/>
      </c>
      <c r="AI75" s="1" t="str">
        <f aca="false">IF($A75="","",IF(AF75&gt;AH75,"超限","合规"))</f>
        <v/>
      </c>
      <c r="AJ75" s="1" t="str">
        <f aca="false">IF($A75="","",IFERROR(AF75/INDEX(账户总表!$O:$O,COUNTA(账户总表!$A:$A)),0))</f>
        <v/>
      </c>
      <c r="AK75" s="1" t="str">
        <f aca="false">IF($A75="","",IFERROR(MAX(0,AJ75-INDEX(账户总表!$B:$B,COUNTA(账户总表!$A:$A)),AF75-INDEX(账户总表!$C:$C,COUNTA(账户总表!$A:$A))),0))</f>
        <v/>
      </c>
      <c r="AL75" s="1" t="str">
        <f aca="false">IF($A75="","",IF(COUNTIF(持仓表!$C$2:$C$201,C75)&gt;0,"已有","新标的"))</f>
        <v/>
      </c>
      <c r="AM75" s="1" t="str">
        <f aca="false">IF($A75="","",IFERROR(SUMIFS(持仓表!$N$2:$N$201,持仓表!$C$2:$C$201,C75,持仓表!$A$2:$A$201,$A75),0))</f>
        <v/>
      </c>
      <c r="AN75" s="1" t="str">
        <f aca="false">IF($A75="","",IFERROR(AM75+AF75/INDEX(账户总表!$B:$B,COUNTA(账户总表!$A:$A)),0))</f>
        <v/>
      </c>
      <c r="AO75" s="1" t="str">
        <f aca="false">IF($A75="","",IF(AN75&gt;INDEX(账户总表!$O:$O,COUNTA(账户总表!$A:$A)),"超限","合规"))</f>
        <v/>
      </c>
      <c r="AP75" s="1" t="str">
        <f aca="false">IF($A75="","",IF(AND(AL75="新标的",INDEX(账户总表!$R:$R,COUNTA(账户总表!$A:$A))&gt;=INDEX(账户总表!$S:$S,COUNTA(账户总表!$A:$A))),"新增受限","可通过"))</f>
        <v/>
      </c>
      <c r="AQ75" s="1" t="str">
        <f aca="false">IF($A75="","",IF(K75&lt;&gt;"核心池","非核心池",IF(OR(AI75="超限",AO75="超限",AP75="新增受限"),"不可加仓","可加仓")))</f>
        <v/>
      </c>
      <c r="AR75" s="1" t="str">
        <f aca="false">IF($A75="","",TRIM(IF(AI75="超限","1手超单股上限；","")&amp;IF(AO75="超限","买后仓位超限；","")&amp;IF(AP75="新增受限","有效持仓数超限；","")&amp;IF(AF75&gt;INDEX(账户总表!$C:$C,COUNTA(账户总表!$A:$A)),"现金不足；","")))</f>
        <v/>
      </c>
      <c r="AS75" s="1" t="str">
        <f aca="false">IF($A75="","",IFERROR(INDEX(候选池历史!$L:$L,MATCH(1,(候选池历史!$B:$B=C75)*(候选池历史!$A:$A=$A75),0)),0))</f>
        <v/>
      </c>
      <c r="AT75" s="1" t="str">
        <f aca="false">IF($A75="","",IF(AS75&gt;=3,"★信号强化",IF(K75="核心池","核心观察","")))</f>
        <v/>
      </c>
      <c r="AU75" s="1" t="str">
        <f aca="false">IF($A75="","",IF(AK75&gt;30000-INDEX(账户总表!$B:$B,COUNTA(账户总表!$A:$A)),"不适合婴儿阶段","可纳入幼儿路径"))</f>
        <v/>
      </c>
    </row>
    <row r="76" customFormat="false" ht="15" hidden="false" customHeight="true" outlineLevel="0" collapsed="false">
      <c r="A76" s="70"/>
      <c r="B76" s="71"/>
      <c r="C76" s="72"/>
      <c r="D76" s="73"/>
      <c r="E76" s="73"/>
      <c r="F76" s="73"/>
      <c r="G76" s="74"/>
      <c r="H76" s="72"/>
      <c r="I76" s="72"/>
      <c r="J76" s="71"/>
      <c r="K76" s="75" t="str">
        <f aca="false">IF($A76="","",IF(AND(G76&lt;45%,H76&gt;=0.9),"A",IF(AND(G76&lt;60%,H76&gt;0.8),"B","C")))</f>
        <v/>
      </c>
      <c r="L76" s="75" t="str">
        <f aca="false">IF($A76="","",IF(AND(G76&lt;60%,H76&gt;0.8,I76="True"),"是","否"))</f>
        <v/>
      </c>
      <c r="M76" s="75" t="str">
        <f aca="false">IF($A76="","",IF(AND(D76&gt;0,E76&gt;0,D76&lt;=E76*1.02),"是","否"))</f>
        <v/>
      </c>
      <c r="N76" s="76" t="n">
        <f aca="false">IFERROR(INDEX(账户总表!$O:$O,COUNTA(账户总表!$A:$A)),0)</f>
        <v>0.35</v>
      </c>
      <c r="O76" s="77" t="n">
        <f aca="false">IFERROR(INDEX(账户总表!$B:$B,COUNTA(账户总表!$A:$A))*N76,0)</f>
        <v>7294.812</v>
      </c>
      <c r="P76" s="78" t="n">
        <f aca="false">IFERROR(O76/D76,0)</f>
        <v>0</v>
      </c>
      <c r="Q76" s="78" t="n">
        <f aca="false">IFERROR(FLOOR(P76,100),0)</f>
        <v>0</v>
      </c>
      <c r="R76" s="78" t="n">
        <f aca="false">IFERROR(CEILING(800/(100*D76),1)*100,0)</f>
        <v>0</v>
      </c>
      <c r="S76" s="79"/>
      <c r="T76" s="77" t="n">
        <f aca="false">IFERROR(S76*D76,0)</f>
        <v>0</v>
      </c>
      <c r="U76" s="76" t="n">
        <f aca="false">IFERROR(T76/INDEX(账户总表!$B:$B,COUNTA(账户总表!$A:$A)),0)</f>
        <v>0</v>
      </c>
      <c r="V76" s="76" t="n">
        <f aca="false">IFERROR(INDEX(账户总表!$E:$E,COUNTA(账户总表!$A:$A))+U76,0)</f>
        <v>0.407056412146057</v>
      </c>
      <c r="W76" s="75" t="str">
        <f aca="false">IF($A76="","",IFERROR(IF(V76&lt;=INDEX(账户总表!$N:$N,COUNTA(账户总表!$A:$A)),"是","否"),"否"))</f>
        <v/>
      </c>
      <c r="X76" s="77" t="str">
        <f aca="false">IF($A76="","",MAX(F76*0.98,D76*0.92))</f>
        <v/>
      </c>
      <c r="Y76" s="72"/>
      <c r="Z76" s="75" t="str">
        <f aca="false">IF($A76="","",IFERROR(IF(AND(T76&gt;INDEX(账户总表!$C:$C,COUNTA(账户总表!$A:$A)),L76="是"),"是","否"),"否"))</f>
        <v/>
      </c>
      <c r="AA76" s="77" t="str">
        <f aca="false">IF($A76="","",IFERROR(IF(Z76="是",MAX(0,T76-INDEX(账户总表!$C:$C,COUNTA(账户总表!$A:$A)),IF(N76&gt;0,T76/N76-INDEX(账户总表!$B:$B,COUNTA(账户总表!$A:$A)),0)),0),0))</f>
        <v/>
      </c>
      <c r="AB76" s="77" t="str">
        <f aca="false">IF($A76="","",IF(AND(Z76="是",INDEX(账户总表!$U:$U,COUNTA(账户总表!$A:$A))="是"),IF(INDEX(账户总表!$L:$L,COUNTA(账户总表!$A:$A))&gt;=4,AA76*1.5,AA76),0))</f>
        <v/>
      </c>
      <c r="AC76" s="75" t="str">
        <f aca="false">IF($A76="","",IF(AND(L76="是",Q76&gt;=R76,S76&lt;=Q76,S76&gt;=R76,W76="是",X76&gt;0,M76="是",INDEX(账户总表!$M:$M,COUNTA(账户总表!$A:$A))&lt;=2,INDEX(账户总表!$V:$V,COUNTA(账户总表!$A:$A))="是",OR(T76&lt;=INDEX(账户总表!$C:$C,COUNTA(账户总表!$A:$A)),AND(Z76="是",INDEX(账户总表!$U:$U,COUNTA(账户总表!$A:$A))="是",AB76&gt;0))),"是","否"))</f>
        <v/>
      </c>
      <c r="AD76" s="75" t="str">
        <f aca="false">IF($A76="","",IF(L76&lt;&gt;"是","信号未确认",IF(X76&lt;=0,"止损价未定义",IF(Q76&lt;R76,"100股约束不满足",IF(S76&gt;Q76,"计划股数超单股上限",IF(S76&lt;R76,"计划股数低于最小门槛",IF(W76&lt;&gt;"是","总仓位超限",IF(M76&lt;&gt;"是","追价",IF(INDEX(账户总表!$M:$M,COUNTA(账户总表!$A:$A))&gt;2,"亏钱效应偏高",IF(INDEX(账户总表!$V:$V,COUNTA(账户总表!$A:$A))&lt;&gt;"是","账户不允许新开仓",IF(AND(T76&gt;INDEX(账户总表!$C:$C,COUNTA(账户总表!$A:$A)),INDEX(账户总表!$U:$U,COUNTA(账户总表!$A:$A))&lt;&gt;"是"),"现金不足且不允许转入",IF(AND(Z76="是",AB76&lt;=0),"转入金额未满足",""))))))))))))</f>
        <v/>
      </c>
      <c r="AE76" s="71"/>
      <c r="AF76" s="1" t="str">
        <f aca="false">IF($A76="","",D76*100)</f>
        <v/>
      </c>
      <c r="AG76" s="1" t="str">
        <f aca="false">IF($A76="","",IFERROR(AF76/INDEX(账户总表!$B:$B,COUNTA(账户总表!$A:$A)),0))</f>
        <v/>
      </c>
      <c r="AH76" s="1" t="str">
        <f aca="false">IF($A76="","",IFERROR(INDEX(账户总表!$B:$B,COUNTA(账户总表!$A:$A))*INDEX(账户总表!$O:$O,COUNTA(账户总表!$A:$A)),0))</f>
        <v/>
      </c>
      <c r="AI76" s="1" t="str">
        <f aca="false">IF($A76="","",IF(AF76&gt;AH76,"超限","合规"))</f>
        <v/>
      </c>
      <c r="AJ76" s="1" t="str">
        <f aca="false">IF($A76="","",IFERROR(AF76/INDEX(账户总表!$O:$O,COUNTA(账户总表!$A:$A)),0))</f>
        <v/>
      </c>
      <c r="AK76" s="1" t="str">
        <f aca="false">IF($A76="","",IFERROR(MAX(0,AJ76-INDEX(账户总表!$B:$B,COUNTA(账户总表!$A:$A)),AF76-INDEX(账户总表!$C:$C,COUNTA(账户总表!$A:$A))),0))</f>
        <v/>
      </c>
      <c r="AL76" s="1" t="str">
        <f aca="false">IF($A76="","",IF(COUNTIF(持仓表!$C$2:$C$201,C76)&gt;0,"已有","新标的"))</f>
        <v/>
      </c>
      <c r="AM76" s="1" t="str">
        <f aca="false">IF($A76="","",IFERROR(SUMIFS(持仓表!$N$2:$N$201,持仓表!$C$2:$C$201,C76,持仓表!$A$2:$A$201,$A76),0))</f>
        <v/>
      </c>
      <c r="AN76" s="1" t="str">
        <f aca="false">IF($A76="","",IFERROR(AM76+AF76/INDEX(账户总表!$B:$B,COUNTA(账户总表!$A:$A)),0))</f>
        <v/>
      </c>
      <c r="AO76" s="1" t="str">
        <f aca="false">IF($A76="","",IF(AN76&gt;INDEX(账户总表!$O:$O,COUNTA(账户总表!$A:$A)),"超限","合规"))</f>
        <v/>
      </c>
      <c r="AP76" s="1" t="str">
        <f aca="false">IF($A76="","",IF(AND(AL76="新标的",INDEX(账户总表!$R:$R,COUNTA(账户总表!$A:$A))&gt;=INDEX(账户总表!$S:$S,COUNTA(账户总表!$A:$A))),"新增受限","可通过"))</f>
        <v/>
      </c>
      <c r="AQ76" s="1" t="str">
        <f aca="false">IF($A76="","",IF(K76&lt;&gt;"核心池","非核心池",IF(OR(AI76="超限",AO76="超限",AP76="新增受限"),"不可加仓","可加仓")))</f>
        <v/>
      </c>
      <c r="AR76" s="1" t="str">
        <f aca="false">IF($A76="","",TRIM(IF(AI76="超限","1手超单股上限；","")&amp;IF(AO76="超限","买后仓位超限；","")&amp;IF(AP76="新增受限","有效持仓数超限；","")&amp;IF(AF76&gt;INDEX(账户总表!$C:$C,COUNTA(账户总表!$A:$A)),"现金不足；","")))</f>
        <v/>
      </c>
      <c r="AS76" s="1" t="str">
        <f aca="false">IF($A76="","",IFERROR(INDEX(候选池历史!$L:$L,MATCH(1,(候选池历史!$B:$B=C76)*(候选池历史!$A:$A=$A76),0)),0))</f>
        <v/>
      </c>
      <c r="AT76" s="1" t="str">
        <f aca="false">IF($A76="","",IF(AS76&gt;=3,"★信号强化",IF(K76="核心池","核心观察","")))</f>
        <v/>
      </c>
      <c r="AU76" s="1" t="str">
        <f aca="false">IF($A76="","",IF(AK76&gt;30000-INDEX(账户总表!$B:$B,COUNTA(账户总表!$A:$A)),"不适合婴儿阶段","可纳入幼儿路径"))</f>
        <v/>
      </c>
    </row>
    <row r="77" customFormat="false" ht="15" hidden="false" customHeight="true" outlineLevel="0" collapsed="false">
      <c r="A77" s="70"/>
      <c r="B77" s="71"/>
      <c r="C77" s="72"/>
      <c r="D77" s="73"/>
      <c r="E77" s="73"/>
      <c r="F77" s="73"/>
      <c r="G77" s="74"/>
      <c r="H77" s="72"/>
      <c r="I77" s="72"/>
      <c r="J77" s="71"/>
      <c r="K77" s="75" t="str">
        <f aca="false">IF($A77="","",IF(AND(G77&lt;45%,H77&gt;=0.9),"A",IF(AND(G77&lt;60%,H77&gt;0.8),"B","C")))</f>
        <v/>
      </c>
      <c r="L77" s="75" t="str">
        <f aca="false">IF($A77="","",IF(AND(G77&lt;60%,H77&gt;0.8,I77="True"),"是","否"))</f>
        <v/>
      </c>
      <c r="M77" s="75" t="str">
        <f aca="false">IF($A77="","",IF(AND(D77&gt;0,E77&gt;0,D77&lt;=E77*1.02),"是","否"))</f>
        <v/>
      </c>
      <c r="N77" s="76" t="n">
        <f aca="false">IFERROR(INDEX(账户总表!$O:$O,COUNTA(账户总表!$A:$A)),0)</f>
        <v>0.35</v>
      </c>
      <c r="O77" s="77" t="n">
        <f aca="false">IFERROR(INDEX(账户总表!$B:$B,COUNTA(账户总表!$A:$A))*N77,0)</f>
        <v>7294.812</v>
      </c>
      <c r="P77" s="78" t="n">
        <f aca="false">IFERROR(O77/D77,0)</f>
        <v>0</v>
      </c>
      <c r="Q77" s="78" t="n">
        <f aca="false">IFERROR(FLOOR(P77,100),0)</f>
        <v>0</v>
      </c>
      <c r="R77" s="78" t="n">
        <f aca="false">IFERROR(CEILING(800/(100*D77),1)*100,0)</f>
        <v>0</v>
      </c>
      <c r="S77" s="79"/>
      <c r="T77" s="77" t="n">
        <f aca="false">IFERROR(S77*D77,0)</f>
        <v>0</v>
      </c>
      <c r="U77" s="76" t="n">
        <f aca="false">IFERROR(T77/INDEX(账户总表!$B:$B,COUNTA(账户总表!$A:$A)),0)</f>
        <v>0</v>
      </c>
      <c r="V77" s="76" t="n">
        <f aca="false">IFERROR(INDEX(账户总表!$E:$E,COUNTA(账户总表!$A:$A))+U77,0)</f>
        <v>0.407056412146057</v>
      </c>
      <c r="W77" s="75" t="str">
        <f aca="false">IF($A77="","",IFERROR(IF(V77&lt;=INDEX(账户总表!$N:$N,COUNTA(账户总表!$A:$A)),"是","否"),"否"))</f>
        <v/>
      </c>
      <c r="X77" s="77" t="str">
        <f aca="false">IF($A77="","",MAX(F77*0.98,D77*0.92))</f>
        <v/>
      </c>
      <c r="Y77" s="72"/>
      <c r="Z77" s="75" t="str">
        <f aca="false">IF($A77="","",IFERROR(IF(AND(T77&gt;INDEX(账户总表!$C:$C,COUNTA(账户总表!$A:$A)),L77="是"),"是","否"),"否"))</f>
        <v/>
      </c>
      <c r="AA77" s="77" t="str">
        <f aca="false">IF($A77="","",IFERROR(IF(Z77="是",MAX(0,T77-INDEX(账户总表!$C:$C,COUNTA(账户总表!$A:$A)),IF(N77&gt;0,T77/N77-INDEX(账户总表!$B:$B,COUNTA(账户总表!$A:$A)),0)),0),0))</f>
        <v/>
      </c>
      <c r="AB77" s="77" t="str">
        <f aca="false">IF($A77="","",IF(AND(Z77="是",INDEX(账户总表!$U:$U,COUNTA(账户总表!$A:$A))="是"),IF(INDEX(账户总表!$L:$L,COUNTA(账户总表!$A:$A))&gt;=4,AA77*1.5,AA77),0))</f>
        <v/>
      </c>
      <c r="AC77" s="75" t="str">
        <f aca="false">IF($A77="","",IF(AND(L77="是",Q77&gt;=R77,S77&lt;=Q77,S77&gt;=R77,W77="是",X77&gt;0,M77="是",INDEX(账户总表!$M:$M,COUNTA(账户总表!$A:$A))&lt;=2,INDEX(账户总表!$V:$V,COUNTA(账户总表!$A:$A))="是",OR(T77&lt;=INDEX(账户总表!$C:$C,COUNTA(账户总表!$A:$A)),AND(Z77="是",INDEX(账户总表!$U:$U,COUNTA(账户总表!$A:$A))="是",AB77&gt;0))),"是","否"))</f>
        <v/>
      </c>
      <c r="AD77" s="75" t="str">
        <f aca="false">IF($A77="","",IF(L77&lt;&gt;"是","信号未确认",IF(X77&lt;=0,"止损价未定义",IF(Q77&lt;R77,"100股约束不满足",IF(S77&gt;Q77,"计划股数超单股上限",IF(S77&lt;R77,"计划股数低于最小门槛",IF(W77&lt;&gt;"是","总仓位超限",IF(M77&lt;&gt;"是","追价",IF(INDEX(账户总表!$M:$M,COUNTA(账户总表!$A:$A))&gt;2,"亏钱效应偏高",IF(INDEX(账户总表!$V:$V,COUNTA(账户总表!$A:$A))&lt;&gt;"是","账户不允许新开仓",IF(AND(T77&gt;INDEX(账户总表!$C:$C,COUNTA(账户总表!$A:$A)),INDEX(账户总表!$U:$U,COUNTA(账户总表!$A:$A))&lt;&gt;"是"),"现金不足且不允许转入",IF(AND(Z77="是",AB77&lt;=0),"转入金额未满足",""))))))))))))</f>
        <v/>
      </c>
      <c r="AE77" s="71"/>
      <c r="AF77" s="1" t="str">
        <f aca="false">IF($A77="","",D77*100)</f>
        <v/>
      </c>
      <c r="AG77" s="1" t="str">
        <f aca="false">IF($A77="","",IFERROR(AF77/INDEX(账户总表!$B:$B,COUNTA(账户总表!$A:$A)),0))</f>
        <v/>
      </c>
      <c r="AH77" s="1" t="str">
        <f aca="false">IF($A77="","",IFERROR(INDEX(账户总表!$B:$B,COUNTA(账户总表!$A:$A))*INDEX(账户总表!$O:$O,COUNTA(账户总表!$A:$A)),0))</f>
        <v/>
      </c>
      <c r="AI77" s="1" t="str">
        <f aca="false">IF($A77="","",IF(AF77&gt;AH77,"超限","合规"))</f>
        <v/>
      </c>
      <c r="AJ77" s="1" t="str">
        <f aca="false">IF($A77="","",IFERROR(AF77/INDEX(账户总表!$O:$O,COUNTA(账户总表!$A:$A)),0))</f>
        <v/>
      </c>
      <c r="AK77" s="1" t="str">
        <f aca="false">IF($A77="","",IFERROR(MAX(0,AJ77-INDEX(账户总表!$B:$B,COUNTA(账户总表!$A:$A)),AF77-INDEX(账户总表!$C:$C,COUNTA(账户总表!$A:$A))),0))</f>
        <v/>
      </c>
      <c r="AL77" s="1" t="str">
        <f aca="false">IF($A77="","",IF(COUNTIF(持仓表!$C$2:$C$201,C77)&gt;0,"已有","新标的"))</f>
        <v/>
      </c>
      <c r="AM77" s="1" t="str">
        <f aca="false">IF($A77="","",IFERROR(SUMIFS(持仓表!$N$2:$N$201,持仓表!$C$2:$C$201,C77,持仓表!$A$2:$A$201,$A77),0))</f>
        <v/>
      </c>
      <c r="AN77" s="1" t="str">
        <f aca="false">IF($A77="","",IFERROR(AM77+AF77/INDEX(账户总表!$B:$B,COUNTA(账户总表!$A:$A)),0))</f>
        <v/>
      </c>
      <c r="AO77" s="1" t="str">
        <f aca="false">IF($A77="","",IF(AN77&gt;INDEX(账户总表!$O:$O,COUNTA(账户总表!$A:$A)),"超限","合规"))</f>
        <v/>
      </c>
      <c r="AP77" s="1" t="str">
        <f aca="false">IF($A77="","",IF(AND(AL77="新标的",INDEX(账户总表!$R:$R,COUNTA(账户总表!$A:$A))&gt;=INDEX(账户总表!$S:$S,COUNTA(账户总表!$A:$A))),"新增受限","可通过"))</f>
        <v/>
      </c>
      <c r="AQ77" s="1" t="str">
        <f aca="false">IF($A77="","",IF(K77&lt;&gt;"核心池","非核心池",IF(OR(AI77="超限",AO77="超限",AP77="新增受限"),"不可加仓","可加仓")))</f>
        <v/>
      </c>
      <c r="AR77" s="1" t="str">
        <f aca="false">IF($A77="","",TRIM(IF(AI77="超限","1手超单股上限；","")&amp;IF(AO77="超限","买后仓位超限；","")&amp;IF(AP77="新增受限","有效持仓数超限；","")&amp;IF(AF77&gt;INDEX(账户总表!$C:$C,COUNTA(账户总表!$A:$A)),"现金不足；","")))</f>
        <v/>
      </c>
      <c r="AS77" s="1" t="str">
        <f aca="false">IF($A77="","",IFERROR(INDEX(候选池历史!$L:$L,MATCH(1,(候选池历史!$B:$B=C77)*(候选池历史!$A:$A=$A77),0)),0))</f>
        <v/>
      </c>
      <c r="AT77" s="1" t="str">
        <f aca="false">IF($A77="","",IF(AS77&gt;=3,"★信号强化",IF(K77="核心池","核心观察","")))</f>
        <v/>
      </c>
      <c r="AU77" s="1" t="str">
        <f aca="false">IF($A77="","",IF(AK77&gt;30000-INDEX(账户总表!$B:$B,COUNTA(账户总表!$A:$A)),"不适合婴儿阶段","可纳入幼儿路径"))</f>
        <v/>
      </c>
    </row>
    <row r="78" customFormat="false" ht="15" hidden="false" customHeight="true" outlineLevel="0" collapsed="false">
      <c r="A78" s="70"/>
      <c r="B78" s="71"/>
      <c r="C78" s="72"/>
      <c r="D78" s="73"/>
      <c r="E78" s="73"/>
      <c r="F78" s="73"/>
      <c r="G78" s="74"/>
      <c r="H78" s="72"/>
      <c r="I78" s="72"/>
      <c r="J78" s="71"/>
      <c r="K78" s="75" t="str">
        <f aca="false">IF($A78="","",IF(AND(G78&lt;45%,H78&gt;=0.9),"A",IF(AND(G78&lt;60%,H78&gt;0.8),"B","C")))</f>
        <v/>
      </c>
      <c r="L78" s="75" t="str">
        <f aca="false">IF($A78="","",IF(AND(G78&lt;60%,H78&gt;0.8,I78="True"),"是","否"))</f>
        <v/>
      </c>
      <c r="M78" s="75" t="str">
        <f aca="false">IF($A78="","",IF(AND(D78&gt;0,E78&gt;0,D78&lt;=E78*1.02),"是","否"))</f>
        <v/>
      </c>
      <c r="N78" s="76" t="n">
        <f aca="false">IFERROR(INDEX(账户总表!$O:$O,COUNTA(账户总表!$A:$A)),0)</f>
        <v>0.35</v>
      </c>
      <c r="O78" s="77" t="n">
        <f aca="false">IFERROR(INDEX(账户总表!$B:$B,COUNTA(账户总表!$A:$A))*N78,0)</f>
        <v>7294.812</v>
      </c>
      <c r="P78" s="78" t="n">
        <f aca="false">IFERROR(O78/D78,0)</f>
        <v>0</v>
      </c>
      <c r="Q78" s="78" t="n">
        <f aca="false">IFERROR(FLOOR(P78,100),0)</f>
        <v>0</v>
      </c>
      <c r="R78" s="78" t="n">
        <f aca="false">IFERROR(CEILING(800/(100*D78),1)*100,0)</f>
        <v>0</v>
      </c>
      <c r="S78" s="79"/>
      <c r="T78" s="77" t="n">
        <f aca="false">IFERROR(S78*D78,0)</f>
        <v>0</v>
      </c>
      <c r="U78" s="76" t="n">
        <f aca="false">IFERROR(T78/INDEX(账户总表!$B:$B,COUNTA(账户总表!$A:$A)),0)</f>
        <v>0</v>
      </c>
      <c r="V78" s="76" t="n">
        <f aca="false">IFERROR(INDEX(账户总表!$E:$E,COUNTA(账户总表!$A:$A))+U78,0)</f>
        <v>0.407056412146057</v>
      </c>
      <c r="W78" s="75" t="str">
        <f aca="false">IF($A78="","",IFERROR(IF(V78&lt;=INDEX(账户总表!$N:$N,COUNTA(账户总表!$A:$A)),"是","否"),"否"))</f>
        <v/>
      </c>
      <c r="X78" s="77" t="str">
        <f aca="false">IF($A78="","",MAX(F78*0.98,D78*0.92))</f>
        <v/>
      </c>
      <c r="Y78" s="72"/>
      <c r="Z78" s="75" t="str">
        <f aca="false">IF($A78="","",IFERROR(IF(AND(T78&gt;INDEX(账户总表!$C:$C,COUNTA(账户总表!$A:$A)),L78="是"),"是","否"),"否"))</f>
        <v/>
      </c>
      <c r="AA78" s="77" t="str">
        <f aca="false">IF($A78="","",IFERROR(IF(Z78="是",MAX(0,T78-INDEX(账户总表!$C:$C,COUNTA(账户总表!$A:$A)),IF(N78&gt;0,T78/N78-INDEX(账户总表!$B:$B,COUNTA(账户总表!$A:$A)),0)),0),0))</f>
        <v/>
      </c>
      <c r="AB78" s="77" t="str">
        <f aca="false">IF($A78="","",IF(AND(Z78="是",INDEX(账户总表!$U:$U,COUNTA(账户总表!$A:$A))="是"),IF(INDEX(账户总表!$L:$L,COUNTA(账户总表!$A:$A))&gt;=4,AA78*1.5,AA78),0))</f>
        <v/>
      </c>
      <c r="AC78" s="75" t="str">
        <f aca="false">IF($A78="","",IF(AND(L78="是",Q78&gt;=R78,S78&lt;=Q78,S78&gt;=R78,W78="是",X78&gt;0,M78="是",INDEX(账户总表!$M:$M,COUNTA(账户总表!$A:$A))&lt;=2,INDEX(账户总表!$V:$V,COUNTA(账户总表!$A:$A))="是",OR(T78&lt;=INDEX(账户总表!$C:$C,COUNTA(账户总表!$A:$A)),AND(Z78="是",INDEX(账户总表!$U:$U,COUNTA(账户总表!$A:$A))="是",AB78&gt;0))),"是","否"))</f>
        <v/>
      </c>
      <c r="AD78" s="75" t="str">
        <f aca="false">IF($A78="","",IF(L78&lt;&gt;"是","信号未确认",IF(X78&lt;=0,"止损价未定义",IF(Q78&lt;R78,"100股约束不满足",IF(S78&gt;Q78,"计划股数超单股上限",IF(S78&lt;R78,"计划股数低于最小门槛",IF(W78&lt;&gt;"是","总仓位超限",IF(M78&lt;&gt;"是","追价",IF(INDEX(账户总表!$M:$M,COUNTA(账户总表!$A:$A))&gt;2,"亏钱效应偏高",IF(INDEX(账户总表!$V:$V,COUNTA(账户总表!$A:$A))&lt;&gt;"是","账户不允许新开仓",IF(AND(T78&gt;INDEX(账户总表!$C:$C,COUNTA(账户总表!$A:$A)),INDEX(账户总表!$U:$U,COUNTA(账户总表!$A:$A))&lt;&gt;"是"),"现金不足且不允许转入",IF(AND(Z78="是",AB78&lt;=0),"转入金额未满足",""))))))))))))</f>
        <v/>
      </c>
      <c r="AE78" s="71"/>
      <c r="AF78" s="1" t="str">
        <f aca="false">IF($A78="","",D78*100)</f>
        <v/>
      </c>
      <c r="AG78" s="1" t="str">
        <f aca="false">IF($A78="","",IFERROR(AF78/INDEX(账户总表!$B:$B,COUNTA(账户总表!$A:$A)),0))</f>
        <v/>
      </c>
      <c r="AH78" s="1" t="str">
        <f aca="false">IF($A78="","",IFERROR(INDEX(账户总表!$B:$B,COUNTA(账户总表!$A:$A))*INDEX(账户总表!$O:$O,COUNTA(账户总表!$A:$A)),0))</f>
        <v/>
      </c>
      <c r="AI78" s="1" t="str">
        <f aca="false">IF($A78="","",IF(AF78&gt;AH78,"超限","合规"))</f>
        <v/>
      </c>
      <c r="AJ78" s="1" t="str">
        <f aca="false">IF($A78="","",IFERROR(AF78/INDEX(账户总表!$O:$O,COUNTA(账户总表!$A:$A)),0))</f>
        <v/>
      </c>
      <c r="AK78" s="1" t="str">
        <f aca="false">IF($A78="","",IFERROR(MAX(0,AJ78-INDEX(账户总表!$B:$B,COUNTA(账户总表!$A:$A)),AF78-INDEX(账户总表!$C:$C,COUNTA(账户总表!$A:$A))),0))</f>
        <v/>
      </c>
      <c r="AL78" s="1" t="str">
        <f aca="false">IF($A78="","",IF(COUNTIF(持仓表!$C$2:$C$201,C78)&gt;0,"已有","新标的"))</f>
        <v/>
      </c>
      <c r="AM78" s="1" t="str">
        <f aca="false">IF($A78="","",IFERROR(SUMIFS(持仓表!$N$2:$N$201,持仓表!$C$2:$C$201,C78,持仓表!$A$2:$A$201,$A78),0))</f>
        <v/>
      </c>
      <c r="AN78" s="1" t="str">
        <f aca="false">IF($A78="","",IFERROR(AM78+AF78/INDEX(账户总表!$B:$B,COUNTA(账户总表!$A:$A)),0))</f>
        <v/>
      </c>
      <c r="AO78" s="1" t="str">
        <f aca="false">IF($A78="","",IF(AN78&gt;INDEX(账户总表!$O:$O,COUNTA(账户总表!$A:$A)),"超限","合规"))</f>
        <v/>
      </c>
      <c r="AP78" s="1" t="str">
        <f aca="false">IF($A78="","",IF(AND(AL78="新标的",INDEX(账户总表!$R:$R,COUNTA(账户总表!$A:$A))&gt;=INDEX(账户总表!$S:$S,COUNTA(账户总表!$A:$A))),"新增受限","可通过"))</f>
        <v/>
      </c>
      <c r="AQ78" s="1" t="str">
        <f aca="false">IF($A78="","",IF(K78&lt;&gt;"核心池","非核心池",IF(OR(AI78="超限",AO78="超限",AP78="新增受限"),"不可加仓","可加仓")))</f>
        <v/>
      </c>
      <c r="AR78" s="1" t="str">
        <f aca="false">IF($A78="","",TRIM(IF(AI78="超限","1手超单股上限；","")&amp;IF(AO78="超限","买后仓位超限；","")&amp;IF(AP78="新增受限","有效持仓数超限；","")&amp;IF(AF78&gt;INDEX(账户总表!$C:$C,COUNTA(账户总表!$A:$A)),"现金不足；","")))</f>
        <v/>
      </c>
      <c r="AS78" s="1" t="str">
        <f aca="false">IF($A78="","",IFERROR(INDEX(候选池历史!$L:$L,MATCH(1,(候选池历史!$B:$B=C78)*(候选池历史!$A:$A=$A78),0)),0))</f>
        <v/>
      </c>
      <c r="AT78" s="1" t="str">
        <f aca="false">IF($A78="","",IF(AS78&gt;=3,"★信号强化",IF(K78="核心池","核心观察","")))</f>
        <v/>
      </c>
      <c r="AU78" s="1" t="str">
        <f aca="false">IF($A78="","",IF(AK78&gt;30000-INDEX(账户总表!$B:$B,COUNTA(账户总表!$A:$A)),"不适合婴儿阶段","可纳入幼儿路径"))</f>
        <v/>
      </c>
    </row>
    <row r="79" customFormat="false" ht="15" hidden="false" customHeight="true" outlineLevel="0" collapsed="false">
      <c r="A79" s="70"/>
      <c r="B79" s="71"/>
      <c r="C79" s="72"/>
      <c r="D79" s="73"/>
      <c r="E79" s="73"/>
      <c r="F79" s="73"/>
      <c r="G79" s="74"/>
      <c r="H79" s="72"/>
      <c r="I79" s="72"/>
      <c r="J79" s="71"/>
      <c r="K79" s="75" t="str">
        <f aca="false">IF($A79="","",IF(AND(G79&lt;45%,H79&gt;=0.9),"A",IF(AND(G79&lt;60%,H79&gt;0.8),"B","C")))</f>
        <v/>
      </c>
      <c r="L79" s="75" t="str">
        <f aca="false">IF($A79="","",IF(AND(G79&lt;60%,H79&gt;0.8,I79="True"),"是","否"))</f>
        <v/>
      </c>
      <c r="M79" s="75" t="str">
        <f aca="false">IF($A79="","",IF(AND(D79&gt;0,E79&gt;0,D79&lt;=E79*1.02),"是","否"))</f>
        <v/>
      </c>
      <c r="N79" s="76" t="n">
        <f aca="false">IFERROR(INDEX(账户总表!$O:$O,COUNTA(账户总表!$A:$A)),0)</f>
        <v>0.35</v>
      </c>
      <c r="O79" s="77" t="n">
        <f aca="false">IFERROR(INDEX(账户总表!$B:$B,COUNTA(账户总表!$A:$A))*N79,0)</f>
        <v>7294.812</v>
      </c>
      <c r="P79" s="78" t="n">
        <f aca="false">IFERROR(O79/D79,0)</f>
        <v>0</v>
      </c>
      <c r="Q79" s="78" t="n">
        <f aca="false">IFERROR(FLOOR(P79,100),0)</f>
        <v>0</v>
      </c>
      <c r="R79" s="78" t="n">
        <f aca="false">IFERROR(CEILING(800/(100*D79),1)*100,0)</f>
        <v>0</v>
      </c>
      <c r="S79" s="79"/>
      <c r="T79" s="77" t="n">
        <f aca="false">IFERROR(S79*D79,0)</f>
        <v>0</v>
      </c>
      <c r="U79" s="76" t="n">
        <f aca="false">IFERROR(T79/INDEX(账户总表!$B:$B,COUNTA(账户总表!$A:$A)),0)</f>
        <v>0</v>
      </c>
      <c r="V79" s="76" t="n">
        <f aca="false">IFERROR(INDEX(账户总表!$E:$E,COUNTA(账户总表!$A:$A))+U79,0)</f>
        <v>0.407056412146057</v>
      </c>
      <c r="W79" s="75" t="str">
        <f aca="false">IF($A79="","",IFERROR(IF(V79&lt;=INDEX(账户总表!$N:$N,COUNTA(账户总表!$A:$A)),"是","否"),"否"))</f>
        <v/>
      </c>
      <c r="X79" s="77" t="str">
        <f aca="false">IF($A79="","",MAX(F79*0.98,D79*0.92))</f>
        <v/>
      </c>
      <c r="Y79" s="72"/>
      <c r="Z79" s="75" t="str">
        <f aca="false">IF($A79="","",IFERROR(IF(AND(T79&gt;INDEX(账户总表!$C:$C,COUNTA(账户总表!$A:$A)),L79="是"),"是","否"),"否"))</f>
        <v/>
      </c>
      <c r="AA79" s="77" t="str">
        <f aca="false">IF($A79="","",IFERROR(IF(Z79="是",MAX(0,T79-INDEX(账户总表!$C:$C,COUNTA(账户总表!$A:$A)),IF(N79&gt;0,T79/N79-INDEX(账户总表!$B:$B,COUNTA(账户总表!$A:$A)),0)),0),0))</f>
        <v/>
      </c>
      <c r="AB79" s="77" t="str">
        <f aca="false">IF($A79="","",IF(AND(Z79="是",INDEX(账户总表!$U:$U,COUNTA(账户总表!$A:$A))="是"),IF(INDEX(账户总表!$L:$L,COUNTA(账户总表!$A:$A))&gt;=4,AA79*1.5,AA79),0))</f>
        <v/>
      </c>
      <c r="AC79" s="75" t="str">
        <f aca="false">IF($A79="","",IF(AND(L79="是",Q79&gt;=R79,S79&lt;=Q79,S79&gt;=R79,W79="是",X79&gt;0,M79="是",INDEX(账户总表!$M:$M,COUNTA(账户总表!$A:$A))&lt;=2,INDEX(账户总表!$V:$V,COUNTA(账户总表!$A:$A))="是",OR(T79&lt;=INDEX(账户总表!$C:$C,COUNTA(账户总表!$A:$A)),AND(Z79="是",INDEX(账户总表!$U:$U,COUNTA(账户总表!$A:$A))="是",AB79&gt;0))),"是","否"))</f>
        <v/>
      </c>
      <c r="AD79" s="75" t="str">
        <f aca="false">IF($A79="","",IF(L79&lt;&gt;"是","信号未确认",IF(X79&lt;=0,"止损价未定义",IF(Q79&lt;R79,"100股约束不满足",IF(S79&gt;Q79,"计划股数超单股上限",IF(S79&lt;R79,"计划股数低于最小门槛",IF(W79&lt;&gt;"是","总仓位超限",IF(M79&lt;&gt;"是","追价",IF(INDEX(账户总表!$M:$M,COUNTA(账户总表!$A:$A))&gt;2,"亏钱效应偏高",IF(INDEX(账户总表!$V:$V,COUNTA(账户总表!$A:$A))&lt;&gt;"是","账户不允许新开仓",IF(AND(T79&gt;INDEX(账户总表!$C:$C,COUNTA(账户总表!$A:$A)),INDEX(账户总表!$U:$U,COUNTA(账户总表!$A:$A))&lt;&gt;"是"),"现金不足且不允许转入",IF(AND(Z79="是",AB79&lt;=0),"转入金额未满足",""))))))))))))</f>
        <v/>
      </c>
      <c r="AE79" s="71"/>
      <c r="AF79" s="1" t="str">
        <f aca="false">IF($A79="","",D79*100)</f>
        <v/>
      </c>
      <c r="AG79" s="1" t="str">
        <f aca="false">IF($A79="","",IFERROR(AF79/INDEX(账户总表!$B:$B,COUNTA(账户总表!$A:$A)),0))</f>
        <v/>
      </c>
      <c r="AH79" s="1" t="str">
        <f aca="false">IF($A79="","",IFERROR(INDEX(账户总表!$B:$B,COUNTA(账户总表!$A:$A))*INDEX(账户总表!$O:$O,COUNTA(账户总表!$A:$A)),0))</f>
        <v/>
      </c>
      <c r="AI79" s="1" t="str">
        <f aca="false">IF($A79="","",IF(AF79&gt;AH79,"超限","合规"))</f>
        <v/>
      </c>
      <c r="AJ79" s="1" t="str">
        <f aca="false">IF($A79="","",IFERROR(AF79/INDEX(账户总表!$O:$O,COUNTA(账户总表!$A:$A)),0))</f>
        <v/>
      </c>
      <c r="AK79" s="1" t="str">
        <f aca="false">IF($A79="","",IFERROR(MAX(0,AJ79-INDEX(账户总表!$B:$B,COUNTA(账户总表!$A:$A)),AF79-INDEX(账户总表!$C:$C,COUNTA(账户总表!$A:$A))),0))</f>
        <v/>
      </c>
      <c r="AL79" s="1" t="str">
        <f aca="false">IF($A79="","",IF(COUNTIF(持仓表!$C$2:$C$201,C79)&gt;0,"已有","新标的"))</f>
        <v/>
      </c>
      <c r="AM79" s="1" t="str">
        <f aca="false">IF($A79="","",IFERROR(SUMIFS(持仓表!$N$2:$N$201,持仓表!$C$2:$C$201,C79,持仓表!$A$2:$A$201,$A79),0))</f>
        <v/>
      </c>
      <c r="AN79" s="1" t="str">
        <f aca="false">IF($A79="","",IFERROR(AM79+AF79/INDEX(账户总表!$B:$B,COUNTA(账户总表!$A:$A)),0))</f>
        <v/>
      </c>
      <c r="AO79" s="1" t="str">
        <f aca="false">IF($A79="","",IF(AN79&gt;INDEX(账户总表!$O:$O,COUNTA(账户总表!$A:$A)),"超限","合规"))</f>
        <v/>
      </c>
      <c r="AP79" s="1" t="str">
        <f aca="false">IF($A79="","",IF(AND(AL79="新标的",INDEX(账户总表!$R:$R,COUNTA(账户总表!$A:$A))&gt;=INDEX(账户总表!$S:$S,COUNTA(账户总表!$A:$A))),"新增受限","可通过"))</f>
        <v/>
      </c>
      <c r="AQ79" s="1" t="str">
        <f aca="false">IF($A79="","",IF(K79&lt;&gt;"核心池","非核心池",IF(OR(AI79="超限",AO79="超限",AP79="新增受限"),"不可加仓","可加仓")))</f>
        <v/>
      </c>
      <c r="AR79" s="1" t="str">
        <f aca="false">IF($A79="","",TRIM(IF(AI79="超限","1手超单股上限；","")&amp;IF(AO79="超限","买后仓位超限；","")&amp;IF(AP79="新增受限","有效持仓数超限；","")&amp;IF(AF79&gt;INDEX(账户总表!$C:$C,COUNTA(账户总表!$A:$A)),"现金不足；","")))</f>
        <v/>
      </c>
      <c r="AS79" s="1" t="str">
        <f aca="false">IF($A79="","",IFERROR(INDEX(候选池历史!$L:$L,MATCH(1,(候选池历史!$B:$B=C79)*(候选池历史!$A:$A=$A79),0)),0))</f>
        <v/>
      </c>
      <c r="AT79" s="1" t="str">
        <f aca="false">IF($A79="","",IF(AS79&gt;=3,"★信号强化",IF(K79="核心池","核心观察","")))</f>
        <v/>
      </c>
      <c r="AU79" s="1" t="str">
        <f aca="false">IF($A79="","",IF(AK79&gt;30000-INDEX(账户总表!$B:$B,COUNTA(账户总表!$A:$A)),"不适合婴儿阶段","可纳入幼儿路径"))</f>
        <v/>
      </c>
    </row>
    <row r="80" customFormat="false" ht="15" hidden="false" customHeight="true" outlineLevel="0" collapsed="false">
      <c r="A80" s="70"/>
      <c r="B80" s="71"/>
      <c r="C80" s="72"/>
      <c r="D80" s="73"/>
      <c r="E80" s="73"/>
      <c r="F80" s="73"/>
      <c r="G80" s="74"/>
      <c r="H80" s="72"/>
      <c r="I80" s="72"/>
      <c r="J80" s="71"/>
      <c r="K80" s="75" t="str">
        <f aca="false">IF($A80="","",IF(AND(G80&lt;45%,H80&gt;=0.9),"A",IF(AND(G80&lt;60%,H80&gt;0.8),"B","C")))</f>
        <v/>
      </c>
      <c r="L80" s="75" t="str">
        <f aca="false">IF($A80="","",IF(AND(G80&lt;60%,H80&gt;0.8,I80="True"),"是","否"))</f>
        <v/>
      </c>
      <c r="M80" s="75" t="str">
        <f aca="false">IF($A80="","",IF(AND(D80&gt;0,E80&gt;0,D80&lt;=E80*1.02),"是","否"))</f>
        <v/>
      </c>
      <c r="N80" s="76" t="n">
        <f aca="false">IFERROR(INDEX(账户总表!$O:$O,COUNTA(账户总表!$A:$A)),0)</f>
        <v>0.35</v>
      </c>
      <c r="O80" s="77" t="n">
        <f aca="false">IFERROR(INDEX(账户总表!$B:$B,COUNTA(账户总表!$A:$A))*N80,0)</f>
        <v>7294.812</v>
      </c>
      <c r="P80" s="78" t="n">
        <f aca="false">IFERROR(O80/D80,0)</f>
        <v>0</v>
      </c>
      <c r="Q80" s="78" t="n">
        <f aca="false">IFERROR(FLOOR(P80,100),0)</f>
        <v>0</v>
      </c>
      <c r="R80" s="78" t="n">
        <f aca="false">IFERROR(CEILING(800/(100*D80),1)*100,0)</f>
        <v>0</v>
      </c>
      <c r="S80" s="79"/>
      <c r="T80" s="77" t="n">
        <f aca="false">IFERROR(S80*D80,0)</f>
        <v>0</v>
      </c>
      <c r="U80" s="76" t="n">
        <f aca="false">IFERROR(T80/INDEX(账户总表!$B:$B,COUNTA(账户总表!$A:$A)),0)</f>
        <v>0</v>
      </c>
      <c r="V80" s="76" t="n">
        <f aca="false">IFERROR(INDEX(账户总表!$E:$E,COUNTA(账户总表!$A:$A))+U80,0)</f>
        <v>0.407056412146057</v>
      </c>
      <c r="W80" s="75" t="str">
        <f aca="false">IF($A80="","",IFERROR(IF(V80&lt;=INDEX(账户总表!$N:$N,COUNTA(账户总表!$A:$A)),"是","否"),"否"))</f>
        <v/>
      </c>
      <c r="X80" s="77" t="str">
        <f aca="false">IF($A80="","",MAX(F80*0.98,D80*0.92))</f>
        <v/>
      </c>
      <c r="Y80" s="72"/>
      <c r="Z80" s="75" t="str">
        <f aca="false">IF($A80="","",IFERROR(IF(AND(T80&gt;INDEX(账户总表!$C:$C,COUNTA(账户总表!$A:$A)),L80="是"),"是","否"),"否"))</f>
        <v/>
      </c>
      <c r="AA80" s="77" t="str">
        <f aca="false">IF($A80="","",IFERROR(IF(Z80="是",MAX(0,T80-INDEX(账户总表!$C:$C,COUNTA(账户总表!$A:$A)),IF(N80&gt;0,T80/N80-INDEX(账户总表!$B:$B,COUNTA(账户总表!$A:$A)),0)),0),0))</f>
        <v/>
      </c>
      <c r="AB80" s="77" t="str">
        <f aca="false">IF($A80="","",IF(AND(Z80="是",INDEX(账户总表!$U:$U,COUNTA(账户总表!$A:$A))="是"),IF(INDEX(账户总表!$L:$L,COUNTA(账户总表!$A:$A))&gt;=4,AA80*1.5,AA80),0))</f>
        <v/>
      </c>
      <c r="AC80" s="75" t="str">
        <f aca="false">IF($A80="","",IF(AND(L80="是",Q80&gt;=R80,S80&lt;=Q80,S80&gt;=R80,W80="是",X80&gt;0,M80="是",INDEX(账户总表!$M:$M,COUNTA(账户总表!$A:$A))&lt;=2,INDEX(账户总表!$V:$V,COUNTA(账户总表!$A:$A))="是",OR(T80&lt;=INDEX(账户总表!$C:$C,COUNTA(账户总表!$A:$A)),AND(Z80="是",INDEX(账户总表!$U:$U,COUNTA(账户总表!$A:$A))="是",AB80&gt;0))),"是","否"))</f>
        <v/>
      </c>
      <c r="AD80" s="75" t="str">
        <f aca="false">IF($A80="","",IF(L80&lt;&gt;"是","信号未确认",IF(X80&lt;=0,"止损价未定义",IF(Q80&lt;R80,"100股约束不满足",IF(S80&gt;Q80,"计划股数超单股上限",IF(S80&lt;R80,"计划股数低于最小门槛",IF(W80&lt;&gt;"是","总仓位超限",IF(M80&lt;&gt;"是","追价",IF(INDEX(账户总表!$M:$M,COUNTA(账户总表!$A:$A))&gt;2,"亏钱效应偏高",IF(INDEX(账户总表!$V:$V,COUNTA(账户总表!$A:$A))&lt;&gt;"是","账户不允许新开仓",IF(AND(T80&gt;INDEX(账户总表!$C:$C,COUNTA(账户总表!$A:$A)),INDEX(账户总表!$U:$U,COUNTA(账户总表!$A:$A))&lt;&gt;"是"),"现金不足且不允许转入",IF(AND(Z80="是",AB80&lt;=0),"转入金额未满足",""))))))))))))</f>
        <v/>
      </c>
      <c r="AE80" s="71"/>
      <c r="AF80" s="1" t="str">
        <f aca="false">IF($A80="","",D80*100)</f>
        <v/>
      </c>
      <c r="AG80" s="1" t="str">
        <f aca="false">IF($A80="","",IFERROR(AF80/INDEX(账户总表!$B:$B,COUNTA(账户总表!$A:$A)),0))</f>
        <v/>
      </c>
      <c r="AH80" s="1" t="str">
        <f aca="false">IF($A80="","",IFERROR(INDEX(账户总表!$B:$B,COUNTA(账户总表!$A:$A))*INDEX(账户总表!$O:$O,COUNTA(账户总表!$A:$A)),0))</f>
        <v/>
      </c>
      <c r="AI80" s="1" t="str">
        <f aca="false">IF($A80="","",IF(AF80&gt;AH80,"超限","合规"))</f>
        <v/>
      </c>
      <c r="AJ80" s="1" t="str">
        <f aca="false">IF($A80="","",IFERROR(AF80/INDEX(账户总表!$O:$O,COUNTA(账户总表!$A:$A)),0))</f>
        <v/>
      </c>
      <c r="AK80" s="1" t="str">
        <f aca="false">IF($A80="","",IFERROR(MAX(0,AJ80-INDEX(账户总表!$B:$B,COUNTA(账户总表!$A:$A)),AF80-INDEX(账户总表!$C:$C,COUNTA(账户总表!$A:$A))),0))</f>
        <v/>
      </c>
      <c r="AL80" s="1" t="str">
        <f aca="false">IF($A80="","",IF(COUNTIF(持仓表!$C$2:$C$201,C80)&gt;0,"已有","新标的"))</f>
        <v/>
      </c>
      <c r="AM80" s="1" t="str">
        <f aca="false">IF($A80="","",IFERROR(SUMIFS(持仓表!$N$2:$N$201,持仓表!$C$2:$C$201,C80,持仓表!$A$2:$A$201,$A80),0))</f>
        <v/>
      </c>
      <c r="AN80" s="1" t="str">
        <f aca="false">IF($A80="","",IFERROR(AM80+AF80/INDEX(账户总表!$B:$B,COUNTA(账户总表!$A:$A)),0))</f>
        <v/>
      </c>
      <c r="AO80" s="1" t="str">
        <f aca="false">IF($A80="","",IF(AN80&gt;INDEX(账户总表!$O:$O,COUNTA(账户总表!$A:$A)),"超限","合规"))</f>
        <v/>
      </c>
      <c r="AP80" s="1" t="str">
        <f aca="false">IF($A80="","",IF(AND(AL80="新标的",INDEX(账户总表!$R:$R,COUNTA(账户总表!$A:$A))&gt;=INDEX(账户总表!$S:$S,COUNTA(账户总表!$A:$A))),"新增受限","可通过"))</f>
        <v/>
      </c>
      <c r="AQ80" s="1" t="str">
        <f aca="false">IF($A80="","",IF(K80&lt;&gt;"核心池","非核心池",IF(OR(AI80="超限",AO80="超限",AP80="新增受限"),"不可加仓","可加仓")))</f>
        <v/>
      </c>
      <c r="AR80" s="1" t="str">
        <f aca="false">IF($A80="","",TRIM(IF(AI80="超限","1手超单股上限；","")&amp;IF(AO80="超限","买后仓位超限；","")&amp;IF(AP80="新增受限","有效持仓数超限；","")&amp;IF(AF80&gt;INDEX(账户总表!$C:$C,COUNTA(账户总表!$A:$A)),"现金不足；","")))</f>
        <v/>
      </c>
      <c r="AS80" s="1" t="str">
        <f aca="false">IF($A80="","",IFERROR(INDEX(候选池历史!$L:$L,MATCH(1,(候选池历史!$B:$B=C80)*(候选池历史!$A:$A=$A80),0)),0))</f>
        <v/>
      </c>
      <c r="AT80" s="1" t="str">
        <f aca="false">IF($A80="","",IF(AS80&gt;=3,"★信号强化",IF(K80="核心池","核心观察","")))</f>
        <v/>
      </c>
      <c r="AU80" s="1" t="str">
        <f aca="false">IF($A80="","",IF(AK80&gt;30000-INDEX(账户总表!$B:$B,COUNTA(账户总表!$A:$A)),"不适合婴儿阶段","可纳入幼儿路径"))</f>
        <v/>
      </c>
    </row>
    <row r="81" customFormat="false" ht="15" hidden="false" customHeight="true" outlineLevel="0" collapsed="false">
      <c r="A81" s="70"/>
      <c r="B81" s="71"/>
      <c r="C81" s="72"/>
      <c r="D81" s="73"/>
      <c r="E81" s="73"/>
      <c r="F81" s="73"/>
      <c r="G81" s="74"/>
      <c r="H81" s="72"/>
      <c r="I81" s="72"/>
      <c r="J81" s="71"/>
      <c r="K81" s="75" t="str">
        <f aca="false">IF($A81="","",IF(AND(G81&lt;45%,H81&gt;=0.9),"A",IF(AND(G81&lt;60%,H81&gt;0.8),"B","C")))</f>
        <v/>
      </c>
      <c r="L81" s="75" t="str">
        <f aca="false">IF($A81="","",IF(AND(G81&lt;60%,H81&gt;0.8,I81="True"),"是","否"))</f>
        <v/>
      </c>
      <c r="M81" s="75" t="str">
        <f aca="false">IF($A81="","",IF(AND(D81&gt;0,E81&gt;0,D81&lt;=E81*1.02),"是","否"))</f>
        <v/>
      </c>
      <c r="N81" s="76" t="n">
        <f aca="false">IFERROR(INDEX(账户总表!$O:$O,COUNTA(账户总表!$A:$A)),0)</f>
        <v>0.35</v>
      </c>
      <c r="O81" s="77" t="n">
        <f aca="false">IFERROR(INDEX(账户总表!$B:$B,COUNTA(账户总表!$A:$A))*N81,0)</f>
        <v>7294.812</v>
      </c>
      <c r="P81" s="78" t="n">
        <f aca="false">IFERROR(O81/D81,0)</f>
        <v>0</v>
      </c>
      <c r="Q81" s="78" t="n">
        <f aca="false">IFERROR(FLOOR(P81,100),0)</f>
        <v>0</v>
      </c>
      <c r="R81" s="78" t="n">
        <f aca="false">IFERROR(CEILING(800/(100*D81),1)*100,0)</f>
        <v>0</v>
      </c>
      <c r="S81" s="79"/>
      <c r="T81" s="77" t="n">
        <f aca="false">IFERROR(S81*D81,0)</f>
        <v>0</v>
      </c>
      <c r="U81" s="76" t="n">
        <f aca="false">IFERROR(T81/INDEX(账户总表!$B:$B,COUNTA(账户总表!$A:$A)),0)</f>
        <v>0</v>
      </c>
      <c r="V81" s="76" t="n">
        <f aca="false">IFERROR(INDEX(账户总表!$E:$E,COUNTA(账户总表!$A:$A))+U81,0)</f>
        <v>0.407056412146057</v>
      </c>
      <c r="W81" s="75" t="str">
        <f aca="false">IF($A81="","",IFERROR(IF(V81&lt;=INDEX(账户总表!$N:$N,COUNTA(账户总表!$A:$A)),"是","否"),"否"))</f>
        <v/>
      </c>
      <c r="X81" s="77" t="str">
        <f aca="false">IF($A81="","",MAX(F81*0.98,D81*0.92))</f>
        <v/>
      </c>
      <c r="Y81" s="72"/>
      <c r="Z81" s="75" t="str">
        <f aca="false">IF($A81="","",IFERROR(IF(AND(T81&gt;INDEX(账户总表!$C:$C,COUNTA(账户总表!$A:$A)),L81="是"),"是","否"),"否"))</f>
        <v/>
      </c>
      <c r="AA81" s="77" t="str">
        <f aca="false">IF($A81="","",IFERROR(IF(Z81="是",MAX(0,T81-INDEX(账户总表!$C:$C,COUNTA(账户总表!$A:$A)),IF(N81&gt;0,T81/N81-INDEX(账户总表!$B:$B,COUNTA(账户总表!$A:$A)),0)),0),0))</f>
        <v/>
      </c>
      <c r="AB81" s="77" t="str">
        <f aca="false">IF($A81="","",IF(AND(Z81="是",INDEX(账户总表!$U:$U,COUNTA(账户总表!$A:$A))="是"),IF(INDEX(账户总表!$L:$L,COUNTA(账户总表!$A:$A))&gt;=4,AA81*1.5,AA81),0))</f>
        <v/>
      </c>
      <c r="AC81" s="75" t="str">
        <f aca="false">IF($A81="","",IF(AND(L81="是",Q81&gt;=R81,S81&lt;=Q81,S81&gt;=R81,W81="是",X81&gt;0,M81="是",INDEX(账户总表!$M:$M,COUNTA(账户总表!$A:$A))&lt;=2,INDEX(账户总表!$V:$V,COUNTA(账户总表!$A:$A))="是",OR(T81&lt;=INDEX(账户总表!$C:$C,COUNTA(账户总表!$A:$A)),AND(Z81="是",INDEX(账户总表!$U:$U,COUNTA(账户总表!$A:$A))="是",AB81&gt;0))),"是","否"))</f>
        <v/>
      </c>
      <c r="AD81" s="75" t="str">
        <f aca="false">IF($A81="","",IF(L81&lt;&gt;"是","信号未确认",IF(X81&lt;=0,"止损价未定义",IF(Q81&lt;R81,"100股约束不满足",IF(S81&gt;Q81,"计划股数超单股上限",IF(S81&lt;R81,"计划股数低于最小门槛",IF(W81&lt;&gt;"是","总仓位超限",IF(M81&lt;&gt;"是","追价",IF(INDEX(账户总表!$M:$M,COUNTA(账户总表!$A:$A))&gt;2,"亏钱效应偏高",IF(INDEX(账户总表!$V:$V,COUNTA(账户总表!$A:$A))&lt;&gt;"是","账户不允许新开仓",IF(AND(T81&gt;INDEX(账户总表!$C:$C,COUNTA(账户总表!$A:$A)),INDEX(账户总表!$U:$U,COUNTA(账户总表!$A:$A))&lt;&gt;"是"),"现金不足且不允许转入",IF(AND(Z81="是",AB81&lt;=0),"转入金额未满足",""))))))))))))</f>
        <v/>
      </c>
      <c r="AE81" s="71"/>
      <c r="AF81" s="1" t="str">
        <f aca="false">IF($A81="","",D81*100)</f>
        <v/>
      </c>
      <c r="AG81" s="1" t="str">
        <f aca="false">IF($A81="","",IFERROR(AF81/INDEX(账户总表!$B:$B,COUNTA(账户总表!$A:$A)),0))</f>
        <v/>
      </c>
      <c r="AH81" s="1" t="str">
        <f aca="false">IF($A81="","",IFERROR(INDEX(账户总表!$B:$B,COUNTA(账户总表!$A:$A))*INDEX(账户总表!$O:$O,COUNTA(账户总表!$A:$A)),0))</f>
        <v/>
      </c>
      <c r="AI81" s="1" t="str">
        <f aca="false">IF($A81="","",IF(AF81&gt;AH81,"超限","合规"))</f>
        <v/>
      </c>
      <c r="AJ81" s="1" t="str">
        <f aca="false">IF($A81="","",IFERROR(AF81/INDEX(账户总表!$O:$O,COUNTA(账户总表!$A:$A)),0))</f>
        <v/>
      </c>
      <c r="AK81" s="1" t="str">
        <f aca="false">IF($A81="","",IFERROR(MAX(0,AJ81-INDEX(账户总表!$B:$B,COUNTA(账户总表!$A:$A)),AF81-INDEX(账户总表!$C:$C,COUNTA(账户总表!$A:$A))),0))</f>
        <v/>
      </c>
      <c r="AL81" s="1" t="str">
        <f aca="false">IF($A81="","",IF(COUNTIF(持仓表!$C$2:$C$201,C81)&gt;0,"已有","新标的"))</f>
        <v/>
      </c>
      <c r="AM81" s="1" t="str">
        <f aca="false">IF($A81="","",IFERROR(SUMIFS(持仓表!$N$2:$N$201,持仓表!$C$2:$C$201,C81,持仓表!$A$2:$A$201,$A81),0))</f>
        <v/>
      </c>
      <c r="AN81" s="1" t="str">
        <f aca="false">IF($A81="","",IFERROR(AM81+AF81/INDEX(账户总表!$B:$B,COUNTA(账户总表!$A:$A)),0))</f>
        <v/>
      </c>
      <c r="AO81" s="1" t="str">
        <f aca="false">IF($A81="","",IF(AN81&gt;INDEX(账户总表!$O:$O,COUNTA(账户总表!$A:$A)),"超限","合规"))</f>
        <v/>
      </c>
      <c r="AP81" s="1" t="str">
        <f aca="false">IF($A81="","",IF(AND(AL81="新标的",INDEX(账户总表!$R:$R,COUNTA(账户总表!$A:$A))&gt;=INDEX(账户总表!$S:$S,COUNTA(账户总表!$A:$A))),"新增受限","可通过"))</f>
        <v/>
      </c>
      <c r="AQ81" s="1" t="str">
        <f aca="false">IF($A81="","",IF(K81&lt;&gt;"核心池","非核心池",IF(OR(AI81="超限",AO81="超限",AP81="新增受限"),"不可加仓","可加仓")))</f>
        <v/>
      </c>
      <c r="AR81" s="1" t="str">
        <f aca="false">IF($A81="","",TRIM(IF(AI81="超限","1手超单股上限；","")&amp;IF(AO81="超限","买后仓位超限；","")&amp;IF(AP81="新增受限","有效持仓数超限；","")&amp;IF(AF81&gt;INDEX(账户总表!$C:$C,COUNTA(账户总表!$A:$A)),"现金不足；","")))</f>
        <v/>
      </c>
      <c r="AS81" s="1" t="str">
        <f aca="false">IF($A81="","",IFERROR(INDEX(候选池历史!$L:$L,MATCH(1,(候选池历史!$B:$B=C81)*(候选池历史!$A:$A=$A81),0)),0))</f>
        <v/>
      </c>
      <c r="AT81" s="1" t="str">
        <f aca="false">IF($A81="","",IF(AS81&gt;=3,"★信号强化",IF(K81="核心池","核心观察","")))</f>
        <v/>
      </c>
      <c r="AU81" s="1" t="str">
        <f aca="false">IF($A81="","",IF(AK81&gt;30000-INDEX(账户总表!$B:$B,COUNTA(账户总表!$A:$A)),"不适合婴儿阶段","可纳入幼儿路径"))</f>
        <v/>
      </c>
    </row>
    <row r="82" customFormat="false" ht="15" hidden="false" customHeight="true" outlineLevel="0" collapsed="false">
      <c r="A82" s="70"/>
      <c r="B82" s="71"/>
      <c r="C82" s="72"/>
      <c r="D82" s="73"/>
      <c r="E82" s="73"/>
      <c r="F82" s="73"/>
      <c r="G82" s="74"/>
      <c r="H82" s="72"/>
      <c r="I82" s="72"/>
      <c r="J82" s="71"/>
      <c r="K82" s="75" t="str">
        <f aca="false">IF($A82="","",IF(AND(G82&lt;45%,H82&gt;=0.9),"A",IF(AND(G82&lt;60%,H82&gt;0.8),"B","C")))</f>
        <v/>
      </c>
      <c r="L82" s="75" t="str">
        <f aca="false">IF($A82="","",IF(AND(G82&lt;60%,H82&gt;0.8,I82="True"),"是","否"))</f>
        <v/>
      </c>
      <c r="M82" s="75" t="str">
        <f aca="false">IF($A82="","",IF(AND(D82&gt;0,E82&gt;0,D82&lt;=E82*1.02),"是","否"))</f>
        <v/>
      </c>
      <c r="N82" s="76" t="n">
        <f aca="false">IFERROR(INDEX(账户总表!$O:$O,COUNTA(账户总表!$A:$A)),0)</f>
        <v>0.35</v>
      </c>
      <c r="O82" s="77" t="n">
        <f aca="false">IFERROR(INDEX(账户总表!$B:$B,COUNTA(账户总表!$A:$A))*N82,0)</f>
        <v>7294.812</v>
      </c>
      <c r="P82" s="78" t="n">
        <f aca="false">IFERROR(O82/D82,0)</f>
        <v>0</v>
      </c>
      <c r="Q82" s="78" t="n">
        <f aca="false">IFERROR(FLOOR(P82,100),0)</f>
        <v>0</v>
      </c>
      <c r="R82" s="78" t="n">
        <f aca="false">IFERROR(CEILING(800/(100*D82),1)*100,0)</f>
        <v>0</v>
      </c>
      <c r="S82" s="79"/>
      <c r="T82" s="77" t="n">
        <f aca="false">IFERROR(S82*D82,0)</f>
        <v>0</v>
      </c>
      <c r="U82" s="76" t="n">
        <f aca="false">IFERROR(T82/INDEX(账户总表!$B:$B,COUNTA(账户总表!$A:$A)),0)</f>
        <v>0</v>
      </c>
      <c r="V82" s="76" t="n">
        <f aca="false">IFERROR(INDEX(账户总表!$E:$E,COUNTA(账户总表!$A:$A))+U82,0)</f>
        <v>0.407056412146057</v>
      </c>
      <c r="W82" s="75" t="str">
        <f aca="false">IF($A82="","",IFERROR(IF(V82&lt;=INDEX(账户总表!$N:$N,COUNTA(账户总表!$A:$A)),"是","否"),"否"))</f>
        <v/>
      </c>
      <c r="X82" s="77" t="str">
        <f aca="false">IF($A82="","",MAX(F82*0.98,D82*0.92))</f>
        <v/>
      </c>
      <c r="Y82" s="72"/>
      <c r="Z82" s="75" t="str">
        <f aca="false">IF($A82="","",IFERROR(IF(AND(T82&gt;INDEX(账户总表!$C:$C,COUNTA(账户总表!$A:$A)),L82="是"),"是","否"),"否"))</f>
        <v/>
      </c>
      <c r="AA82" s="77" t="str">
        <f aca="false">IF($A82="","",IFERROR(IF(Z82="是",MAX(0,T82-INDEX(账户总表!$C:$C,COUNTA(账户总表!$A:$A)),IF(N82&gt;0,T82/N82-INDEX(账户总表!$B:$B,COUNTA(账户总表!$A:$A)),0)),0),0))</f>
        <v/>
      </c>
      <c r="AB82" s="77" t="str">
        <f aca="false">IF($A82="","",IF(AND(Z82="是",INDEX(账户总表!$U:$U,COUNTA(账户总表!$A:$A))="是"),IF(INDEX(账户总表!$L:$L,COUNTA(账户总表!$A:$A))&gt;=4,AA82*1.5,AA82),0))</f>
        <v/>
      </c>
      <c r="AC82" s="75" t="str">
        <f aca="false">IF($A82="","",IF(AND(L82="是",Q82&gt;=R82,S82&lt;=Q82,S82&gt;=R82,W82="是",X82&gt;0,M82="是",INDEX(账户总表!$M:$M,COUNTA(账户总表!$A:$A))&lt;=2,INDEX(账户总表!$V:$V,COUNTA(账户总表!$A:$A))="是",OR(T82&lt;=INDEX(账户总表!$C:$C,COUNTA(账户总表!$A:$A)),AND(Z82="是",INDEX(账户总表!$U:$U,COUNTA(账户总表!$A:$A))="是",AB82&gt;0))),"是","否"))</f>
        <v/>
      </c>
      <c r="AD82" s="75" t="str">
        <f aca="false">IF($A82="","",IF(L82&lt;&gt;"是","信号未确认",IF(X82&lt;=0,"止损价未定义",IF(Q82&lt;R82,"100股约束不满足",IF(S82&gt;Q82,"计划股数超单股上限",IF(S82&lt;R82,"计划股数低于最小门槛",IF(W82&lt;&gt;"是","总仓位超限",IF(M82&lt;&gt;"是","追价",IF(INDEX(账户总表!$M:$M,COUNTA(账户总表!$A:$A))&gt;2,"亏钱效应偏高",IF(INDEX(账户总表!$V:$V,COUNTA(账户总表!$A:$A))&lt;&gt;"是","账户不允许新开仓",IF(AND(T82&gt;INDEX(账户总表!$C:$C,COUNTA(账户总表!$A:$A)),INDEX(账户总表!$U:$U,COUNTA(账户总表!$A:$A))&lt;&gt;"是"),"现金不足且不允许转入",IF(AND(Z82="是",AB82&lt;=0),"转入金额未满足",""))))))))))))</f>
        <v/>
      </c>
      <c r="AE82" s="71"/>
      <c r="AF82" s="1" t="str">
        <f aca="false">IF($A82="","",D82*100)</f>
        <v/>
      </c>
      <c r="AG82" s="1" t="str">
        <f aca="false">IF($A82="","",IFERROR(AF82/INDEX(账户总表!$B:$B,COUNTA(账户总表!$A:$A)),0))</f>
        <v/>
      </c>
      <c r="AH82" s="1" t="str">
        <f aca="false">IF($A82="","",IFERROR(INDEX(账户总表!$B:$B,COUNTA(账户总表!$A:$A))*INDEX(账户总表!$O:$O,COUNTA(账户总表!$A:$A)),0))</f>
        <v/>
      </c>
      <c r="AI82" s="1" t="str">
        <f aca="false">IF($A82="","",IF(AF82&gt;AH82,"超限","合规"))</f>
        <v/>
      </c>
      <c r="AJ82" s="1" t="str">
        <f aca="false">IF($A82="","",IFERROR(AF82/INDEX(账户总表!$O:$O,COUNTA(账户总表!$A:$A)),0))</f>
        <v/>
      </c>
      <c r="AK82" s="1" t="str">
        <f aca="false">IF($A82="","",IFERROR(MAX(0,AJ82-INDEX(账户总表!$B:$B,COUNTA(账户总表!$A:$A)),AF82-INDEX(账户总表!$C:$C,COUNTA(账户总表!$A:$A))),0))</f>
        <v/>
      </c>
      <c r="AL82" s="1" t="str">
        <f aca="false">IF($A82="","",IF(COUNTIF(持仓表!$C$2:$C$201,C82)&gt;0,"已有","新标的"))</f>
        <v/>
      </c>
      <c r="AM82" s="1" t="str">
        <f aca="false">IF($A82="","",IFERROR(SUMIFS(持仓表!$N$2:$N$201,持仓表!$C$2:$C$201,C82,持仓表!$A$2:$A$201,$A82),0))</f>
        <v/>
      </c>
      <c r="AN82" s="1" t="str">
        <f aca="false">IF($A82="","",IFERROR(AM82+AF82/INDEX(账户总表!$B:$B,COUNTA(账户总表!$A:$A)),0))</f>
        <v/>
      </c>
      <c r="AO82" s="1" t="str">
        <f aca="false">IF($A82="","",IF(AN82&gt;INDEX(账户总表!$O:$O,COUNTA(账户总表!$A:$A)),"超限","合规"))</f>
        <v/>
      </c>
      <c r="AP82" s="1" t="str">
        <f aca="false">IF($A82="","",IF(AND(AL82="新标的",INDEX(账户总表!$R:$R,COUNTA(账户总表!$A:$A))&gt;=INDEX(账户总表!$S:$S,COUNTA(账户总表!$A:$A))),"新增受限","可通过"))</f>
        <v/>
      </c>
      <c r="AQ82" s="1" t="str">
        <f aca="false">IF($A82="","",IF(K82&lt;&gt;"核心池","非核心池",IF(OR(AI82="超限",AO82="超限",AP82="新增受限"),"不可加仓","可加仓")))</f>
        <v/>
      </c>
      <c r="AR82" s="1" t="str">
        <f aca="false">IF($A82="","",TRIM(IF(AI82="超限","1手超单股上限；","")&amp;IF(AO82="超限","买后仓位超限；","")&amp;IF(AP82="新增受限","有效持仓数超限；","")&amp;IF(AF82&gt;INDEX(账户总表!$C:$C,COUNTA(账户总表!$A:$A)),"现金不足；","")))</f>
        <v/>
      </c>
      <c r="AS82" s="1" t="str">
        <f aca="false">IF($A82="","",IFERROR(INDEX(候选池历史!$L:$L,MATCH(1,(候选池历史!$B:$B=C82)*(候选池历史!$A:$A=$A82),0)),0))</f>
        <v/>
      </c>
      <c r="AT82" s="1" t="str">
        <f aca="false">IF($A82="","",IF(AS82&gt;=3,"★信号强化",IF(K82="核心池","核心观察","")))</f>
        <v/>
      </c>
      <c r="AU82" s="1" t="str">
        <f aca="false">IF($A82="","",IF(AK82&gt;30000-INDEX(账户总表!$B:$B,COUNTA(账户总表!$A:$A)),"不适合婴儿阶段","可纳入幼儿路径"))</f>
        <v/>
      </c>
    </row>
    <row r="83" customFormat="false" ht="15" hidden="false" customHeight="true" outlineLevel="0" collapsed="false">
      <c r="A83" s="70"/>
      <c r="B83" s="71"/>
      <c r="C83" s="72"/>
      <c r="D83" s="73"/>
      <c r="E83" s="73"/>
      <c r="F83" s="73"/>
      <c r="G83" s="74"/>
      <c r="H83" s="72"/>
      <c r="I83" s="72"/>
      <c r="J83" s="71"/>
      <c r="K83" s="75" t="str">
        <f aca="false">IF($A83="","",IF(AND(G83&lt;45%,H83&gt;=0.9),"A",IF(AND(G83&lt;60%,H83&gt;0.8),"B","C")))</f>
        <v/>
      </c>
      <c r="L83" s="75" t="str">
        <f aca="false">IF($A83="","",IF(AND(G83&lt;60%,H83&gt;0.8,I83="True"),"是","否"))</f>
        <v/>
      </c>
      <c r="M83" s="75" t="str">
        <f aca="false">IF($A83="","",IF(AND(D83&gt;0,E83&gt;0,D83&lt;=E83*1.02),"是","否"))</f>
        <v/>
      </c>
      <c r="N83" s="76" t="n">
        <f aca="false">IFERROR(INDEX(账户总表!$O:$O,COUNTA(账户总表!$A:$A)),0)</f>
        <v>0.35</v>
      </c>
      <c r="O83" s="77" t="n">
        <f aca="false">IFERROR(INDEX(账户总表!$B:$B,COUNTA(账户总表!$A:$A))*N83,0)</f>
        <v>7294.812</v>
      </c>
      <c r="P83" s="78" t="n">
        <f aca="false">IFERROR(O83/D83,0)</f>
        <v>0</v>
      </c>
      <c r="Q83" s="78" t="n">
        <f aca="false">IFERROR(FLOOR(P83,100),0)</f>
        <v>0</v>
      </c>
      <c r="R83" s="78" t="n">
        <f aca="false">IFERROR(CEILING(800/(100*D83),1)*100,0)</f>
        <v>0</v>
      </c>
      <c r="S83" s="79"/>
      <c r="T83" s="77" t="n">
        <f aca="false">IFERROR(S83*D83,0)</f>
        <v>0</v>
      </c>
      <c r="U83" s="76" t="n">
        <f aca="false">IFERROR(T83/INDEX(账户总表!$B:$B,COUNTA(账户总表!$A:$A)),0)</f>
        <v>0</v>
      </c>
      <c r="V83" s="76" t="n">
        <f aca="false">IFERROR(INDEX(账户总表!$E:$E,COUNTA(账户总表!$A:$A))+U83,0)</f>
        <v>0.407056412146057</v>
      </c>
      <c r="W83" s="75" t="str">
        <f aca="false">IF($A83="","",IFERROR(IF(V83&lt;=INDEX(账户总表!$N:$N,COUNTA(账户总表!$A:$A)),"是","否"),"否"))</f>
        <v/>
      </c>
      <c r="X83" s="77" t="str">
        <f aca="false">IF($A83="","",MAX(F83*0.98,D83*0.92))</f>
        <v/>
      </c>
      <c r="Y83" s="72"/>
      <c r="Z83" s="75" t="str">
        <f aca="false">IF($A83="","",IFERROR(IF(AND(T83&gt;INDEX(账户总表!$C:$C,COUNTA(账户总表!$A:$A)),L83="是"),"是","否"),"否"))</f>
        <v/>
      </c>
      <c r="AA83" s="77" t="str">
        <f aca="false">IF($A83="","",IFERROR(IF(Z83="是",MAX(0,T83-INDEX(账户总表!$C:$C,COUNTA(账户总表!$A:$A)),IF(N83&gt;0,T83/N83-INDEX(账户总表!$B:$B,COUNTA(账户总表!$A:$A)),0)),0),0))</f>
        <v/>
      </c>
      <c r="AB83" s="77" t="str">
        <f aca="false">IF($A83="","",IF(AND(Z83="是",INDEX(账户总表!$U:$U,COUNTA(账户总表!$A:$A))="是"),IF(INDEX(账户总表!$L:$L,COUNTA(账户总表!$A:$A))&gt;=4,AA83*1.5,AA83),0))</f>
        <v/>
      </c>
      <c r="AC83" s="75" t="str">
        <f aca="false">IF($A83="","",IF(AND(L83="是",Q83&gt;=R83,S83&lt;=Q83,S83&gt;=R83,W83="是",X83&gt;0,M83="是",INDEX(账户总表!$M:$M,COUNTA(账户总表!$A:$A))&lt;=2,INDEX(账户总表!$V:$V,COUNTA(账户总表!$A:$A))="是",OR(T83&lt;=INDEX(账户总表!$C:$C,COUNTA(账户总表!$A:$A)),AND(Z83="是",INDEX(账户总表!$U:$U,COUNTA(账户总表!$A:$A))="是",AB83&gt;0))),"是","否"))</f>
        <v/>
      </c>
      <c r="AD83" s="75" t="str">
        <f aca="false">IF($A83="","",IF(L83&lt;&gt;"是","信号未确认",IF(X83&lt;=0,"止损价未定义",IF(Q83&lt;R83,"100股约束不满足",IF(S83&gt;Q83,"计划股数超单股上限",IF(S83&lt;R83,"计划股数低于最小门槛",IF(W83&lt;&gt;"是","总仓位超限",IF(M83&lt;&gt;"是","追价",IF(INDEX(账户总表!$M:$M,COUNTA(账户总表!$A:$A))&gt;2,"亏钱效应偏高",IF(INDEX(账户总表!$V:$V,COUNTA(账户总表!$A:$A))&lt;&gt;"是","账户不允许新开仓",IF(AND(T83&gt;INDEX(账户总表!$C:$C,COUNTA(账户总表!$A:$A)),INDEX(账户总表!$U:$U,COUNTA(账户总表!$A:$A))&lt;&gt;"是"),"现金不足且不允许转入",IF(AND(Z83="是",AB83&lt;=0),"转入金额未满足",""))))))))))))</f>
        <v/>
      </c>
      <c r="AE83" s="71"/>
      <c r="AF83" s="1" t="str">
        <f aca="false">IF($A83="","",D83*100)</f>
        <v/>
      </c>
      <c r="AG83" s="1" t="str">
        <f aca="false">IF($A83="","",IFERROR(AF83/INDEX(账户总表!$B:$B,COUNTA(账户总表!$A:$A)),0))</f>
        <v/>
      </c>
      <c r="AH83" s="1" t="str">
        <f aca="false">IF($A83="","",IFERROR(INDEX(账户总表!$B:$B,COUNTA(账户总表!$A:$A))*INDEX(账户总表!$O:$O,COUNTA(账户总表!$A:$A)),0))</f>
        <v/>
      </c>
      <c r="AI83" s="1" t="str">
        <f aca="false">IF($A83="","",IF(AF83&gt;AH83,"超限","合规"))</f>
        <v/>
      </c>
      <c r="AJ83" s="1" t="str">
        <f aca="false">IF($A83="","",IFERROR(AF83/INDEX(账户总表!$O:$O,COUNTA(账户总表!$A:$A)),0))</f>
        <v/>
      </c>
      <c r="AK83" s="1" t="str">
        <f aca="false">IF($A83="","",IFERROR(MAX(0,AJ83-INDEX(账户总表!$B:$B,COUNTA(账户总表!$A:$A)),AF83-INDEX(账户总表!$C:$C,COUNTA(账户总表!$A:$A))),0))</f>
        <v/>
      </c>
      <c r="AL83" s="1" t="str">
        <f aca="false">IF($A83="","",IF(COUNTIF(持仓表!$C$2:$C$201,C83)&gt;0,"已有","新标的"))</f>
        <v/>
      </c>
      <c r="AM83" s="1" t="str">
        <f aca="false">IF($A83="","",IFERROR(SUMIFS(持仓表!$N$2:$N$201,持仓表!$C$2:$C$201,C83,持仓表!$A$2:$A$201,$A83),0))</f>
        <v/>
      </c>
      <c r="AN83" s="1" t="str">
        <f aca="false">IF($A83="","",IFERROR(AM83+AF83/INDEX(账户总表!$B:$B,COUNTA(账户总表!$A:$A)),0))</f>
        <v/>
      </c>
      <c r="AO83" s="1" t="str">
        <f aca="false">IF($A83="","",IF(AN83&gt;INDEX(账户总表!$O:$O,COUNTA(账户总表!$A:$A)),"超限","合规"))</f>
        <v/>
      </c>
      <c r="AP83" s="1" t="str">
        <f aca="false">IF($A83="","",IF(AND(AL83="新标的",INDEX(账户总表!$R:$R,COUNTA(账户总表!$A:$A))&gt;=INDEX(账户总表!$S:$S,COUNTA(账户总表!$A:$A))),"新增受限","可通过"))</f>
        <v/>
      </c>
      <c r="AQ83" s="1" t="str">
        <f aca="false">IF($A83="","",IF(K83&lt;&gt;"核心池","非核心池",IF(OR(AI83="超限",AO83="超限",AP83="新增受限"),"不可加仓","可加仓")))</f>
        <v/>
      </c>
      <c r="AR83" s="1" t="str">
        <f aca="false">IF($A83="","",TRIM(IF(AI83="超限","1手超单股上限；","")&amp;IF(AO83="超限","买后仓位超限；","")&amp;IF(AP83="新增受限","有效持仓数超限；","")&amp;IF(AF83&gt;INDEX(账户总表!$C:$C,COUNTA(账户总表!$A:$A)),"现金不足；","")))</f>
        <v/>
      </c>
      <c r="AS83" s="1" t="str">
        <f aca="false">IF($A83="","",IFERROR(INDEX(候选池历史!$L:$L,MATCH(1,(候选池历史!$B:$B=C83)*(候选池历史!$A:$A=$A83),0)),0))</f>
        <v/>
      </c>
      <c r="AT83" s="1" t="str">
        <f aca="false">IF($A83="","",IF(AS83&gt;=3,"★信号强化",IF(K83="核心池","核心观察","")))</f>
        <v/>
      </c>
      <c r="AU83" s="1" t="str">
        <f aca="false">IF($A83="","",IF(AK83&gt;30000-INDEX(账户总表!$B:$B,COUNTA(账户总表!$A:$A)),"不适合婴儿阶段","可纳入幼儿路径"))</f>
        <v/>
      </c>
    </row>
    <row r="84" customFormat="false" ht="15" hidden="false" customHeight="true" outlineLevel="0" collapsed="false">
      <c r="A84" s="70"/>
      <c r="B84" s="71"/>
      <c r="C84" s="72"/>
      <c r="D84" s="73"/>
      <c r="E84" s="73"/>
      <c r="F84" s="73"/>
      <c r="G84" s="74"/>
      <c r="H84" s="72"/>
      <c r="I84" s="72"/>
      <c r="J84" s="71"/>
      <c r="K84" s="75" t="str">
        <f aca="false">IF($A84="","",IF(AND(G84&lt;45%,H84&gt;=0.9),"A",IF(AND(G84&lt;60%,H84&gt;0.8),"B","C")))</f>
        <v/>
      </c>
      <c r="L84" s="75" t="str">
        <f aca="false">IF($A84="","",IF(AND(G84&lt;60%,H84&gt;0.8,I84="True"),"是","否"))</f>
        <v/>
      </c>
      <c r="M84" s="75" t="str">
        <f aca="false">IF($A84="","",IF(AND(D84&gt;0,E84&gt;0,D84&lt;=E84*1.02),"是","否"))</f>
        <v/>
      </c>
      <c r="N84" s="76" t="n">
        <f aca="false">IFERROR(INDEX(账户总表!$O:$O,COUNTA(账户总表!$A:$A)),0)</f>
        <v>0.35</v>
      </c>
      <c r="O84" s="77" t="n">
        <f aca="false">IFERROR(INDEX(账户总表!$B:$B,COUNTA(账户总表!$A:$A))*N84,0)</f>
        <v>7294.812</v>
      </c>
      <c r="P84" s="78" t="n">
        <f aca="false">IFERROR(O84/D84,0)</f>
        <v>0</v>
      </c>
      <c r="Q84" s="78" t="n">
        <f aca="false">IFERROR(FLOOR(P84,100),0)</f>
        <v>0</v>
      </c>
      <c r="R84" s="78" t="n">
        <f aca="false">IFERROR(CEILING(800/(100*D84),1)*100,0)</f>
        <v>0</v>
      </c>
      <c r="S84" s="79"/>
      <c r="T84" s="77" t="n">
        <f aca="false">IFERROR(S84*D84,0)</f>
        <v>0</v>
      </c>
      <c r="U84" s="76" t="n">
        <f aca="false">IFERROR(T84/INDEX(账户总表!$B:$B,COUNTA(账户总表!$A:$A)),0)</f>
        <v>0</v>
      </c>
      <c r="V84" s="76" t="n">
        <f aca="false">IFERROR(INDEX(账户总表!$E:$E,COUNTA(账户总表!$A:$A))+U84,0)</f>
        <v>0.407056412146057</v>
      </c>
      <c r="W84" s="75" t="str">
        <f aca="false">IF($A84="","",IFERROR(IF(V84&lt;=INDEX(账户总表!$N:$N,COUNTA(账户总表!$A:$A)),"是","否"),"否"))</f>
        <v/>
      </c>
      <c r="X84" s="77" t="str">
        <f aca="false">IF($A84="","",MAX(F84*0.98,D84*0.92))</f>
        <v/>
      </c>
      <c r="Y84" s="72"/>
      <c r="Z84" s="75" t="str">
        <f aca="false">IF($A84="","",IFERROR(IF(AND(T84&gt;INDEX(账户总表!$C:$C,COUNTA(账户总表!$A:$A)),L84="是"),"是","否"),"否"))</f>
        <v/>
      </c>
      <c r="AA84" s="77" t="str">
        <f aca="false">IF($A84="","",IFERROR(IF(Z84="是",MAX(0,T84-INDEX(账户总表!$C:$C,COUNTA(账户总表!$A:$A)),IF(N84&gt;0,T84/N84-INDEX(账户总表!$B:$B,COUNTA(账户总表!$A:$A)),0)),0),0))</f>
        <v/>
      </c>
      <c r="AB84" s="77" t="str">
        <f aca="false">IF($A84="","",IF(AND(Z84="是",INDEX(账户总表!$U:$U,COUNTA(账户总表!$A:$A))="是"),IF(INDEX(账户总表!$L:$L,COUNTA(账户总表!$A:$A))&gt;=4,AA84*1.5,AA84),0))</f>
        <v/>
      </c>
      <c r="AC84" s="75" t="str">
        <f aca="false">IF($A84="","",IF(AND(L84="是",Q84&gt;=R84,S84&lt;=Q84,S84&gt;=R84,W84="是",X84&gt;0,M84="是",INDEX(账户总表!$M:$M,COUNTA(账户总表!$A:$A))&lt;=2,INDEX(账户总表!$V:$V,COUNTA(账户总表!$A:$A))="是",OR(T84&lt;=INDEX(账户总表!$C:$C,COUNTA(账户总表!$A:$A)),AND(Z84="是",INDEX(账户总表!$U:$U,COUNTA(账户总表!$A:$A))="是",AB84&gt;0))),"是","否"))</f>
        <v/>
      </c>
      <c r="AD84" s="75" t="str">
        <f aca="false">IF($A84="","",IF(L84&lt;&gt;"是","信号未确认",IF(X84&lt;=0,"止损价未定义",IF(Q84&lt;R84,"100股约束不满足",IF(S84&gt;Q84,"计划股数超单股上限",IF(S84&lt;R84,"计划股数低于最小门槛",IF(W84&lt;&gt;"是","总仓位超限",IF(M84&lt;&gt;"是","追价",IF(INDEX(账户总表!$M:$M,COUNTA(账户总表!$A:$A))&gt;2,"亏钱效应偏高",IF(INDEX(账户总表!$V:$V,COUNTA(账户总表!$A:$A))&lt;&gt;"是","账户不允许新开仓",IF(AND(T84&gt;INDEX(账户总表!$C:$C,COUNTA(账户总表!$A:$A)),INDEX(账户总表!$U:$U,COUNTA(账户总表!$A:$A))&lt;&gt;"是"),"现金不足且不允许转入",IF(AND(Z84="是",AB84&lt;=0),"转入金额未满足",""))))))))))))</f>
        <v/>
      </c>
      <c r="AE84" s="71"/>
      <c r="AF84" s="1" t="str">
        <f aca="false">IF($A84="","",D84*100)</f>
        <v/>
      </c>
      <c r="AG84" s="1" t="str">
        <f aca="false">IF($A84="","",IFERROR(AF84/INDEX(账户总表!$B:$B,COUNTA(账户总表!$A:$A)),0))</f>
        <v/>
      </c>
      <c r="AH84" s="1" t="str">
        <f aca="false">IF($A84="","",IFERROR(INDEX(账户总表!$B:$B,COUNTA(账户总表!$A:$A))*INDEX(账户总表!$O:$O,COUNTA(账户总表!$A:$A)),0))</f>
        <v/>
      </c>
      <c r="AI84" s="1" t="str">
        <f aca="false">IF($A84="","",IF(AF84&gt;AH84,"超限","合规"))</f>
        <v/>
      </c>
      <c r="AJ84" s="1" t="str">
        <f aca="false">IF($A84="","",IFERROR(AF84/INDEX(账户总表!$O:$O,COUNTA(账户总表!$A:$A)),0))</f>
        <v/>
      </c>
      <c r="AK84" s="1" t="str">
        <f aca="false">IF($A84="","",IFERROR(MAX(0,AJ84-INDEX(账户总表!$B:$B,COUNTA(账户总表!$A:$A)),AF84-INDEX(账户总表!$C:$C,COUNTA(账户总表!$A:$A))),0))</f>
        <v/>
      </c>
      <c r="AL84" s="1" t="str">
        <f aca="false">IF($A84="","",IF(COUNTIF(持仓表!$C$2:$C$201,C84)&gt;0,"已有","新标的"))</f>
        <v/>
      </c>
      <c r="AM84" s="1" t="str">
        <f aca="false">IF($A84="","",IFERROR(SUMIFS(持仓表!$N$2:$N$201,持仓表!$C$2:$C$201,C84,持仓表!$A$2:$A$201,$A84),0))</f>
        <v/>
      </c>
      <c r="AN84" s="1" t="str">
        <f aca="false">IF($A84="","",IFERROR(AM84+AF84/INDEX(账户总表!$B:$B,COUNTA(账户总表!$A:$A)),0))</f>
        <v/>
      </c>
      <c r="AO84" s="1" t="str">
        <f aca="false">IF($A84="","",IF(AN84&gt;INDEX(账户总表!$O:$O,COUNTA(账户总表!$A:$A)),"超限","合规"))</f>
        <v/>
      </c>
      <c r="AP84" s="1" t="str">
        <f aca="false">IF($A84="","",IF(AND(AL84="新标的",INDEX(账户总表!$R:$R,COUNTA(账户总表!$A:$A))&gt;=INDEX(账户总表!$S:$S,COUNTA(账户总表!$A:$A))),"新增受限","可通过"))</f>
        <v/>
      </c>
      <c r="AQ84" s="1" t="str">
        <f aca="false">IF($A84="","",IF(K84&lt;&gt;"核心池","非核心池",IF(OR(AI84="超限",AO84="超限",AP84="新增受限"),"不可加仓","可加仓")))</f>
        <v/>
      </c>
      <c r="AR84" s="1" t="str">
        <f aca="false">IF($A84="","",TRIM(IF(AI84="超限","1手超单股上限；","")&amp;IF(AO84="超限","买后仓位超限；","")&amp;IF(AP84="新增受限","有效持仓数超限；","")&amp;IF(AF84&gt;INDEX(账户总表!$C:$C,COUNTA(账户总表!$A:$A)),"现金不足；","")))</f>
        <v/>
      </c>
      <c r="AS84" s="1" t="str">
        <f aca="false">IF($A84="","",IFERROR(INDEX(候选池历史!$L:$L,MATCH(1,(候选池历史!$B:$B=C84)*(候选池历史!$A:$A=$A84),0)),0))</f>
        <v/>
      </c>
      <c r="AT84" s="1" t="str">
        <f aca="false">IF($A84="","",IF(AS84&gt;=3,"★信号强化",IF(K84="核心池","核心观察","")))</f>
        <v/>
      </c>
      <c r="AU84" s="1" t="str">
        <f aca="false">IF($A84="","",IF(AK84&gt;30000-INDEX(账户总表!$B:$B,COUNTA(账户总表!$A:$A)),"不适合婴儿阶段","可纳入幼儿路径"))</f>
        <v/>
      </c>
    </row>
    <row r="85" customFormat="false" ht="15" hidden="false" customHeight="true" outlineLevel="0" collapsed="false">
      <c r="A85" s="70"/>
      <c r="B85" s="71"/>
      <c r="C85" s="72"/>
      <c r="D85" s="73"/>
      <c r="E85" s="73"/>
      <c r="F85" s="73"/>
      <c r="G85" s="74"/>
      <c r="H85" s="72"/>
      <c r="I85" s="72"/>
      <c r="J85" s="71"/>
      <c r="K85" s="75" t="str">
        <f aca="false">IF($A85="","",IF(AND(G85&lt;45%,H85&gt;=0.9),"A",IF(AND(G85&lt;60%,H85&gt;0.8),"B","C")))</f>
        <v/>
      </c>
      <c r="L85" s="75" t="str">
        <f aca="false">IF($A85="","",IF(AND(G85&lt;60%,H85&gt;0.8,I85="True"),"是","否"))</f>
        <v/>
      </c>
      <c r="M85" s="75" t="str">
        <f aca="false">IF($A85="","",IF(AND(D85&gt;0,E85&gt;0,D85&lt;=E85*1.02),"是","否"))</f>
        <v/>
      </c>
      <c r="N85" s="76" t="n">
        <f aca="false">IFERROR(INDEX(账户总表!$O:$O,COUNTA(账户总表!$A:$A)),0)</f>
        <v>0.35</v>
      </c>
      <c r="O85" s="77" t="n">
        <f aca="false">IFERROR(INDEX(账户总表!$B:$B,COUNTA(账户总表!$A:$A))*N85,0)</f>
        <v>7294.812</v>
      </c>
      <c r="P85" s="78" t="n">
        <f aca="false">IFERROR(O85/D85,0)</f>
        <v>0</v>
      </c>
      <c r="Q85" s="78" t="n">
        <f aca="false">IFERROR(FLOOR(P85,100),0)</f>
        <v>0</v>
      </c>
      <c r="R85" s="78" t="n">
        <f aca="false">IFERROR(CEILING(800/(100*D85),1)*100,0)</f>
        <v>0</v>
      </c>
      <c r="S85" s="79"/>
      <c r="T85" s="77" t="n">
        <f aca="false">IFERROR(S85*D85,0)</f>
        <v>0</v>
      </c>
      <c r="U85" s="76" t="n">
        <f aca="false">IFERROR(T85/INDEX(账户总表!$B:$B,COUNTA(账户总表!$A:$A)),0)</f>
        <v>0</v>
      </c>
      <c r="V85" s="76" t="n">
        <f aca="false">IFERROR(INDEX(账户总表!$E:$E,COUNTA(账户总表!$A:$A))+U85,0)</f>
        <v>0.407056412146057</v>
      </c>
      <c r="W85" s="75" t="str">
        <f aca="false">IF($A85="","",IFERROR(IF(V85&lt;=INDEX(账户总表!$N:$N,COUNTA(账户总表!$A:$A)),"是","否"),"否"))</f>
        <v/>
      </c>
      <c r="X85" s="77" t="str">
        <f aca="false">IF($A85="","",MAX(F85*0.98,D85*0.92))</f>
        <v/>
      </c>
      <c r="Y85" s="72"/>
      <c r="Z85" s="75" t="str">
        <f aca="false">IF($A85="","",IFERROR(IF(AND(T85&gt;INDEX(账户总表!$C:$C,COUNTA(账户总表!$A:$A)),L85="是"),"是","否"),"否"))</f>
        <v/>
      </c>
      <c r="AA85" s="77" t="str">
        <f aca="false">IF($A85="","",IFERROR(IF(Z85="是",MAX(0,T85-INDEX(账户总表!$C:$C,COUNTA(账户总表!$A:$A)),IF(N85&gt;0,T85/N85-INDEX(账户总表!$B:$B,COUNTA(账户总表!$A:$A)),0)),0),0))</f>
        <v/>
      </c>
      <c r="AB85" s="77" t="str">
        <f aca="false">IF($A85="","",IF(AND(Z85="是",INDEX(账户总表!$U:$U,COUNTA(账户总表!$A:$A))="是"),IF(INDEX(账户总表!$L:$L,COUNTA(账户总表!$A:$A))&gt;=4,AA85*1.5,AA85),0))</f>
        <v/>
      </c>
      <c r="AC85" s="75" t="str">
        <f aca="false">IF($A85="","",IF(AND(L85="是",Q85&gt;=R85,S85&lt;=Q85,S85&gt;=R85,W85="是",X85&gt;0,M85="是",INDEX(账户总表!$M:$M,COUNTA(账户总表!$A:$A))&lt;=2,INDEX(账户总表!$V:$V,COUNTA(账户总表!$A:$A))="是",OR(T85&lt;=INDEX(账户总表!$C:$C,COUNTA(账户总表!$A:$A)),AND(Z85="是",INDEX(账户总表!$U:$U,COUNTA(账户总表!$A:$A))="是",AB85&gt;0))),"是","否"))</f>
        <v/>
      </c>
      <c r="AD85" s="75" t="str">
        <f aca="false">IF($A85="","",IF(L85&lt;&gt;"是","信号未确认",IF(X85&lt;=0,"止损价未定义",IF(Q85&lt;R85,"100股约束不满足",IF(S85&gt;Q85,"计划股数超单股上限",IF(S85&lt;R85,"计划股数低于最小门槛",IF(W85&lt;&gt;"是","总仓位超限",IF(M85&lt;&gt;"是","追价",IF(INDEX(账户总表!$M:$M,COUNTA(账户总表!$A:$A))&gt;2,"亏钱效应偏高",IF(INDEX(账户总表!$V:$V,COUNTA(账户总表!$A:$A))&lt;&gt;"是","账户不允许新开仓",IF(AND(T85&gt;INDEX(账户总表!$C:$C,COUNTA(账户总表!$A:$A)),INDEX(账户总表!$U:$U,COUNTA(账户总表!$A:$A))&lt;&gt;"是"),"现金不足且不允许转入",IF(AND(Z85="是",AB85&lt;=0),"转入金额未满足",""))))))))))))</f>
        <v/>
      </c>
      <c r="AE85" s="71"/>
      <c r="AF85" s="1" t="str">
        <f aca="false">IF($A85="","",D85*100)</f>
        <v/>
      </c>
      <c r="AG85" s="1" t="str">
        <f aca="false">IF($A85="","",IFERROR(AF85/INDEX(账户总表!$B:$B,COUNTA(账户总表!$A:$A)),0))</f>
        <v/>
      </c>
      <c r="AH85" s="1" t="str">
        <f aca="false">IF($A85="","",IFERROR(INDEX(账户总表!$B:$B,COUNTA(账户总表!$A:$A))*INDEX(账户总表!$O:$O,COUNTA(账户总表!$A:$A)),0))</f>
        <v/>
      </c>
      <c r="AI85" s="1" t="str">
        <f aca="false">IF($A85="","",IF(AF85&gt;AH85,"超限","合规"))</f>
        <v/>
      </c>
      <c r="AJ85" s="1" t="str">
        <f aca="false">IF($A85="","",IFERROR(AF85/INDEX(账户总表!$O:$O,COUNTA(账户总表!$A:$A)),0))</f>
        <v/>
      </c>
      <c r="AK85" s="1" t="str">
        <f aca="false">IF($A85="","",IFERROR(MAX(0,AJ85-INDEX(账户总表!$B:$B,COUNTA(账户总表!$A:$A)),AF85-INDEX(账户总表!$C:$C,COUNTA(账户总表!$A:$A))),0))</f>
        <v/>
      </c>
      <c r="AL85" s="1" t="str">
        <f aca="false">IF($A85="","",IF(COUNTIF(持仓表!$C$2:$C$201,C85)&gt;0,"已有","新标的"))</f>
        <v/>
      </c>
      <c r="AM85" s="1" t="str">
        <f aca="false">IF($A85="","",IFERROR(SUMIFS(持仓表!$N$2:$N$201,持仓表!$C$2:$C$201,C85,持仓表!$A$2:$A$201,$A85),0))</f>
        <v/>
      </c>
      <c r="AN85" s="1" t="str">
        <f aca="false">IF($A85="","",IFERROR(AM85+AF85/INDEX(账户总表!$B:$B,COUNTA(账户总表!$A:$A)),0))</f>
        <v/>
      </c>
      <c r="AO85" s="1" t="str">
        <f aca="false">IF($A85="","",IF(AN85&gt;INDEX(账户总表!$O:$O,COUNTA(账户总表!$A:$A)),"超限","合规"))</f>
        <v/>
      </c>
      <c r="AP85" s="1" t="str">
        <f aca="false">IF($A85="","",IF(AND(AL85="新标的",INDEX(账户总表!$R:$R,COUNTA(账户总表!$A:$A))&gt;=INDEX(账户总表!$S:$S,COUNTA(账户总表!$A:$A))),"新增受限","可通过"))</f>
        <v/>
      </c>
      <c r="AQ85" s="1" t="str">
        <f aca="false">IF($A85="","",IF(K85&lt;&gt;"核心池","非核心池",IF(OR(AI85="超限",AO85="超限",AP85="新增受限"),"不可加仓","可加仓")))</f>
        <v/>
      </c>
      <c r="AR85" s="1" t="str">
        <f aca="false">IF($A85="","",TRIM(IF(AI85="超限","1手超单股上限；","")&amp;IF(AO85="超限","买后仓位超限；","")&amp;IF(AP85="新增受限","有效持仓数超限；","")&amp;IF(AF85&gt;INDEX(账户总表!$C:$C,COUNTA(账户总表!$A:$A)),"现金不足；","")))</f>
        <v/>
      </c>
      <c r="AS85" s="1" t="str">
        <f aca="false">IF($A85="","",IFERROR(INDEX(候选池历史!$L:$L,MATCH(1,(候选池历史!$B:$B=C85)*(候选池历史!$A:$A=$A85),0)),0))</f>
        <v/>
      </c>
      <c r="AT85" s="1" t="str">
        <f aca="false">IF($A85="","",IF(AS85&gt;=3,"★信号强化",IF(K85="核心池","核心观察","")))</f>
        <v/>
      </c>
      <c r="AU85" s="1" t="str">
        <f aca="false">IF($A85="","",IF(AK85&gt;30000-INDEX(账户总表!$B:$B,COUNTA(账户总表!$A:$A)),"不适合婴儿阶段","可纳入幼儿路径"))</f>
        <v/>
      </c>
    </row>
    <row r="86" customFormat="false" ht="15" hidden="false" customHeight="true" outlineLevel="0" collapsed="false">
      <c r="A86" s="70"/>
      <c r="B86" s="71"/>
      <c r="C86" s="72"/>
      <c r="D86" s="73"/>
      <c r="E86" s="73"/>
      <c r="F86" s="73"/>
      <c r="G86" s="74"/>
      <c r="H86" s="72"/>
      <c r="I86" s="72"/>
      <c r="J86" s="71"/>
      <c r="K86" s="75" t="str">
        <f aca="false">IF($A86="","",IF(AND(G86&lt;45%,H86&gt;=0.9),"A",IF(AND(G86&lt;60%,H86&gt;0.8),"B","C")))</f>
        <v/>
      </c>
      <c r="L86" s="75" t="str">
        <f aca="false">IF($A86="","",IF(AND(G86&lt;60%,H86&gt;0.8,I86="True"),"是","否"))</f>
        <v/>
      </c>
      <c r="M86" s="75" t="str">
        <f aca="false">IF($A86="","",IF(AND(D86&gt;0,E86&gt;0,D86&lt;=E86*1.02),"是","否"))</f>
        <v/>
      </c>
      <c r="N86" s="76" t="n">
        <f aca="false">IFERROR(INDEX(账户总表!$O:$O,COUNTA(账户总表!$A:$A)),0)</f>
        <v>0.35</v>
      </c>
      <c r="O86" s="77" t="n">
        <f aca="false">IFERROR(INDEX(账户总表!$B:$B,COUNTA(账户总表!$A:$A))*N86,0)</f>
        <v>7294.812</v>
      </c>
      <c r="P86" s="78" t="n">
        <f aca="false">IFERROR(O86/D86,0)</f>
        <v>0</v>
      </c>
      <c r="Q86" s="78" t="n">
        <f aca="false">IFERROR(FLOOR(P86,100),0)</f>
        <v>0</v>
      </c>
      <c r="R86" s="78" t="n">
        <f aca="false">IFERROR(CEILING(800/(100*D86),1)*100,0)</f>
        <v>0</v>
      </c>
      <c r="S86" s="79"/>
      <c r="T86" s="77" t="n">
        <f aca="false">IFERROR(S86*D86,0)</f>
        <v>0</v>
      </c>
      <c r="U86" s="76" t="n">
        <f aca="false">IFERROR(T86/INDEX(账户总表!$B:$B,COUNTA(账户总表!$A:$A)),0)</f>
        <v>0</v>
      </c>
      <c r="V86" s="76" t="n">
        <f aca="false">IFERROR(INDEX(账户总表!$E:$E,COUNTA(账户总表!$A:$A))+U86,0)</f>
        <v>0.407056412146057</v>
      </c>
      <c r="W86" s="75" t="str">
        <f aca="false">IF($A86="","",IFERROR(IF(V86&lt;=INDEX(账户总表!$N:$N,COUNTA(账户总表!$A:$A)),"是","否"),"否"))</f>
        <v/>
      </c>
      <c r="X86" s="77" t="str">
        <f aca="false">IF($A86="","",MAX(F86*0.98,D86*0.92))</f>
        <v/>
      </c>
      <c r="Y86" s="72"/>
      <c r="Z86" s="75" t="str">
        <f aca="false">IF($A86="","",IFERROR(IF(AND(T86&gt;INDEX(账户总表!$C:$C,COUNTA(账户总表!$A:$A)),L86="是"),"是","否"),"否"))</f>
        <v/>
      </c>
      <c r="AA86" s="77" t="str">
        <f aca="false">IF($A86="","",IFERROR(IF(Z86="是",MAX(0,T86-INDEX(账户总表!$C:$C,COUNTA(账户总表!$A:$A)),IF(N86&gt;0,T86/N86-INDEX(账户总表!$B:$B,COUNTA(账户总表!$A:$A)),0)),0),0))</f>
        <v/>
      </c>
      <c r="AB86" s="77" t="str">
        <f aca="false">IF($A86="","",IF(AND(Z86="是",INDEX(账户总表!$U:$U,COUNTA(账户总表!$A:$A))="是"),IF(INDEX(账户总表!$L:$L,COUNTA(账户总表!$A:$A))&gt;=4,AA86*1.5,AA86),0))</f>
        <v/>
      </c>
      <c r="AC86" s="75" t="str">
        <f aca="false">IF($A86="","",IF(AND(L86="是",Q86&gt;=R86,S86&lt;=Q86,S86&gt;=R86,W86="是",X86&gt;0,M86="是",INDEX(账户总表!$M:$M,COUNTA(账户总表!$A:$A))&lt;=2,INDEX(账户总表!$V:$V,COUNTA(账户总表!$A:$A))="是",OR(T86&lt;=INDEX(账户总表!$C:$C,COUNTA(账户总表!$A:$A)),AND(Z86="是",INDEX(账户总表!$U:$U,COUNTA(账户总表!$A:$A))="是",AB86&gt;0))),"是","否"))</f>
        <v/>
      </c>
      <c r="AD86" s="75" t="str">
        <f aca="false">IF($A86="","",IF(L86&lt;&gt;"是","信号未确认",IF(X86&lt;=0,"止损价未定义",IF(Q86&lt;R86,"100股约束不满足",IF(S86&gt;Q86,"计划股数超单股上限",IF(S86&lt;R86,"计划股数低于最小门槛",IF(W86&lt;&gt;"是","总仓位超限",IF(M86&lt;&gt;"是","追价",IF(INDEX(账户总表!$M:$M,COUNTA(账户总表!$A:$A))&gt;2,"亏钱效应偏高",IF(INDEX(账户总表!$V:$V,COUNTA(账户总表!$A:$A))&lt;&gt;"是","账户不允许新开仓",IF(AND(T86&gt;INDEX(账户总表!$C:$C,COUNTA(账户总表!$A:$A)),INDEX(账户总表!$U:$U,COUNTA(账户总表!$A:$A))&lt;&gt;"是"),"现金不足且不允许转入",IF(AND(Z86="是",AB86&lt;=0),"转入金额未满足",""))))))))))))</f>
        <v/>
      </c>
      <c r="AE86" s="71"/>
      <c r="AF86" s="1" t="str">
        <f aca="false">IF($A86="","",D86*100)</f>
        <v/>
      </c>
      <c r="AG86" s="1" t="str">
        <f aca="false">IF($A86="","",IFERROR(AF86/INDEX(账户总表!$B:$B,COUNTA(账户总表!$A:$A)),0))</f>
        <v/>
      </c>
      <c r="AH86" s="1" t="str">
        <f aca="false">IF($A86="","",IFERROR(INDEX(账户总表!$B:$B,COUNTA(账户总表!$A:$A))*INDEX(账户总表!$O:$O,COUNTA(账户总表!$A:$A)),0))</f>
        <v/>
      </c>
      <c r="AI86" s="1" t="str">
        <f aca="false">IF($A86="","",IF(AF86&gt;AH86,"超限","合规"))</f>
        <v/>
      </c>
      <c r="AJ86" s="1" t="str">
        <f aca="false">IF($A86="","",IFERROR(AF86/INDEX(账户总表!$O:$O,COUNTA(账户总表!$A:$A)),0))</f>
        <v/>
      </c>
      <c r="AK86" s="1" t="str">
        <f aca="false">IF($A86="","",IFERROR(MAX(0,AJ86-INDEX(账户总表!$B:$B,COUNTA(账户总表!$A:$A)),AF86-INDEX(账户总表!$C:$C,COUNTA(账户总表!$A:$A))),0))</f>
        <v/>
      </c>
      <c r="AL86" s="1" t="str">
        <f aca="false">IF($A86="","",IF(COUNTIF(持仓表!$C$2:$C$201,C86)&gt;0,"已有","新标的"))</f>
        <v/>
      </c>
      <c r="AM86" s="1" t="str">
        <f aca="false">IF($A86="","",IFERROR(SUMIFS(持仓表!$N$2:$N$201,持仓表!$C$2:$C$201,C86,持仓表!$A$2:$A$201,$A86),0))</f>
        <v/>
      </c>
      <c r="AN86" s="1" t="str">
        <f aca="false">IF($A86="","",IFERROR(AM86+AF86/INDEX(账户总表!$B:$B,COUNTA(账户总表!$A:$A)),0))</f>
        <v/>
      </c>
      <c r="AO86" s="1" t="str">
        <f aca="false">IF($A86="","",IF(AN86&gt;INDEX(账户总表!$O:$O,COUNTA(账户总表!$A:$A)),"超限","合规"))</f>
        <v/>
      </c>
      <c r="AP86" s="1" t="str">
        <f aca="false">IF($A86="","",IF(AND(AL86="新标的",INDEX(账户总表!$R:$R,COUNTA(账户总表!$A:$A))&gt;=INDEX(账户总表!$S:$S,COUNTA(账户总表!$A:$A))),"新增受限","可通过"))</f>
        <v/>
      </c>
      <c r="AQ86" s="1" t="str">
        <f aca="false">IF($A86="","",IF(K86&lt;&gt;"核心池","非核心池",IF(OR(AI86="超限",AO86="超限",AP86="新增受限"),"不可加仓","可加仓")))</f>
        <v/>
      </c>
      <c r="AR86" s="1" t="str">
        <f aca="false">IF($A86="","",TRIM(IF(AI86="超限","1手超单股上限；","")&amp;IF(AO86="超限","买后仓位超限；","")&amp;IF(AP86="新增受限","有效持仓数超限；","")&amp;IF(AF86&gt;INDEX(账户总表!$C:$C,COUNTA(账户总表!$A:$A)),"现金不足；","")))</f>
        <v/>
      </c>
      <c r="AS86" s="1" t="str">
        <f aca="false">IF($A86="","",IFERROR(INDEX(候选池历史!$L:$L,MATCH(1,(候选池历史!$B:$B=C86)*(候选池历史!$A:$A=$A86),0)),0))</f>
        <v/>
      </c>
      <c r="AT86" s="1" t="str">
        <f aca="false">IF($A86="","",IF(AS86&gt;=3,"★信号强化",IF(K86="核心池","核心观察","")))</f>
        <v/>
      </c>
      <c r="AU86" s="1" t="str">
        <f aca="false">IF($A86="","",IF(AK86&gt;30000-INDEX(账户总表!$B:$B,COUNTA(账户总表!$A:$A)),"不适合婴儿阶段","可纳入幼儿路径"))</f>
        <v/>
      </c>
    </row>
    <row r="87" customFormat="false" ht="15" hidden="false" customHeight="true" outlineLevel="0" collapsed="false">
      <c r="A87" s="70"/>
      <c r="B87" s="71"/>
      <c r="C87" s="72"/>
      <c r="D87" s="73"/>
      <c r="E87" s="73"/>
      <c r="F87" s="73"/>
      <c r="G87" s="74"/>
      <c r="H87" s="72"/>
      <c r="I87" s="72"/>
      <c r="J87" s="71"/>
      <c r="K87" s="75" t="str">
        <f aca="false">IF($A87="","",IF(AND(G87&lt;45%,H87&gt;=0.9),"A",IF(AND(G87&lt;60%,H87&gt;0.8),"B","C")))</f>
        <v/>
      </c>
      <c r="L87" s="75" t="str">
        <f aca="false">IF($A87="","",IF(AND(G87&lt;60%,H87&gt;0.8,I87="True"),"是","否"))</f>
        <v/>
      </c>
      <c r="M87" s="75" t="str">
        <f aca="false">IF($A87="","",IF(AND(D87&gt;0,E87&gt;0,D87&lt;=E87*1.02),"是","否"))</f>
        <v/>
      </c>
      <c r="N87" s="76" t="n">
        <f aca="false">IFERROR(INDEX(账户总表!$O:$O,COUNTA(账户总表!$A:$A)),0)</f>
        <v>0.35</v>
      </c>
      <c r="O87" s="77" t="n">
        <f aca="false">IFERROR(INDEX(账户总表!$B:$B,COUNTA(账户总表!$A:$A))*N87,0)</f>
        <v>7294.812</v>
      </c>
      <c r="P87" s="78" t="n">
        <f aca="false">IFERROR(O87/D87,0)</f>
        <v>0</v>
      </c>
      <c r="Q87" s="78" t="n">
        <f aca="false">IFERROR(FLOOR(P87,100),0)</f>
        <v>0</v>
      </c>
      <c r="R87" s="78" t="n">
        <f aca="false">IFERROR(CEILING(800/(100*D87),1)*100,0)</f>
        <v>0</v>
      </c>
      <c r="S87" s="79"/>
      <c r="T87" s="77" t="n">
        <f aca="false">IFERROR(S87*D87,0)</f>
        <v>0</v>
      </c>
      <c r="U87" s="76" t="n">
        <f aca="false">IFERROR(T87/INDEX(账户总表!$B:$B,COUNTA(账户总表!$A:$A)),0)</f>
        <v>0</v>
      </c>
      <c r="V87" s="76" t="n">
        <f aca="false">IFERROR(INDEX(账户总表!$E:$E,COUNTA(账户总表!$A:$A))+U87,0)</f>
        <v>0.407056412146057</v>
      </c>
      <c r="W87" s="75" t="str">
        <f aca="false">IF($A87="","",IFERROR(IF(V87&lt;=INDEX(账户总表!$N:$N,COUNTA(账户总表!$A:$A)),"是","否"),"否"))</f>
        <v/>
      </c>
      <c r="X87" s="77" t="str">
        <f aca="false">IF($A87="","",MAX(F87*0.98,D87*0.92))</f>
        <v/>
      </c>
      <c r="Y87" s="72"/>
      <c r="Z87" s="75" t="str">
        <f aca="false">IF($A87="","",IFERROR(IF(AND(T87&gt;INDEX(账户总表!$C:$C,COUNTA(账户总表!$A:$A)),L87="是"),"是","否"),"否"))</f>
        <v/>
      </c>
      <c r="AA87" s="77" t="str">
        <f aca="false">IF($A87="","",IFERROR(IF(Z87="是",MAX(0,T87-INDEX(账户总表!$C:$C,COUNTA(账户总表!$A:$A)),IF(N87&gt;0,T87/N87-INDEX(账户总表!$B:$B,COUNTA(账户总表!$A:$A)),0)),0),0))</f>
        <v/>
      </c>
      <c r="AB87" s="77" t="str">
        <f aca="false">IF($A87="","",IF(AND(Z87="是",INDEX(账户总表!$U:$U,COUNTA(账户总表!$A:$A))="是"),IF(INDEX(账户总表!$L:$L,COUNTA(账户总表!$A:$A))&gt;=4,AA87*1.5,AA87),0))</f>
        <v/>
      </c>
      <c r="AC87" s="75" t="str">
        <f aca="false">IF($A87="","",IF(AND(L87="是",Q87&gt;=R87,S87&lt;=Q87,S87&gt;=R87,W87="是",X87&gt;0,M87="是",INDEX(账户总表!$M:$M,COUNTA(账户总表!$A:$A))&lt;=2,INDEX(账户总表!$V:$V,COUNTA(账户总表!$A:$A))="是",OR(T87&lt;=INDEX(账户总表!$C:$C,COUNTA(账户总表!$A:$A)),AND(Z87="是",INDEX(账户总表!$U:$U,COUNTA(账户总表!$A:$A))="是",AB87&gt;0))),"是","否"))</f>
        <v/>
      </c>
      <c r="AD87" s="75" t="str">
        <f aca="false">IF($A87="","",IF(L87&lt;&gt;"是","信号未确认",IF(X87&lt;=0,"止损价未定义",IF(Q87&lt;R87,"100股约束不满足",IF(S87&gt;Q87,"计划股数超单股上限",IF(S87&lt;R87,"计划股数低于最小门槛",IF(W87&lt;&gt;"是","总仓位超限",IF(M87&lt;&gt;"是","追价",IF(INDEX(账户总表!$M:$M,COUNTA(账户总表!$A:$A))&gt;2,"亏钱效应偏高",IF(INDEX(账户总表!$V:$V,COUNTA(账户总表!$A:$A))&lt;&gt;"是","账户不允许新开仓",IF(AND(T87&gt;INDEX(账户总表!$C:$C,COUNTA(账户总表!$A:$A)),INDEX(账户总表!$U:$U,COUNTA(账户总表!$A:$A))&lt;&gt;"是"),"现金不足且不允许转入",IF(AND(Z87="是",AB87&lt;=0),"转入金额未满足",""))))))))))))</f>
        <v/>
      </c>
      <c r="AE87" s="71"/>
      <c r="AF87" s="1" t="str">
        <f aca="false">IF($A87="","",D87*100)</f>
        <v/>
      </c>
      <c r="AG87" s="1" t="str">
        <f aca="false">IF($A87="","",IFERROR(AF87/INDEX(账户总表!$B:$B,COUNTA(账户总表!$A:$A)),0))</f>
        <v/>
      </c>
      <c r="AH87" s="1" t="str">
        <f aca="false">IF($A87="","",IFERROR(INDEX(账户总表!$B:$B,COUNTA(账户总表!$A:$A))*INDEX(账户总表!$O:$O,COUNTA(账户总表!$A:$A)),0))</f>
        <v/>
      </c>
      <c r="AI87" s="1" t="str">
        <f aca="false">IF($A87="","",IF(AF87&gt;AH87,"超限","合规"))</f>
        <v/>
      </c>
      <c r="AJ87" s="1" t="str">
        <f aca="false">IF($A87="","",IFERROR(AF87/INDEX(账户总表!$O:$O,COUNTA(账户总表!$A:$A)),0))</f>
        <v/>
      </c>
      <c r="AK87" s="1" t="str">
        <f aca="false">IF($A87="","",IFERROR(MAX(0,AJ87-INDEX(账户总表!$B:$B,COUNTA(账户总表!$A:$A)),AF87-INDEX(账户总表!$C:$C,COUNTA(账户总表!$A:$A))),0))</f>
        <v/>
      </c>
      <c r="AL87" s="1" t="str">
        <f aca="false">IF($A87="","",IF(COUNTIF(持仓表!$C$2:$C$201,C87)&gt;0,"已有","新标的"))</f>
        <v/>
      </c>
      <c r="AM87" s="1" t="str">
        <f aca="false">IF($A87="","",IFERROR(SUMIFS(持仓表!$N$2:$N$201,持仓表!$C$2:$C$201,C87,持仓表!$A$2:$A$201,$A87),0))</f>
        <v/>
      </c>
      <c r="AN87" s="1" t="str">
        <f aca="false">IF($A87="","",IFERROR(AM87+AF87/INDEX(账户总表!$B:$B,COUNTA(账户总表!$A:$A)),0))</f>
        <v/>
      </c>
      <c r="AO87" s="1" t="str">
        <f aca="false">IF($A87="","",IF(AN87&gt;INDEX(账户总表!$O:$O,COUNTA(账户总表!$A:$A)),"超限","合规"))</f>
        <v/>
      </c>
      <c r="AP87" s="1" t="str">
        <f aca="false">IF($A87="","",IF(AND(AL87="新标的",INDEX(账户总表!$R:$R,COUNTA(账户总表!$A:$A))&gt;=INDEX(账户总表!$S:$S,COUNTA(账户总表!$A:$A))),"新增受限","可通过"))</f>
        <v/>
      </c>
      <c r="AQ87" s="1" t="str">
        <f aca="false">IF($A87="","",IF(K87&lt;&gt;"核心池","非核心池",IF(OR(AI87="超限",AO87="超限",AP87="新增受限"),"不可加仓","可加仓")))</f>
        <v/>
      </c>
      <c r="AR87" s="1" t="str">
        <f aca="false">IF($A87="","",TRIM(IF(AI87="超限","1手超单股上限；","")&amp;IF(AO87="超限","买后仓位超限；","")&amp;IF(AP87="新增受限","有效持仓数超限；","")&amp;IF(AF87&gt;INDEX(账户总表!$C:$C,COUNTA(账户总表!$A:$A)),"现金不足；","")))</f>
        <v/>
      </c>
      <c r="AS87" s="1" t="str">
        <f aca="false">IF($A87="","",IFERROR(INDEX(候选池历史!$L:$L,MATCH(1,(候选池历史!$B:$B=C87)*(候选池历史!$A:$A=$A87),0)),0))</f>
        <v/>
      </c>
      <c r="AT87" s="1" t="str">
        <f aca="false">IF($A87="","",IF(AS87&gt;=3,"★信号强化",IF(K87="核心池","核心观察","")))</f>
        <v/>
      </c>
      <c r="AU87" s="1" t="str">
        <f aca="false">IF($A87="","",IF(AK87&gt;30000-INDEX(账户总表!$B:$B,COUNTA(账户总表!$A:$A)),"不适合婴儿阶段","可纳入幼儿路径"))</f>
        <v/>
      </c>
    </row>
    <row r="88" customFormat="false" ht="15" hidden="false" customHeight="true" outlineLevel="0" collapsed="false">
      <c r="A88" s="70"/>
      <c r="B88" s="71"/>
      <c r="C88" s="72"/>
      <c r="D88" s="73"/>
      <c r="E88" s="73"/>
      <c r="F88" s="73"/>
      <c r="G88" s="74"/>
      <c r="H88" s="72"/>
      <c r="I88" s="72"/>
      <c r="J88" s="71"/>
      <c r="K88" s="75" t="str">
        <f aca="false">IF($A88="","",IF(AND(G88&lt;45%,H88&gt;=0.9),"A",IF(AND(G88&lt;60%,H88&gt;0.8),"B","C")))</f>
        <v/>
      </c>
      <c r="L88" s="75" t="str">
        <f aca="false">IF($A88="","",IF(AND(G88&lt;60%,H88&gt;0.8,I88="True"),"是","否"))</f>
        <v/>
      </c>
      <c r="M88" s="75" t="str">
        <f aca="false">IF($A88="","",IF(AND(D88&gt;0,E88&gt;0,D88&lt;=E88*1.02),"是","否"))</f>
        <v/>
      </c>
      <c r="N88" s="76" t="n">
        <f aca="false">IFERROR(INDEX(账户总表!$O:$O,COUNTA(账户总表!$A:$A)),0)</f>
        <v>0.35</v>
      </c>
      <c r="O88" s="77" t="n">
        <f aca="false">IFERROR(INDEX(账户总表!$B:$B,COUNTA(账户总表!$A:$A))*N88,0)</f>
        <v>7294.812</v>
      </c>
      <c r="P88" s="78" t="n">
        <f aca="false">IFERROR(O88/D88,0)</f>
        <v>0</v>
      </c>
      <c r="Q88" s="78" t="n">
        <f aca="false">IFERROR(FLOOR(P88,100),0)</f>
        <v>0</v>
      </c>
      <c r="R88" s="78" t="n">
        <f aca="false">IFERROR(CEILING(800/(100*D88),1)*100,0)</f>
        <v>0</v>
      </c>
      <c r="S88" s="79"/>
      <c r="T88" s="77" t="n">
        <f aca="false">IFERROR(S88*D88,0)</f>
        <v>0</v>
      </c>
      <c r="U88" s="76" t="n">
        <f aca="false">IFERROR(T88/INDEX(账户总表!$B:$B,COUNTA(账户总表!$A:$A)),0)</f>
        <v>0</v>
      </c>
      <c r="V88" s="76" t="n">
        <f aca="false">IFERROR(INDEX(账户总表!$E:$E,COUNTA(账户总表!$A:$A))+U88,0)</f>
        <v>0.407056412146057</v>
      </c>
      <c r="W88" s="75" t="str">
        <f aca="false">IF($A88="","",IFERROR(IF(V88&lt;=INDEX(账户总表!$N:$N,COUNTA(账户总表!$A:$A)),"是","否"),"否"))</f>
        <v/>
      </c>
      <c r="X88" s="77" t="str">
        <f aca="false">IF($A88="","",MAX(F88*0.98,D88*0.92))</f>
        <v/>
      </c>
      <c r="Y88" s="72"/>
      <c r="Z88" s="75" t="str">
        <f aca="false">IF($A88="","",IFERROR(IF(AND(T88&gt;INDEX(账户总表!$C:$C,COUNTA(账户总表!$A:$A)),L88="是"),"是","否"),"否"))</f>
        <v/>
      </c>
      <c r="AA88" s="77" t="str">
        <f aca="false">IF($A88="","",IFERROR(IF(Z88="是",MAX(0,T88-INDEX(账户总表!$C:$C,COUNTA(账户总表!$A:$A)),IF(N88&gt;0,T88/N88-INDEX(账户总表!$B:$B,COUNTA(账户总表!$A:$A)),0)),0),0))</f>
        <v/>
      </c>
      <c r="AB88" s="77" t="str">
        <f aca="false">IF($A88="","",IF(AND(Z88="是",INDEX(账户总表!$U:$U,COUNTA(账户总表!$A:$A))="是"),IF(INDEX(账户总表!$L:$L,COUNTA(账户总表!$A:$A))&gt;=4,AA88*1.5,AA88),0))</f>
        <v/>
      </c>
      <c r="AC88" s="75" t="str">
        <f aca="false">IF($A88="","",IF(AND(L88="是",Q88&gt;=R88,S88&lt;=Q88,S88&gt;=R88,W88="是",X88&gt;0,M88="是",INDEX(账户总表!$M:$M,COUNTA(账户总表!$A:$A))&lt;=2,INDEX(账户总表!$V:$V,COUNTA(账户总表!$A:$A))="是",OR(T88&lt;=INDEX(账户总表!$C:$C,COUNTA(账户总表!$A:$A)),AND(Z88="是",INDEX(账户总表!$U:$U,COUNTA(账户总表!$A:$A))="是",AB88&gt;0))),"是","否"))</f>
        <v/>
      </c>
      <c r="AD88" s="75" t="str">
        <f aca="false">IF($A88="","",IF(L88&lt;&gt;"是","信号未确认",IF(X88&lt;=0,"止损价未定义",IF(Q88&lt;R88,"100股约束不满足",IF(S88&gt;Q88,"计划股数超单股上限",IF(S88&lt;R88,"计划股数低于最小门槛",IF(W88&lt;&gt;"是","总仓位超限",IF(M88&lt;&gt;"是","追价",IF(INDEX(账户总表!$M:$M,COUNTA(账户总表!$A:$A))&gt;2,"亏钱效应偏高",IF(INDEX(账户总表!$V:$V,COUNTA(账户总表!$A:$A))&lt;&gt;"是","账户不允许新开仓",IF(AND(T88&gt;INDEX(账户总表!$C:$C,COUNTA(账户总表!$A:$A)),INDEX(账户总表!$U:$U,COUNTA(账户总表!$A:$A))&lt;&gt;"是"),"现金不足且不允许转入",IF(AND(Z88="是",AB88&lt;=0),"转入金额未满足",""))))))))))))</f>
        <v/>
      </c>
      <c r="AE88" s="71"/>
      <c r="AF88" s="1" t="str">
        <f aca="false">IF($A88="","",D88*100)</f>
        <v/>
      </c>
      <c r="AG88" s="1" t="str">
        <f aca="false">IF($A88="","",IFERROR(AF88/INDEX(账户总表!$B:$B,COUNTA(账户总表!$A:$A)),0))</f>
        <v/>
      </c>
      <c r="AH88" s="1" t="str">
        <f aca="false">IF($A88="","",IFERROR(INDEX(账户总表!$B:$B,COUNTA(账户总表!$A:$A))*INDEX(账户总表!$O:$O,COUNTA(账户总表!$A:$A)),0))</f>
        <v/>
      </c>
      <c r="AI88" s="1" t="str">
        <f aca="false">IF($A88="","",IF(AF88&gt;AH88,"超限","合规"))</f>
        <v/>
      </c>
      <c r="AJ88" s="1" t="str">
        <f aca="false">IF($A88="","",IFERROR(AF88/INDEX(账户总表!$O:$O,COUNTA(账户总表!$A:$A)),0))</f>
        <v/>
      </c>
      <c r="AK88" s="1" t="str">
        <f aca="false">IF($A88="","",IFERROR(MAX(0,AJ88-INDEX(账户总表!$B:$B,COUNTA(账户总表!$A:$A)),AF88-INDEX(账户总表!$C:$C,COUNTA(账户总表!$A:$A))),0))</f>
        <v/>
      </c>
      <c r="AL88" s="1" t="str">
        <f aca="false">IF($A88="","",IF(COUNTIF(持仓表!$C$2:$C$201,C88)&gt;0,"已有","新标的"))</f>
        <v/>
      </c>
      <c r="AM88" s="1" t="str">
        <f aca="false">IF($A88="","",IFERROR(SUMIFS(持仓表!$N$2:$N$201,持仓表!$C$2:$C$201,C88,持仓表!$A$2:$A$201,$A88),0))</f>
        <v/>
      </c>
      <c r="AN88" s="1" t="str">
        <f aca="false">IF($A88="","",IFERROR(AM88+AF88/INDEX(账户总表!$B:$B,COUNTA(账户总表!$A:$A)),0))</f>
        <v/>
      </c>
      <c r="AO88" s="1" t="str">
        <f aca="false">IF($A88="","",IF(AN88&gt;INDEX(账户总表!$O:$O,COUNTA(账户总表!$A:$A)),"超限","合规"))</f>
        <v/>
      </c>
      <c r="AP88" s="1" t="str">
        <f aca="false">IF($A88="","",IF(AND(AL88="新标的",INDEX(账户总表!$R:$R,COUNTA(账户总表!$A:$A))&gt;=INDEX(账户总表!$S:$S,COUNTA(账户总表!$A:$A))),"新增受限","可通过"))</f>
        <v/>
      </c>
      <c r="AQ88" s="1" t="str">
        <f aca="false">IF($A88="","",IF(K88&lt;&gt;"核心池","非核心池",IF(OR(AI88="超限",AO88="超限",AP88="新增受限"),"不可加仓","可加仓")))</f>
        <v/>
      </c>
      <c r="AR88" s="1" t="str">
        <f aca="false">IF($A88="","",TRIM(IF(AI88="超限","1手超单股上限；","")&amp;IF(AO88="超限","买后仓位超限；","")&amp;IF(AP88="新增受限","有效持仓数超限；","")&amp;IF(AF88&gt;INDEX(账户总表!$C:$C,COUNTA(账户总表!$A:$A)),"现金不足；","")))</f>
        <v/>
      </c>
      <c r="AS88" s="1" t="str">
        <f aca="false">IF($A88="","",IFERROR(INDEX(候选池历史!$L:$L,MATCH(1,(候选池历史!$B:$B=C88)*(候选池历史!$A:$A=$A88),0)),0))</f>
        <v/>
      </c>
      <c r="AT88" s="1" t="str">
        <f aca="false">IF($A88="","",IF(AS88&gt;=3,"★信号强化",IF(K88="核心池","核心观察","")))</f>
        <v/>
      </c>
      <c r="AU88" s="1" t="str">
        <f aca="false">IF($A88="","",IF(AK88&gt;30000-INDEX(账户总表!$B:$B,COUNTA(账户总表!$A:$A)),"不适合婴儿阶段","可纳入幼儿路径"))</f>
        <v/>
      </c>
    </row>
    <row r="89" customFormat="false" ht="15" hidden="false" customHeight="true" outlineLevel="0" collapsed="false">
      <c r="A89" s="70"/>
      <c r="B89" s="71"/>
      <c r="C89" s="72"/>
      <c r="D89" s="73"/>
      <c r="E89" s="73"/>
      <c r="F89" s="73"/>
      <c r="G89" s="74"/>
      <c r="H89" s="72"/>
      <c r="I89" s="72"/>
      <c r="J89" s="71"/>
      <c r="K89" s="75" t="str">
        <f aca="false">IF($A89="","",IF(AND(G89&lt;45%,H89&gt;=0.9),"A",IF(AND(G89&lt;60%,H89&gt;0.8),"B","C")))</f>
        <v/>
      </c>
      <c r="L89" s="75" t="str">
        <f aca="false">IF($A89="","",IF(AND(G89&lt;60%,H89&gt;0.8,I89="True"),"是","否"))</f>
        <v/>
      </c>
      <c r="M89" s="75" t="str">
        <f aca="false">IF($A89="","",IF(AND(D89&gt;0,E89&gt;0,D89&lt;=E89*1.02),"是","否"))</f>
        <v/>
      </c>
      <c r="N89" s="76" t="n">
        <f aca="false">IFERROR(INDEX(账户总表!$O:$O,COUNTA(账户总表!$A:$A)),0)</f>
        <v>0.35</v>
      </c>
      <c r="O89" s="77" t="n">
        <f aca="false">IFERROR(INDEX(账户总表!$B:$B,COUNTA(账户总表!$A:$A))*N89,0)</f>
        <v>7294.812</v>
      </c>
      <c r="P89" s="78" t="n">
        <f aca="false">IFERROR(O89/D89,0)</f>
        <v>0</v>
      </c>
      <c r="Q89" s="78" t="n">
        <f aca="false">IFERROR(FLOOR(P89,100),0)</f>
        <v>0</v>
      </c>
      <c r="R89" s="78" t="n">
        <f aca="false">IFERROR(CEILING(800/(100*D89),1)*100,0)</f>
        <v>0</v>
      </c>
      <c r="S89" s="79"/>
      <c r="T89" s="77" t="n">
        <f aca="false">IFERROR(S89*D89,0)</f>
        <v>0</v>
      </c>
      <c r="U89" s="76" t="n">
        <f aca="false">IFERROR(T89/INDEX(账户总表!$B:$B,COUNTA(账户总表!$A:$A)),0)</f>
        <v>0</v>
      </c>
      <c r="V89" s="76" t="n">
        <f aca="false">IFERROR(INDEX(账户总表!$E:$E,COUNTA(账户总表!$A:$A))+U89,0)</f>
        <v>0.407056412146057</v>
      </c>
      <c r="W89" s="75" t="str">
        <f aca="false">IF($A89="","",IFERROR(IF(V89&lt;=INDEX(账户总表!$N:$N,COUNTA(账户总表!$A:$A)),"是","否"),"否"))</f>
        <v/>
      </c>
      <c r="X89" s="77" t="str">
        <f aca="false">IF($A89="","",MAX(F89*0.98,D89*0.92))</f>
        <v/>
      </c>
      <c r="Y89" s="72"/>
      <c r="Z89" s="75" t="str">
        <f aca="false">IF($A89="","",IFERROR(IF(AND(T89&gt;INDEX(账户总表!$C:$C,COUNTA(账户总表!$A:$A)),L89="是"),"是","否"),"否"))</f>
        <v/>
      </c>
      <c r="AA89" s="77" t="str">
        <f aca="false">IF($A89="","",IFERROR(IF(Z89="是",MAX(0,T89-INDEX(账户总表!$C:$C,COUNTA(账户总表!$A:$A)),IF(N89&gt;0,T89/N89-INDEX(账户总表!$B:$B,COUNTA(账户总表!$A:$A)),0)),0),0))</f>
        <v/>
      </c>
      <c r="AB89" s="77" t="str">
        <f aca="false">IF($A89="","",IF(AND(Z89="是",INDEX(账户总表!$U:$U,COUNTA(账户总表!$A:$A))="是"),IF(INDEX(账户总表!$L:$L,COUNTA(账户总表!$A:$A))&gt;=4,AA89*1.5,AA89),0))</f>
        <v/>
      </c>
      <c r="AC89" s="75" t="str">
        <f aca="false">IF($A89="","",IF(AND(L89="是",Q89&gt;=R89,S89&lt;=Q89,S89&gt;=R89,W89="是",X89&gt;0,M89="是",INDEX(账户总表!$M:$M,COUNTA(账户总表!$A:$A))&lt;=2,INDEX(账户总表!$V:$V,COUNTA(账户总表!$A:$A))="是",OR(T89&lt;=INDEX(账户总表!$C:$C,COUNTA(账户总表!$A:$A)),AND(Z89="是",INDEX(账户总表!$U:$U,COUNTA(账户总表!$A:$A))="是",AB89&gt;0))),"是","否"))</f>
        <v/>
      </c>
      <c r="AD89" s="75" t="str">
        <f aca="false">IF($A89="","",IF(L89&lt;&gt;"是","信号未确认",IF(X89&lt;=0,"止损价未定义",IF(Q89&lt;R89,"100股约束不满足",IF(S89&gt;Q89,"计划股数超单股上限",IF(S89&lt;R89,"计划股数低于最小门槛",IF(W89&lt;&gt;"是","总仓位超限",IF(M89&lt;&gt;"是","追价",IF(INDEX(账户总表!$M:$M,COUNTA(账户总表!$A:$A))&gt;2,"亏钱效应偏高",IF(INDEX(账户总表!$V:$V,COUNTA(账户总表!$A:$A))&lt;&gt;"是","账户不允许新开仓",IF(AND(T89&gt;INDEX(账户总表!$C:$C,COUNTA(账户总表!$A:$A)),INDEX(账户总表!$U:$U,COUNTA(账户总表!$A:$A))&lt;&gt;"是"),"现金不足且不允许转入",IF(AND(Z89="是",AB89&lt;=0),"转入金额未满足",""))))))))))))</f>
        <v/>
      </c>
      <c r="AE89" s="71"/>
      <c r="AF89" s="1" t="str">
        <f aca="false">IF($A89="","",D89*100)</f>
        <v/>
      </c>
      <c r="AG89" s="1" t="str">
        <f aca="false">IF($A89="","",IFERROR(AF89/INDEX(账户总表!$B:$B,COUNTA(账户总表!$A:$A)),0))</f>
        <v/>
      </c>
      <c r="AH89" s="1" t="str">
        <f aca="false">IF($A89="","",IFERROR(INDEX(账户总表!$B:$B,COUNTA(账户总表!$A:$A))*INDEX(账户总表!$O:$O,COUNTA(账户总表!$A:$A)),0))</f>
        <v/>
      </c>
      <c r="AI89" s="1" t="str">
        <f aca="false">IF($A89="","",IF(AF89&gt;AH89,"超限","合规"))</f>
        <v/>
      </c>
      <c r="AJ89" s="1" t="str">
        <f aca="false">IF($A89="","",IFERROR(AF89/INDEX(账户总表!$O:$O,COUNTA(账户总表!$A:$A)),0))</f>
        <v/>
      </c>
      <c r="AK89" s="1" t="str">
        <f aca="false">IF($A89="","",IFERROR(MAX(0,AJ89-INDEX(账户总表!$B:$B,COUNTA(账户总表!$A:$A)),AF89-INDEX(账户总表!$C:$C,COUNTA(账户总表!$A:$A))),0))</f>
        <v/>
      </c>
      <c r="AL89" s="1" t="str">
        <f aca="false">IF($A89="","",IF(COUNTIF(持仓表!$C$2:$C$201,C89)&gt;0,"已有","新标的"))</f>
        <v/>
      </c>
      <c r="AM89" s="1" t="str">
        <f aca="false">IF($A89="","",IFERROR(SUMIFS(持仓表!$N$2:$N$201,持仓表!$C$2:$C$201,C89,持仓表!$A$2:$A$201,$A89),0))</f>
        <v/>
      </c>
      <c r="AN89" s="1" t="str">
        <f aca="false">IF($A89="","",IFERROR(AM89+AF89/INDEX(账户总表!$B:$B,COUNTA(账户总表!$A:$A)),0))</f>
        <v/>
      </c>
      <c r="AO89" s="1" t="str">
        <f aca="false">IF($A89="","",IF(AN89&gt;INDEX(账户总表!$O:$O,COUNTA(账户总表!$A:$A)),"超限","合规"))</f>
        <v/>
      </c>
      <c r="AP89" s="1" t="str">
        <f aca="false">IF($A89="","",IF(AND(AL89="新标的",INDEX(账户总表!$R:$R,COUNTA(账户总表!$A:$A))&gt;=INDEX(账户总表!$S:$S,COUNTA(账户总表!$A:$A))),"新增受限","可通过"))</f>
        <v/>
      </c>
      <c r="AQ89" s="1" t="str">
        <f aca="false">IF($A89="","",IF(K89&lt;&gt;"核心池","非核心池",IF(OR(AI89="超限",AO89="超限",AP89="新增受限"),"不可加仓","可加仓")))</f>
        <v/>
      </c>
      <c r="AR89" s="1" t="str">
        <f aca="false">IF($A89="","",TRIM(IF(AI89="超限","1手超单股上限；","")&amp;IF(AO89="超限","买后仓位超限；","")&amp;IF(AP89="新增受限","有效持仓数超限；","")&amp;IF(AF89&gt;INDEX(账户总表!$C:$C,COUNTA(账户总表!$A:$A)),"现金不足；","")))</f>
        <v/>
      </c>
      <c r="AS89" s="1" t="str">
        <f aca="false">IF($A89="","",IFERROR(INDEX(候选池历史!$L:$L,MATCH(1,(候选池历史!$B:$B=C89)*(候选池历史!$A:$A=$A89),0)),0))</f>
        <v/>
      </c>
      <c r="AT89" s="1" t="str">
        <f aca="false">IF($A89="","",IF(AS89&gt;=3,"★信号强化",IF(K89="核心池","核心观察","")))</f>
        <v/>
      </c>
      <c r="AU89" s="1" t="str">
        <f aca="false">IF($A89="","",IF(AK89&gt;30000-INDEX(账户总表!$B:$B,COUNTA(账户总表!$A:$A)),"不适合婴儿阶段","可纳入幼儿路径"))</f>
        <v/>
      </c>
    </row>
    <row r="90" customFormat="false" ht="15" hidden="false" customHeight="true" outlineLevel="0" collapsed="false">
      <c r="A90" s="70"/>
      <c r="B90" s="71"/>
      <c r="C90" s="72"/>
      <c r="D90" s="73"/>
      <c r="E90" s="73"/>
      <c r="F90" s="73"/>
      <c r="G90" s="74"/>
      <c r="H90" s="72"/>
      <c r="I90" s="72"/>
      <c r="J90" s="71"/>
      <c r="K90" s="75" t="str">
        <f aca="false">IF($A90="","",IF(AND(G90&lt;45%,H90&gt;=0.9),"A",IF(AND(G90&lt;60%,H90&gt;0.8),"B","C")))</f>
        <v/>
      </c>
      <c r="L90" s="75" t="str">
        <f aca="false">IF($A90="","",IF(AND(G90&lt;60%,H90&gt;0.8,I90="True"),"是","否"))</f>
        <v/>
      </c>
      <c r="M90" s="75" t="str">
        <f aca="false">IF($A90="","",IF(AND(D90&gt;0,E90&gt;0,D90&lt;=E90*1.02),"是","否"))</f>
        <v/>
      </c>
      <c r="N90" s="76" t="n">
        <f aca="false">IFERROR(INDEX(账户总表!$O:$O,COUNTA(账户总表!$A:$A)),0)</f>
        <v>0.35</v>
      </c>
      <c r="O90" s="77" t="n">
        <f aca="false">IFERROR(INDEX(账户总表!$B:$B,COUNTA(账户总表!$A:$A))*N90,0)</f>
        <v>7294.812</v>
      </c>
      <c r="P90" s="78" t="n">
        <f aca="false">IFERROR(O90/D90,0)</f>
        <v>0</v>
      </c>
      <c r="Q90" s="78" t="n">
        <f aca="false">IFERROR(FLOOR(P90,100),0)</f>
        <v>0</v>
      </c>
      <c r="R90" s="78" t="n">
        <f aca="false">IFERROR(CEILING(800/(100*D90),1)*100,0)</f>
        <v>0</v>
      </c>
      <c r="S90" s="79"/>
      <c r="T90" s="77" t="n">
        <f aca="false">IFERROR(S90*D90,0)</f>
        <v>0</v>
      </c>
      <c r="U90" s="76" t="n">
        <f aca="false">IFERROR(T90/INDEX(账户总表!$B:$B,COUNTA(账户总表!$A:$A)),0)</f>
        <v>0</v>
      </c>
      <c r="V90" s="76" t="n">
        <f aca="false">IFERROR(INDEX(账户总表!$E:$E,COUNTA(账户总表!$A:$A))+U90,0)</f>
        <v>0.407056412146057</v>
      </c>
      <c r="W90" s="75" t="str">
        <f aca="false">IF($A90="","",IFERROR(IF(V90&lt;=INDEX(账户总表!$N:$N,COUNTA(账户总表!$A:$A)),"是","否"),"否"))</f>
        <v/>
      </c>
      <c r="X90" s="77" t="str">
        <f aca="false">IF($A90="","",MAX(F90*0.98,D90*0.92))</f>
        <v/>
      </c>
      <c r="Y90" s="72"/>
      <c r="Z90" s="75" t="str">
        <f aca="false">IF($A90="","",IFERROR(IF(AND(T90&gt;INDEX(账户总表!$C:$C,COUNTA(账户总表!$A:$A)),L90="是"),"是","否"),"否"))</f>
        <v/>
      </c>
      <c r="AA90" s="77" t="str">
        <f aca="false">IF($A90="","",IFERROR(IF(Z90="是",MAX(0,T90-INDEX(账户总表!$C:$C,COUNTA(账户总表!$A:$A)),IF(N90&gt;0,T90/N90-INDEX(账户总表!$B:$B,COUNTA(账户总表!$A:$A)),0)),0),0))</f>
        <v/>
      </c>
      <c r="AB90" s="77" t="str">
        <f aca="false">IF($A90="","",IF(AND(Z90="是",INDEX(账户总表!$U:$U,COUNTA(账户总表!$A:$A))="是"),IF(INDEX(账户总表!$L:$L,COUNTA(账户总表!$A:$A))&gt;=4,AA90*1.5,AA90),0))</f>
        <v/>
      </c>
      <c r="AC90" s="75" t="str">
        <f aca="false">IF($A90="","",IF(AND(L90="是",Q90&gt;=R90,S90&lt;=Q90,S90&gt;=R90,W90="是",X90&gt;0,M90="是",INDEX(账户总表!$M:$M,COUNTA(账户总表!$A:$A))&lt;=2,INDEX(账户总表!$V:$V,COUNTA(账户总表!$A:$A))="是",OR(T90&lt;=INDEX(账户总表!$C:$C,COUNTA(账户总表!$A:$A)),AND(Z90="是",INDEX(账户总表!$U:$U,COUNTA(账户总表!$A:$A))="是",AB90&gt;0))),"是","否"))</f>
        <v/>
      </c>
      <c r="AD90" s="75" t="str">
        <f aca="false">IF($A90="","",IF(L90&lt;&gt;"是","信号未确认",IF(X90&lt;=0,"止损价未定义",IF(Q90&lt;R90,"100股约束不满足",IF(S90&gt;Q90,"计划股数超单股上限",IF(S90&lt;R90,"计划股数低于最小门槛",IF(W90&lt;&gt;"是","总仓位超限",IF(M90&lt;&gt;"是","追价",IF(INDEX(账户总表!$M:$M,COUNTA(账户总表!$A:$A))&gt;2,"亏钱效应偏高",IF(INDEX(账户总表!$V:$V,COUNTA(账户总表!$A:$A))&lt;&gt;"是","账户不允许新开仓",IF(AND(T90&gt;INDEX(账户总表!$C:$C,COUNTA(账户总表!$A:$A)),INDEX(账户总表!$U:$U,COUNTA(账户总表!$A:$A))&lt;&gt;"是"),"现金不足且不允许转入",IF(AND(Z90="是",AB90&lt;=0),"转入金额未满足",""))))))))))))</f>
        <v/>
      </c>
      <c r="AE90" s="71"/>
      <c r="AF90" s="1" t="str">
        <f aca="false">IF($A90="","",D90*100)</f>
        <v/>
      </c>
      <c r="AG90" s="1" t="str">
        <f aca="false">IF($A90="","",IFERROR(AF90/INDEX(账户总表!$B:$B,COUNTA(账户总表!$A:$A)),0))</f>
        <v/>
      </c>
      <c r="AH90" s="1" t="str">
        <f aca="false">IF($A90="","",IFERROR(INDEX(账户总表!$B:$B,COUNTA(账户总表!$A:$A))*INDEX(账户总表!$O:$O,COUNTA(账户总表!$A:$A)),0))</f>
        <v/>
      </c>
      <c r="AI90" s="1" t="str">
        <f aca="false">IF($A90="","",IF(AF90&gt;AH90,"超限","合规"))</f>
        <v/>
      </c>
      <c r="AJ90" s="1" t="str">
        <f aca="false">IF($A90="","",IFERROR(AF90/INDEX(账户总表!$O:$O,COUNTA(账户总表!$A:$A)),0))</f>
        <v/>
      </c>
      <c r="AK90" s="1" t="str">
        <f aca="false">IF($A90="","",IFERROR(MAX(0,AJ90-INDEX(账户总表!$B:$B,COUNTA(账户总表!$A:$A)),AF90-INDEX(账户总表!$C:$C,COUNTA(账户总表!$A:$A))),0))</f>
        <v/>
      </c>
      <c r="AL90" s="1" t="str">
        <f aca="false">IF($A90="","",IF(COUNTIF(持仓表!$C$2:$C$201,C90)&gt;0,"已有","新标的"))</f>
        <v/>
      </c>
      <c r="AM90" s="1" t="str">
        <f aca="false">IF($A90="","",IFERROR(SUMIFS(持仓表!$N$2:$N$201,持仓表!$C$2:$C$201,C90,持仓表!$A$2:$A$201,$A90),0))</f>
        <v/>
      </c>
      <c r="AN90" s="1" t="str">
        <f aca="false">IF($A90="","",IFERROR(AM90+AF90/INDEX(账户总表!$B:$B,COUNTA(账户总表!$A:$A)),0))</f>
        <v/>
      </c>
      <c r="AO90" s="1" t="str">
        <f aca="false">IF($A90="","",IF(AN90&gt;INDEX(账户总表!$O:$O,COUNTA(账户总表!$A:$A)),"超限","合规"))</f>
        <v/>
      </c>
      <c r="AP90" s="1" t="str">
        <f aca="false">IF($A90="","",IF(AND(AL90="新标的",INDEX(账户总表!$R:$R,COUNTA(账户总表!$A:$A))&gt;=INDEX(账户总表!$S:$S,COUNTA(账户总表!$A:$A))),"新增受限","可通过"))</f>
        <v/>
      </c>
      <c r="AQ90" s="1" t="str">
        <f aca="false">IF($A90="","",IF(K90&lt;&gt;"核心池","非核心池",IF(OR(AI90="超限",AO90="超限",AP90="新增受限"),"不可加仓","可加仓")))</f>
        <v/>
      </c>
      <c r="AR90" s="1" t="str">
        <f aca="false">IF($A90="","",TRIM(IF(AI90="超限","1手超单股上限；","")&amp;IF(AO90="超限","买后仓位超限；","")&amp;IF(AP90="新增受限","有效持仓数超限；","")&amp;IF(AF90&gt;INDEX(账户总表!$C:$C,COUNTA(账户总表!$A:$A)),"现金不足；","")))</f>
        <v/>
      </c>
      <c r="AS90" s="1" t="str">
        <f aca="false">IF($A90="","",IFERROR(INDEX(候选池历史!$L:$L,MATCH(1,(候选池历史!$B:$B=C90)*(候选池历史!$A:$A=$A90),0)),0))</f>
        <v/>
      </c>
      <c r="AT90" s="1" t="str">
        <f aca="false">IF($A90="","",IF(AS90&gt;=3,"★信号强化",IF(K90="核心池","核心观察","")))</f>
        <v/>
      </c>
      <c r="AU90" s="1" t="str">
        <f aca="false">IF($A90="","",IF(AK90&gt;30000-INDEX(账户总表!$B:$B,COUNTA(账户总表!$A:$A)),"不适合婴儿阶段","可纳入幼儿路径"))</f>
        <v/>
      </c>
    </row>
    <row r="91" customFormat="false" ht="15" hidden="false" customHeight="true" outlineLevel="0" collapsed="false">
      <c r="A91" s="70"/>
      <c r="B91" s="71"/>
      <c r="C91" s="72"/>
      <c r="D91" s="73"/>
      <c r="E91" s="73"/>
      <c r="F91" s="73"/>
      <c r="G91" s="74"/>
      <c r="H91" s="72"/>
      <c r="I91" s="72"/>
      <c r="J91" s="71"/>
      <c r="K91" s="75" t="str">
        <f aca="false">IF($A91="","",IF(AND(G91&lt;45%,H91&gt;=0.9),"A",IF(AND(G91&lt;60%,H91&gt;0.8),"B","C")))</f>
        <v/>
      </c>
      <c r="L91" s="75" t="str">
        <f aca="false">IF($A91="","",IF(AND(G91&lt;60%,H91&gt;0.8,I91="True"),"是","否"))</f>
        <v/>
      </c>
      <c r="M91" s="75" t="str">
        <f aca="false">IF($A91="","",IF(AND(D91&gt;0,E91&gt;0,D91&lt;=E91*1.02),"是","否"))</f>
        <v/>
      </c>
      <c r="N91" s="76" t="n">
        <f aca="false">IFERROR(INDEX(账户总表!$O:$O,COUNTA(账户总表!$A:$A)),0)</f>
        <v>0.35</v>
      </c>
      <c r="O91" s="77" t="n">
        <f aca="false">IFERROR(INDEX(账户总表!$B:$B,COUNTA(账户总表!$A:$A))*N91,0)</f>
        <v>7294.812</v>
      </c>
      <c r="P91" s="78" t="n">
        <f aca="false">IFERROR(O91/D91,0)</f>
        <v>0</v>
      </c>
      <c r="Q91" s="78" t="n">
        <f aca="false">IFERROR(FLOOR(P91,100),0)</f>
        <v>0</v>
      </c>
      <c r="R91" s="78" t="n">
        <f aca="false">IFERROR(CEILING(800/(100*D91),1)*100,0)</f>
        <v>0</v>
      </c>
      <c r="S91" s="79"/>
      <c r="T91" s="77" t="n">
        <f aca="false">IFERROR(S91*D91,0)</f>
        <v>0</v>
      </c>
      <c r="U91" s="76" t="n">
        <f aca="false">IFERROR(T91/INDEX(账户总表!$B:$B,COUNTA(账户总表!$A:$A)),0)</f>
        <v>0</v>
      </c>
      <c r="V91" s="76" t="n">
        <f aca="false">IFERROR(INDEX(账户总表!$E:$E,COUNTA(账户总表!$A:$A))+U91,0)</f>
        <v>0.407056412146057</v>
      </c>
      <c r="W91" s="75" t="str">
        <f aca="false">IF($A91="","",IFERROR(IF(V91&lt;=INDEX(账户总表!$N:$N,COUNTA(账户总表!$A:$A)),"是","否"),"否"))</f>
        <v/>
      </c>
      <c r="X91" s="77" t="str">
        <f aca="false">IF($A91="","",MAX(F91*0.98,D91*0.92))</f>
        <v/>
      </c>
      <c r="Y91" s="72"/>
      <c r="Z91" s="75" t="str">
        <f aca="false">IF($A91="","",IFERROR(IF(AND(T91&gt;INDEX(账户总表!$C:$C,COUNTA(账户总表!$A:$A)),L91="是"),"是","否"),"否"))</f>
        <v/>
      </c>
      <c r="AA91" s="77" t="str">
        <f aca="false">IF($A91="","",IFERROR(IF(Z91="是",MAX(0,T91-INDEX(账户总表!$C:$C,COUNTA(账户总表!$A:$A)),IF(N91&gt;0,T91/N91-INDEX(账户总表!$B:$B,COUNTA(账户总表!$A:$A)),0)),0),0))</f>
        <v/>
      </c>
      <c r="AB91" s="77" t="str">
        <f aca="false">IF($A91="","",IF(AND(Z91="是",INDEX(账户总表!$U:$U,COUNTA(账户总表!$A:$A))="是"),IF(INDEX(账户总表!$L:$L,COUNTA(账户总表!$A:$A))&gt;=4,AA91*1.5,AA91),0))</f>
        <v/>
      </c>
      <c r="AC91" s="75" t="str">
        <f aca="false">IF($A91="","",IF(AND(L91="是",Q91&gt;=R91,S91&lt;=Q91,S91&gt;=R91,W91="是",X91&gt;0,M91="是",INDEX(账户总表!$M:$M,COUNTA(账户总表!$A:$A))&lt;=2,INDEX(账户总表!$V:$V,COUNTA(账户总表!$A:$A))="是",OR(T91&lt;=INDEX(账户总表!$C:$C,COUNTA(账户总表!$A:$A)),AND(Z91="是",INDEX(账户总表!$U:$U,COUNTA(账户总表!$A:$A))="是",AB91&gt;0))),"是","否"))</f>
        <v/>
      </c>
      <c r="AD91" s="75" t="str">
        <f aca="false">IF($A91="","",IF(L91&lt;&gt;"是","信号未确认",IF(X91&lt;=0,"止损价未定义",IF(Q91&lt;R91,"100股约束不满足",IF(S91&gt;Q91,"计划股数超单股上限",IF(S91&lt;R91,"计划股数低于最小门槛",IF(W91&lt;&gt;"是","总仓位超限",IF(M91&lt;&gt;"是","追价",IF(INDEX(账户总表!$M:$M,COUNTA(账户总表!$A:$A))&gt;2,"亏钱效应偏高",IF(INDEX(账户总表!$V:$V,COUNTA(账户总表!$A:$A))&lt;&gt;"是","账户不允许新开仓",IF(AND(T91&gt;INDEX(账户总表!$C:$C,COUNTA(账户总表!$A:$A)),INDEX(账户总表!$U:$U,COUNTA(账户总表!$A:$A))&lt;&gt;"是"),"现金不足且不允许转入",IF(AND(Z91="是",AB91&lt;=0),"转入金额未满足",""))))))))))))</f>
        <v/>
      </c>
      <c r="AE91" s="71"/>
      <c r="AF91" s="1" t="str">
        <f aca="false">IF($A91="","",D91*100)</f>
        <v/>
      </c>
      <c r="AG91" s="1" t="str">
        <f aca="false">IF($A91="","",IFERROR(AF91/INDEX(账户总表!$B:$B,COUNTA(账户总表!$A:$A)),0))</f>
        <v/>
      </c>
      <c r="AH91" s="1" t="str">
        <f aca="false">IF($A91="","",IFERROR(INDEX(账户总表!$B:$B,COUNTA(账户总表!$A:$A))*INDEX(账户总表!$O:$O,COUNTA(账户总表!$A:$A)),0))</f>
        <v/>
      </c>
      <c r="AI91" s="1" t="str">
        <f aca="false">IF($A91="","",IF(AF91&gt;AH91,"超限","合规"))</f>
        <v/>
      </c>
      <c r="AJ91" s="1" t="str">
        <f aca="false">IF($A91="","",IFERROR(AF91/INDEX(账户总表!$O:$O,COUNTA(账户总表!$A:$A)),0))</f>
        <v/>
      </c>
      <c r="AK91" s="1" t="str">
        <f aca="false">IF($A91="","",IFERROR(MAX(0,AJ91-INDEX(账户总表!$B:$B,COUNTA(账户总表!$A:$A)),AF91-INDEX(账户总表!$C:$C,COUNTA(账户总表!$A:$A))),0))</f>
        <v/>
      </c>
      <c r="AL91" s="1" t="str">
        <f aca="false">IF($A91="","",IF(COUNTIF(持仓表!$C$2:$C$201,C91)&gt;0,"已有","新标的"))</f>
        <v/>
      </c>
      <c r="AM91" s="1" t="str">
        <f aca="false">IF($A91="","",IFERROR(SUMIFS(持仓表!$N$2:$N$201,持仓表!$C$2:$C$201,C91,持仓表!$A$2:$A$201,$A91),0))</f>
        <v/>
      </c>
      <c r="AN91" s="1" t="str">
        <f aca="false">IF($A91="","",IFERROR(AM91+AF91/INDEX(账户总表!$B:$B,COUNTA(账户总表!$A:$A)),0))</f>
        <v/>
      </c>
      <c r="AO91" s="1" t="str">
        <f aca="false">IF($A91="","",IF(AN91&gt;INDEX(账户总表!$O:$O,COUNTA(账户总表!$A:$A)),"超限","合规"))</f>
        <v/>
      </c>
      <c r="AP91" s="1" t="str">
        <f aca="false">IF($A91="","",IF(AND(AL91="新标的",INDEX(账户总表!$R:$R,COUNTA(账户总表!$A:$A))&gt;=INDEX(账户总表!$S:$S,COUNTA(账户总表!$A:$A))),"新增受限","可通过"))</f>
        <v/>
      </c>
      <c r="AQ91" s="1" t="str">
        <f aca="false">IF($A91="","",IF(K91&lt;&gt;"核心池","非核心池",IF(OR(AI91="超限",AO91="超限",AP91="新增受限"),"不可加仓","可加仓")))</f>
        <v/>
      </c>
      <c r="AR91" s="1" t="str">
        <f aca="false">IF($A91="","",TRIM(IF(AI91="超限","1手超单股上限；","")&amp;IF(AO91="超限","买后仓位超限；","")&amp;IF(AP91="新增受限","有效持仓数超限；","")&amp;IF(AF91&gt;INDEX(账户总表!$C:$C,COUNTA(账户总表!$A:$A)),"现金不足；","")))</f>
        <v/>
      </c>
      <c r="AS91" s="1" t="str">
        <f aca="false">IF($A91="","",IFERROR(INDEX(候选池历史!$L:$L,MATCH(1,(候选池历史!$B:$B=C91)*(候选池历史!$A:$A=$A91),0)),0))</f>
        <v/>
      </c>
      <c r="AT91" s="1" t="str">
        <f aca="false">IF($A91="","",IF(AS91&gt;=3,"★信号强化",IF(K91="核心池","核心观察","")))</f>
        <v/>
      </c>
      <c r="AU91" s="1" t="str">
        <f aca="false">IF($A91="","",IF(AK91&gt;30000-INDEX(账户总表!$B:$B,COUNTA(账户总表!$A:$A)),"不适合婴儿阶段","可纳入幼儿路径"))</f>
        <v/>
      </c>
    </row>
    <row r="92" customFormat="false" ht="15" hidden="false" customHeight="true" outlineLevel="0" collapsed="false">
      <c r="A92" s="70"/>
      <c r="B92" s="71"/>
      <c r="C92" s="72"/>
      <c r="D92" s="73"/>
      <c r="E92" s="73"/>
      <c r="F92" s="73"/>
      <c r="G92" s="74"/>
      <c r="H92" s="72"/>
      <c r="I92" s="72"/>
      <c r="J92" s="71"/>
      <c r="K92" s="75" t="str">
        <f aca="false">IF($A92="","",IF(AND(G92&lt;45%,H92&gt;=0.9),"A",IF(AND(G92&lt;60%,H92&gt;0.8),"B","C")))</f>
        <v/>
      </c>
      <c r="L92" s="75" t="str">
        <f aca="false">IF($A92="","",IF(AND(G92&lt;60%,H92&gt;0.8,I92="True"),"是","否"))</f>
        <v/>
      </c>
      <c r="M92" s="75" t="str">
        <f aca="false">IF($A92="","",IF(AND(D92&gt;0,E92&gt;0,D92&lt;=E92*1.02),"是","否"))</f>
        <v/>
      </c>
      <c r="N92" s="76" t="n">
        <f aca="false">IFERROR(INDEX(账户总表!$O:$O,COUNTA(账户总表!$A:$A)),0)</f>
        <v>0.35</v>
      </c>
      <c r="O92" s="77" t="n">
        <f aca="false">IFERROR(INDEX(账户总表!$B:$B,COUNTA(账户总表!$A:$A))*N92,0)</f>
        <v>7294.812</v>
      </c>
      <c r="P92" s="78" t="n">
        <f aca="false">IFERROR(O92/D92,0)</f>
        <v>0</v>
      </c>
      <c r="Q92" s="78" t="n">
        <f aca="false">IFERROR(FLOOR(P92,100),0)</f>
        <v>0</v>
      </c>
      <c r="R92" s="78" t="n">
        <f aca="false">IFERROR(CEILING(800/(100*D92),1)*100,0)</f>
        <v>0</v>
      </c>
      <c r="S92" s="79"/>
      <c r="T92" s="77" t="n">
        <f aca="false">IFERROR(S92*D92,0)</f>
        <v>0</v>
      </c>
      <c r="U92" s="76" t="n">
        <f aca="false">IFERROR(T92/INDEX(账户总表!$B:$B,COUNTA(账户总表!$A:$A)),0)</f>
        <v>0</v>
      </c>
      <c r="V92" s="76" t="n">
        <f aca="false">IFERROR(INDEX(账户总表!$E:$E,COUNTA(账户总表!$A:$A))+U92,0)</f>
        <v>0.407056412146057</v>
      </c>
      <c r="W92" s="75" t="str">
        <f aca="false">IF($A92="","",IFERROR(IF(V92&lt;=INDEX(账户总表!$N:$N,COUNTA(账户总表!$A:$A)),"是","否"),"否"))</f>
        <v/>
      </c>
      <c r="X92" s="77" t="str">
        <f aca="false">IF($A92="","",MAX(F92*0.98,D92*0.92))</f>
        <v/>
      </c>
      <c r="Y92" s="72"/>
      <c r="Z92" s="75" t="str">
        <f aca="false">IF($A92="","",IFERROR(IF(AND(T92&gt;INDEX(账户总表!$C:$C,COUNTA(账户总表!$A:$A)),L92="是"),"是","否"),"否"))</f>
        <v/>
      </c>
      <c r="AA92" s="77" t="str">
        <f aca="false">IF($A92="","",IFERROR(IF(Z92="是",MAX(0,T92-INDEX(账户总表!$C:$C,COUNTA(账户总表!$A:$A)),IF(N92&gt;0,T92/N92-INDEX(账户总表!$B:$B,COUNTA(账户总表!$A:$A)),0)),0),0))</f>
        <v/>
      </c>
      <c r="AB92" s="77" t="str">
        <f aca="false">IF($A92="","",IF(AND(Z92="是",INDEX(账户总表!$U:$U,COUNTA(账户总表!$A:$A))="是"),IF(INDEX(账户总表!$L:$L,COUNTA(账户总表!$A:$A))&gt;=4,AA92*1.5,AA92),0))</f>
        <v/>
      </c>
      <c r="AC92" s="75" t="str">
        <f aca="false">IF($A92="","",IF(AND(L92="是",Q92&gt;=R92,S92&lt;=Q92,S92&gt;=R92,W92="是",X92&gt;0,M92="是",INDEX(账户总表!$M:$M,COUNTA(账户总表!$A:$A))&lt;=2,INDEX(账户总表!$V:$V,COUNTA(账户总表!$A:$A))="是",OR(T92&lt;=INDEX(账户总表!$C:$C,COUNTA(账户总表!$A:$A)),AND(Z92="是",INDEX(账户总表!$U:$U,COUNTA(账户总表!$A:$A))="是",AB92&gt;0))),"是","否"))</f>
        <v/>
      </c>
      <c r="AD92" s="75" t="str">
        <f aca="false">IF($A92="","",IF(L92&lt;&gt;"是","信号未确认",IF(X92&lt;=0,"止损价未定义",IF(Q92&lt;R92,"100股约束不满足",IF(S92&gt;Q92,"计划股数超单股上限",IF(S92&lt;R92,"计划股数低于最小门槛",IF(W92&lt;&gt;"是","总仓位超限",IF(M92&lt;&gt;"是","追价",IF(INDEX(账户总表!$M:$M,COUNTA(账户总表!$A:$A))&gt;2,"亏钱效应偏高",IF(INDEX(账户总表!$V:$V,COUNTA(账户总表!$A:$A))&lt;&gt;"是","账户不允许新开仓",IF(AND(T92&gt;INDEX(账户总表!$C:$C,COUNTA(账户总表!$A:$A)),INDEX(账户总表!$U:$U,COUNTA(账户总表!$A:$A))&lt;&gt;"是"),"现金不足且不允许转入",IF(AND(Z92="是",AB92&lt;=0),"转入金额未满足",""))))))))))))</f>
        <v/>
      </c>
      <c r="AE92" s="71"/>
      <c r="AF92" s="1" t="str">
        <f aca="false">IF($A92="","",D92*100)</f>
        <v/>
      </c>
      <c r="AG92" s="1" t="str">
        <f aca="false">IF($A92="","",IFERROR(AF92/INDEX(账户总表!$B:$B,COUNTA(账户总表!$A:$A)),0))</f>
        <v/>
      </c>
      <c r="AH92" s="1" t="str">
        <f aca="false">IF($A92="","",IFERROR(INDEX(账户总表!$B:$B,COUNTA(账户总表!$A:$A))*INDEX(账户总表!$O:$O,COUNTA(账户总表!$A:$A)),0))</f>
        <v/>
      </c>
      <c r="AI92" s="1" t="str">
        <f aca="false">IF($A92="","",IF(AF92&gt;AH92,"超限","合规"))</f>
        <v/>
      </c>
      <c r="AJ92" s="1" t="str">
        <f aca="false">IF($A92="","",IFERROR(AF92/INDEX(账户总表!$O:$O,COUNTA(账户总表!$A:$A)),0))</f>
        <v/>
      </c>
      <c r="AK92" s="1" t="str">
        <f aca="false">IF($A92="","",IFERROR(MAX(0,AJ92-INDEX(账户总表!$B:$B,COUNTA(账户总表!$A:$A)),AF92-INDEX(账户总表!$C:$C,COUNTA(账户总表!$A:$A))),0))</f>
        <v/>
      </c>
      <c r="AL92" s="1" t="str">
        <f aca="false">IF($A92="","",IF(COUNTIF(持仓表!$C$2:$C$201,C92)&gt;0,"已有","新标的"))</f>
        <v/>
      </c>
      <c r="AM92" s="1" t="str">
        <f aca="false">IF($A92="","",IFERROR(SUMIFS(持仓表!$N$2:$N$201,持仓表!$C$2:$C$201,C92,持仓表!$A$2:$A$201,$A92),0))</f>
        <v/>
      </c>
      <c r="AN92" s="1" t="str">
        <f aca="false">IF($A92="","",IFERROR(AM92+AF92/INDEX(账户总表!$B:$B,COUNTA(账户总表!$A:$A)),0))</f>
        <v/>
      </c>
      <c r="AO92" s="1" t="str">
        <f aca="false">IF($A92="","",IF(AN92&gt;INDEX(账户总表!$O:$O,COUNTA(账户总表!$A:$A)),"超限","合规"))</f>
        <v/>
      </c>
      <c r="AP92" s="1" t="str">
        <f aca="false">IF($A92="","",IF(AND(AL92="新标的",INDEX(账户总表!$R:$R,COUNTA(账户总表!$A:$A))&gt;=INDEX(账户总表!$S:$S,COUNTA(账户总表!$A:$A))),"新增受限","可通过"))</f>
        <v/>
      </c>
      <c r="AQ92" s="1" t="str">
        <f aca="false">IF($A92="","",IF(K92&lt;&gt;"核心池","非核心池",IF(OR(AI92="超限",AO92="超限",AP92="新增受限"),"不可加仓","可加仓")))</f>
        <v/>
      </c>
      <c r="AR92" s="1" t="str">
        <f aca="false">IF($A92="","",TRIM(IF(AI92="超限","1手超单股上限；","")&amp;IF(AO92="超限","买后仓位超限；","")&amp;IF(AP92="新增受限","有效持仓数超限；","")&amp;IF(AF92&gt;INDEX(账户总表!$C:$C,COUNTA(账户总表!$A:$A)),"现金不足；","")))</f>
        <v/>
      </c>
      <c r="AS92" s="1" t="str">
        <f aca="false">IF($A92="","",IFERROR(INDEX(候选池历史!$L:$L,MATCH(1,(候选池历史!$B:$B=C92)*(候选池历史!$A:$A=$A92),0)),0))</f>
        <v/>
      </c>
      <c r="AT92" s="1" t="str">
        <f aca="false">IF($A92="","",IF(AS92&gt;=3,"★信号强化",IF(K92="核心池","核心观察","")))</f>
        <v/>
      </c>
      <c r="AU92" s="1" t="str">
        <f aca="false">IF($A92="","",IF(AK92&gt;30000-INDEX(账户总表!$B:$B,COUNTA(账户总表!$A:$A)),"不适合婴儿阶段","可纳入幼儿路径"))</f>
        <v/>
      </c>
    </row>
    <row r="93" customFormat="false" ht="15" hidden="false" customHeight="true" outlineLevel="0" collapsed="false">
      <c r="A93" s="70"/>
      <c r="B93" s="71"/>
      <c r="C93" s="72"/>
      <c r="D93" s="73"/>
      <c r="E93" s="73"/>
      <c r="F93" s="73"/>
      <c r="G93" s="74"/>
      <c r="H93" s="72"/>
      <c r="I93" s="72"/>
      <c r="J93" s="71"/>
      <c r="K93" s="75" t="str">
        <f aca="false">IF($A93="","",IF(AND(G93&lt;45%,H93&gt;=0.9),"A",IF(AND(G93&lt;60%,H93&gt;0.8),"B","C")))</f>
        <v/>
      </c>
      <c r="L93" s="75" t="str">
        <f aca="false">IF($A93="","",IF(AND(G93&lt;60%,H93&gt;0.8,I93="True"),"是","否"))</f>
        <v/>
      </c>
      <c r="M93" s="75" t="str">
        <f aca="false">IF($A93="","",IF(AND(D93&gt;0,E93&gt;0,D93&lt;=E93*1.02),"是","否"))</f>
        <v/>
      </c>
      <c r="N93" s="76" t="n">
        <f aca="false">IFERROR(INDEX(账户总表!$O:$O,COUNTA(账户总表!$A:$A)),0)</f>
        <v>0.35</v>
      </c>
      <c r="O93" s="77" t="n">
        <f aca="false">IFERROR(INDEX(账户总表!$B:$B,COUNTA(账户总表!$A:$A))*N93,0)</f>
        <v>7294.812</v>
      </c>
      <c r="P93" s="78" t="n">
        <f aca="false">IFERROR(O93/D93,0)</f>
        <v>0</v>
      </c>
      <c r="Q93" s="78" t="n">
        <f aca="false">IFERROR(FLOOR(P93,100),0)</f>
        <v>0</v>
      </c>
      <c r="R93" s="78" t="n">
        <f aca="false">IFERROR(CEILING(800/(100*D93),1)*100,0)</f>
        <v>0</v>
      </c>
      <c r="S93" s="79"/>
      <c r="T93" s="77" t="n">
        <f aca="false">IFERROR(S93*D93,0)</f>
        <v>0</v>
      </c>
      <c r="U93" s="76" t="n">
        <f aca="false">IFERROR(T93/INDEX(账户总表!$B:$B,COUNTA(账户总表!$A:$A)),0)</f>
        <v>0</v>
      </c>
      <c r="V93" s="76" t="n">
        <f aca="false">IFERROR(INDEX(账户总表!$E:$E,COUNTA(账户总表!$A:$A))+U93,0)</f>
        <v>0.407056412146057</v>
      </c>
      <c r="W93" s="75" t="str">
        <f aca="false">IF($A93="","",IFERROR(IF(V93&lt;=INDEX(账户总表!$N:$N,COUNTA(账户总表!$A:$A)),"是","否"),"否"))</f>
        <v/>
      </c>
      <c r="X93" s="77" t="str">
        <f aca="false">IF($A93="","",MAX(F93*0.98,D93*0.92))</f>
        <v/>
      </c>
      <c r="Y93" s="72"/>
      <c r="Z93" s="75" t="str">
        <f aca="false">IF($A93="","",IFERROR(IF(AND(T93&gt;INDEX(账户总表!$C:$C,COUNTA(账户总表!$A:$A)),L93="是"),"是","否"),"否"))</f>
        <v/>
      </c>
      <c r="AA93" s="77" t="str">
        <f aca="false">IF($A93="","",IFERROR(IF(Z93="是",MAX(0,T93-INDEX(账户总表!$C:$C,COUNTA(账户总表!$A:$A)),IF(N93&gt;0,T93/N93-INDEX(账户总表!$B:$B,COUNTA(账户总表!$A:$A)),0)),0),0))</f>
        <v/>
      </c>
      <c r="AB93" s="77" t="str">
        <f aca="false">IF($A93="","",IF(AND(Z93="是",INDEX(账户总表!$U:$U,COUNTA(账户总表!$A:$A))="是"),IF(INDEX(账户总表!$L:$L,COUNTA(账户总表!$A:$A))&gt;=4,AA93*1.5,AA93),0))</f>
        <v/>
      </c>
      <c r="AC93" s="75" t="str">
        <f aca="false">IF($A93="","",IF(AND(L93="是",Q93&gt;=R93,S93&lt;=Q93,S93&gt;=R93,W93="是",X93&gt;0,M93="是",INDEX(账户总表!$M:$M,COUNTA(账户总表!$A:$A))&lt;=2,INDEX(账户总表!$V:$V,COUNTA(账户总表!$A:$A))="是",OR(T93&lt;=INDEX(账户总表!$C:$C,COUNTA(账户总表!$A:$A)),AND(Z93="是",INDEX(账户总表!$U:$U,COUNTA(账户总表!$A:$A))="是",AB93&gt;0))),"是","否"))</f>
        <v/>
      </c>
      <c r="AD93" s="75" t="str">
        <f aca="false">IF($A93="","",IF(L93&lt;&gt;"是","信号未确认",IF(X93&lt;=0,"止损价未定义",IF(Q93&lt;R93,"100股约束不满足",IF(S93&gt;Q93,"计划股数超单股上限",IF(S93&lt;R93,"计划股数低于最小门槛",IF(W93&lt;&gt;"是","总仓位超限",IF(M93&lt;&gt;"是","追价",IF(INDEX(账户总表!$M:$M,COUNTA(账户总表!$A:$A))&gt;2,"亏钱效应偏高",IF(INDEX(账户总表!$V:$V,COUNTA(账户总表!$A:$A))&lt;&gt;"是","账户不允许新开仓",IF(AND(T93&gt;INDEX(账户总表!$C:$C,COUNTA(账户总表!$A:$A)),INDEX(账户总表!$U:$U,COUNTA(账户总表!$A:$A))&lt;&gt;"是"),"现金不足且不允许转入",IF(AND(Z93="是",AB93&lt;=0),"转入金额未满足",""))))))))))))</f>
        <v/>
      </c>
      <c r="AE93" s="71"/>
      <c r="AF93" s="1" t="str">
        <f aca="false">IF($A93="","",D93*100)</f>
        <v/>
      </c>
      <c r="AG93" s="1" t="str">
        <f aca="false">IF($A93="","",IFERROR(AF93/INDEX(账户总表!$B:$B,COUNTA(账户总表!$A:$A)),0))</f>
        <v/>
      </c>
      <c r="AH93" s="1" t="str">
        <f aca="false">IF($A93="","",IFERROR(INDEX(账户总表!$B:$B,COUNTA(账户总表!$A:$A))*INDEX(账户总表!$O:$O,COUNTA(账户总表!$A:$A)),0))</f>
        <v/>
      </c>
      <c r="AI93" s="1" t="str">
        <f aca="false">IF($A93="","",IF(AF93&gt;AH93,"超限","合规"))</f>
        <v/>
      </c>
      <c r="AJ93" s="1" t="str">
        <f aca="false">IF($A93="","",IFERROR(AF93/INDEX(账户总表!$O:$O,COUNTA(账户总表!$A:$A)),0))</f>
        <v/>
      </c>
      <c r="AK93" s="1" t="str">
        <f aca="false">IF($A93="","",IFERROR(MAX(0,AJ93-INDEX(账户总表!$B:$B,COUNTA(账户总表!$A:$A)),AF93-INDEX(账户总表!$C:$C,COUNTA(账户总表!$A:$A))),0))</f>
        <v/>
      </c>
      <c r="AL93" s="1" t="str">
        <f aca="false">IF($A93="","",IF(COUNTIF(持仓表!$C$2:$C$201,C93)&gt;0,"已有","新标的"))</f>
        <v/>
      </c>
      <c r="AM93" s="1" t="str">
        <f aca="false">IF($A93="","",IFERROR(SUMIFS(持仓表!$N$2:$N$201,持仓表!$C$2:$C$201,C93,持仓表!$A$2:$A$201,$A93),0))</f>
        <v/>
      </c>
      <c r="AN93" s="1" t="str">
        <f aca="false">IF($A93="","",IFERROR(AM93+AF93/INDEX(账户总表!$B:$B,COUNTA(账户总表!$A:$A)),0))</f>
        <v/>
      </c>
      <c r="AO93" s="1" t="str">
        <f aca="false">IF($A93="","",IF(AN93&gt;INDEX(账户总表!$O:$O,COUNTA(账户总表!$A:$A)),"超限","合规"))</f>
        <v/>
      </c>
      <c r="AP93" s="1" t="str">
        <f aca="false">IF($A93="","",IF(AND(AL93="新标的",INDEX(账户总表!$R:$R,COUNTA(账户总表!$A:$A))&gt;=INDEX(账户总表!$S:$S,COUNTA(账户总表!$A:$A))),"新增受限","可通过"))</f>
        <v/>
      </c>
      <c r="AQ93" s="1" t="str">
        <f aca="false">IF($A93="","",IF(K93&lt;&gt;"核心池","非核心池",IF(OR(AI93="超限",AO93="超限",AP93="新增受限"),"不可加仓","可加仓")))</f>
        <v/>
      </c>
      <c r="AR93" s="1" t="str">
        <f aca="false">IF($A93="","",TRIM(IF(AI93="超限","1手超单股上限；","")&amp;IF(AO93="超限","买后仓位超限；","")&amp;IF(AP93="新增受限","有效持仓数超限；","")&amp;IF(AF93&gt;INDEX(账户总表!$C:$C,COUNTA(账户总表!$A:$A)),"现金不足；","")))</f>
        <v/>
      </c>
      <c r="AS93" s="1" t="str">
        <f aca="false">IF($A93="","",IFERROR(INDEX(候选池历史!$L:$L,MATCH(1,(候选池历史!$B:$B=C93)*(候选池历史!$A:$A=$A93),0)),0))</f>
        <v/>
      </c>
      <c r="AT93" s="1" t="str">
        <f aca="false">IF($A93="","",IF(AS93&gt;=3,"★信号强化",IF(K93="核心池","核心观察","")))</f>
        <v/>
      </c>
      <c r="AU93" s="1" t="str">
        <f aca="false">IF($A93="","",IF(AK93&gt;30000-INDEX(账户总表!$B:$B,COUNTA(账户总表!$A:$A)),"不适合婴儿阶段","可纳入幼儿路径"))</f>
        <v/>
      </c>
    </row>
    <row r="94" customFormat="false" ht="15" hidden="false" customHeight="true" outlineLevel="0" collapsed="false">
      <c r="A94" s="70"/>
      <c r="B94" s="71"/>
      <c r="C94" s="72"/>
      <c r="D94" s="73"/>
      <c r="E94" s="73"/>
      <c r="F94" s="73"/>
      <c r="G94" s="74"/>
      <c r="H94" s="72"/>
      <c r="I94" s="72"/>
      <c r="J94" s="71"/>
      <c r="K94" s="75" t="str">
        <f aca="false">IF($A94="","",IF(AND(G94&lt;45%,H94&gt;=0.9),"A",IF(AND(G94&lt;60%,H94&gt;0.8),"B","C")))</f>
        <v/>
      </c>
      <c r="L94" s="75" t="str">
        <f aca="false">IF($A94="","",IF(AND(G94&lt;60%,H94&gt;0.8,I94="True"),"是","否"))</f>
        <v/>
      </c>
      <c r="M94" s="75" t="str">
        <f aca="false">IF($A94="","",IF(AND(D94&gt;0,E94&gt;0,D94&lt;=E94*1.02),"是","否"))</f>
        <v/>
      </c>
      <c r="N94" s="76" t="n">
        <f aca="false">IFERROR(INDEX(账户总表!$O:$O,COUNTA(账户总表!$A:$A)),0)</f>
        <v>0.35</v>
      </c>
      <c r="O94" s="77" t="n">
        <f aca="false">IFERROR(INDEX(账户总表!$B:$B,COUNTA(账户总表!$A:$A))*N94,0)</f>
        <v>7294.812</v>
      </c>
      <c r="P94" s="78" t="n">
        <f aca="false">IFERROR(O94/D94,0)</f>
        <v>0</v>
      </c>
      <c r="Q94" s="78" t="n">
        <f aca="false">IFERROR(FLOOR(P94,100),0)</f>
        <v>0</v>
      </c>
      <c r="R94" s="78" t="n">
        <f aca="false">IFERROR(CEILING(800/(100*D94),1)*100,0)</f>
        <v>0</v>
      </c>
      <c r="S94" s="79"/>
      <c r="T94" s="77" t="n">
        <f aca="false">IFERROR(S94*D94,0)</f>
        <v>0</v>
      </c>
      <c r="U94" s="76" t="n">
        <f aca="false">IFERROR(T94/INDEX(账户总表!$B:$B,COUNTA(账户总表!$A:$A)),0)</f>
        <v>0</v>
      </c>
      <c r="V94" s="76" t="n">
        <f aca="false">IFERROR(INDEX(账户总表!$E:$E,COUNTA(账户总表!$A:$A))+U94,0)</f>
        <v>0.407056412146057</v>
      </c>
      <c r="W94" s="75" t="str">
        <f aca="false">IF($A94="","",IFERROR(IF(V94&lt;=INDEX(账户总表!$N:$N,COUNTA(账户总表!$A:$A)),"是","否"),"否"))</f>
        <v/>
      </c>
      <c r="X94" s="77" t="str">
        <f aca="false">IF($A94="","",MAX(F94*0.98,D94*0.92))</f>
        <v/>
      </c>
      <c r="Y94" s="72"/>
      <c r="Z94" s="75" t="str">
        <f aca="false">IF($A94="","",IFERROR(IF(AND(T94&gt;INDEX(账户总表!$C:$C,COUNTA(账户总表!$A:$A)),L94="是"),"是","否"),"否"))</f>
        <v/>
      </c>
      <c r="AA94" s="77" t="str">
        <f aca="false">IF($A94="","",IFERROR(IF(Z94="是",MAX(0,T94-INDEX(账户总表!$C:$C,COUNTA(账户总表!$A:$A)),IF(N94&gt;0,T94/N94-INDEX(账户总表!$B:$B,COUNTA(账户总表!$A:$A)),0)),0),0))</f>
        <v/>
      </c>
      <c r="AB94" s="77" t="str">
        <f aca="false">IF($A94="","",IF(AND(Z94="是",INDEX(账户总表!$U:$U,COUNTA(账户总表!$A:$A))="是"),IF(INDEX(账户总表!$L:$L,COUNTA(账户总表!$A:$A))&gt;=4,AA94*1.5,AA94),0))</f>
        <v/>
      </c>
      <c r="AC94" s="75" t="str">
        <f aca="false">IF($A94="","",IF(AND(L94="是",Q94&gt;=R94,S94&lt;=Q94,S94&gt;=R94,W94="是",X94&gt;0,M94="是",INDEX(账户总表!$M:$M,COUNTA(账户总表!$A:$A))&lt;=2,INDEX(账户总表!$V:$V,COUNTA(账户总表!$A:$A))="是",OR(T94&lt;=INDEX(账户总表!$C:$C,COUNTA(账户总表!$A:$A)),AND(Z94="是",INDEX(账户总表!$U:$U,COUNTA(账户总表!$A:$A))="是",AB94&gt;0))),"是","否"))</f>
        <v/>
      </c>
      <c r="AD94" s="75" t="str">
        <f aca="false">IF($A94="","",IF(L94&lt;&gt;"是","信号未确认",IF(X94&lt;=0,"止损价未定义",IF(Q94&lt;R94,"100股约束不满足",IF(S94&gt;Q94,"计划股数超单股上限",IF(S94&lt;R94,"计划股数低于最小门槛",IF(W94&lt;&gt;"是","总仓位超限",IF(M94&lt;&gt;"是","追价",IF(INDEX(账户总表!$M:$M,COUNTA(账户总表!$A:$A))&gt;2,"亏钱效应偏高",IF(INDEX(账户总表!$V:$V,COUNTA(账户总表!$A:$A))&lt;&gt;"是","账户不允许新开仓",IF(AND(T94&gt;INDEX(账户总表!$C:$C,COUNTA(账户总表!$A:$A)),INDEX(账户总表!$U:$U,COUNTA(账户总表!$A:$A))&lt;&gt;"是"),"现金不足且不允许转入",IF(AND(Z94="是",AB94&lt;=0),"转入金额未满足",""))))))))))))</f>
        <v/>
      </c>
      <c r="AE94" s="71"/>
      <c r="AF94" s="1" t="str">
        <f aca="false">IF($A94="","",D94*100)</f>
        <v/>
      </c>
      <c r="AG94" s="1" t="str">
        <f aca="false">IF($A94="","",IFERROR(AF94/INDEX(账户总表!$B:$B,COUNTA(账户总表!$A:$A)),0))</f>
        <v/>
      </c>
      <c r="AH94" s="1" t="str">
        <f aca="false">IF($A94="","",IFERROR(INDEX(账户总表!$B:$B,COUNTA(账户总表!$A:$A))*INDEX(账户总表!$O:$O,COUNTA(账户总表!$A:$A)),0))</f>
        <v/>
      </c>
      <c r="AI94" s="1" t="str">
        <f aca="false">IF($A94="","",IF(AF94&gt;AH94,"超限","合规"))</f>
        <v/>
      </c>
      <c r="AJ94" s="1" t="str">
        <f aca="false">IF($A94="","",IFERROR(AF94/INDEX(账户总表!$O:$O,COUNTA(账户总表!$A:$A)),0))</f>
        <v/>
      </c>
      <c r="AK94" s="1" t="str">
        <f aca="false">IF($A94="","",IFERROR(MAX(0,AJ94-INDEX(账户总表!$B:$B,COUNTA(账户总表!$A:$A)),AF94-INDEX(账户总表!$C:$C,COUNTA(账户总表!$A:$A))),0))</f>
        <v/>
      </c>
      <c r="AL94" s="1" t="str">
        <f aca="false">IF($A94="","",IF(COUNTIF(持仓表!$C$2:$C$201,C94)&gt;0,"已有","新标的"))</f>
        <v/>
      </c>
      <c r="AM94" s="1" t="str">
        <f aca="false">IF($A94="","",IFERROR(SUMIFS(持仓表!$N$2:$N$201,持仓表!$C$2:$C$201,C94,持仓表!$A$2:$A$201,$A94),0))</f>
        <v/>
      </c>
      <c r="AN94" s="1" t="str">
        <f aca="false">IF($A94="","",IFERROR(AM94+AF94/INDEX(账户总表!$B:$B,COUNTA(账户总表!$A:$A)),0))</f>
        <v/>
      </c>
      <c r="AO94" s="1" t="str">
        <f aca="false">IF($A94="","",IF(AN94&gt;INDEX(账户总表!$O:$O,COUNTA(账户总表!$A:$A)),"超限","合规"))</f>
        <v/>
      </c>
      <c r="AP94" s="1" t="str">
        <f aca="false">IF($A94="","",IF(AND(AL94="新标的",INDEX(账户总表!$R:$R,COUNTA(账户总表!$A:$A))&gt;=INDEX(账户总表!$S:$S,COUNTA(账户总表!$A:$A))),"新增受限","可通过"))</f>
        <v/>
      </c>
      <c r="AQ94" s="1" t="str">
        <f aca="false">IF($A94="","",IF(K94&lt;&gt;"核心池","非核心池",IF(OR(AI94="超限",AO94="超限",AP94="新增受限"),"不可加仓","可加仓")))</f>
        <v/>
      </c>
      <c r="AR94" s="1" t="str">
        <f aca="false">IF($A94="","",TRIM(IF(AI94="超限","1手超单股上限；","")&amp;IF(AO94="超限","买后仓位超限；","")&amp;IF(AP94="新增受限","有效持仓数超限；","")&amp;IF(AF94&gt;INDEX(账户总表!$C:$C,COUNTA(账户总表!$A:$A)),"现金不足；","")))</f>
        <v/>
      </c>
      <c r="AS94" s="1" t="str">
        <f aca="false">IF($A94="","",IFERROR(INDEX(候选池历史!$L:$L,MATCH(1,(候选池历史!$B:$B=C94)*(候选池历史!$A:$A=$A94),0)),0))</f>
        <v/>
      </c>
      <c r="AT94" s="1" t="str">
        <f aca="false">IF($A94="","",IF(AS94&gt;=3,"★信号强化",IF(K94="核心池","核心观察","")))</f>
        <v/>
      </c>
      <c r="AU94" s="1" t="str">
        <f aca="false">IF($A94="","",IF(AK94&gt;30000-INDEX(账户总表!$B:$B,COUNTA(账户总表!$A:$A)),"不适合婴儿阶段","可纳入幼儿路径"))</f>
        <v/>
      </c>
    </row>
    <row r="95" customFormat="false" ht="15" hidden="false" customHeight="true" outlineLevel="0" collapsed="false">
      <c r="A95" s="70"/>
      <c r="B95" s="71"/>
      <c r="C95" s="72"/>
      <c r="D95" s="73"/>
      <c r="E95" s="73"/>
      <c r="F95" s="73"/>
      <c r="G95" s="74"/>
      <c r="H95" s="72"/>
      <c r="I95" s="72"/>
      <c r="J95" s="71"/>
      <c r="K95" s="75" t="str">
        <f aca="false">IF($A95="","",IF(AND(G95&lt;45%,H95&gt;=0.9),"A",IF(AND(G95&lt;60%,H95&gt;0.8),"B","C")))</f>
        <v/>
      </c>
      <c r="L95" s="75" t="str">
        <f aca="false">IF($A95="","",IF(AND(G95&lt;60%,H95&gt;0.8,I95="True"),"是","否"))</f>
        <v/>
      </c>
      <c r="M95" s="75" t="str">
        <f aca="false">IF($A95="","",IF(AND(D95&gt;0,E95&gt;0,D95&lt;=E95*1.02),"是","否"))</f>
        <v/>
      </c>
      <c r="N95" s="76" t="n">
        <f aca="false">IFERROR(INDEX(账户总表!$O:$O,COUNTA(账户总表!$A:$A)),0)</f>
        <v>0.35</v>
      </c>
      <c r="O95" s="77" t="n">
        <f aca="false">IFERROR(INDEX(账户总表!$B:$B,COUNTA(账户总表!$A:$A))*N95,0)</f>
        <v>7294.812</v>
      </c>
      <c r="P95" s="78" t="n">
        <f aca="false">IFERROR(O95/D95,0)</f>
        <v>0</v>
      </c>
      <c r="Q95" s="78" t="n">
        <f aca="false">IFERROR(FLOOR(P95,100),0)</f>
        <v>0</v>
      </c>
      <c r="R95" s="78" t="n">
        <f aca="false">IFERROR(CEILING(800/(100*D95),1)*100,0)</f>
        <v>0</v>
      </c>
      <c r="S95" s="79"/>
      <c r="T95" s="77" t="n">
        <f aca="false">IFERROR(S95*D95,0)</f>
        <v>0</v>
      </c>
      <c r="U95" s="76" t="n">
        <f aca="false">IFERROR(T95/INDEX(账户总表!$B:$B,COUNTA(账户总表!$A:$A)),0)</f>
        <v>0</v>
      </c>
      <c r="V95" s="76" t="n">
        <f aca="false">IFERROR(INDEX(账户总表!$E:$E,COUNTA(账户总表!$A:$A))+U95,0)</f>
        <v>0.407056412146057</v>
      </c>
      <c r="W95" s="75" t="str">
        <f aca="false">IF($A95="","",IFERROR(IF(V95&lt;=INDEX(账户总表!$N:$N,COUNTA(账户总表!$A:$A)),"是","否"),"否"))</f>
        <v/>
      </c>
      <c r="X95" s="77" t="str">
        <f aca="false">IF($A95="","",MAX(F95*0.98,D95*0.92))</f>
        <v/>
      </c>
      <c r="Y95" s="72"/>
      <c r="Z95" s="75" t="str">
        <f aca="false">IF($A95="","",IFERROR(IF(AND(T95&gt;INDEX(账户总表!$C:$C,COUNTA(账户总表!$A:$A)),L95="是"),"是","否"),"否"))</f>
        <v/>
      </c>
      <c r="AA95" s="77" t="str">
        <f aca="false">IF($A95="","",IFERROR(IF(Z95="是",MAX(0,T95-INDEX(账户总表!$C:$C,COUNTA(账户总表!$A:$A)),IF(N95&gt;0,T95/N95-INDEX(账户总表!$B:$B,COUNTA(账户总表!$A:$A)),0)),0),0))</f>
        <v/>
      </c>
      <c r="AB95" s="77" t="str">
        <f aca="false">IF($A95="","",IF(AND(Z95="是",INDEX(账户总表!$U:$U,COUNTA(账户总表!$A:$A))="是"),IF(INDEX(账户总表!$L:$L,COUNTA(账户总表!$A:$A))&gt;=4,AA95*1.5,AA95),0))</f>
        <v/>
      </c>
      <c r="AC95" s="75" t="str">
        <f aca="false">IF($A95="","",IF(AND(L95="是",Q95&gt;=R95,S95&lt;=Q95,S95&gt;=R95,W95="是",X95&gt;0,M95="是",INDEX(账户总表!$M:$M,COUNTA(账户总表!$A:$A))&lt;=2,INDEX(账户总表!$V:$V,COUNTA(账户总表!$A:$A))="是",OR(T95&lt;=INDEX(账户总表!$C:$C,COUNTA(账户总表!$A:$A)),AND(Z95="是",INDEX(账户总表!$U:$U,COUNTA(账户总表!$A:$A))="是",AB95&gt;0))),"是","否"))</f>
        <v/>
      </c>
      <c r="AD95" s="75" t="str">
        <f aca="false">IF($A95="","",IF(L95&lt;&gt;"是","信号未确认",IF(X95&lt;=0,"止损价未定义",IF(Q95&lt;R95,"100股约束不满足",IF(S95&gt;Q95,"计划股数超单股上限",IF(S95&lt;R95,"计划股数低于最小门槛",IF(W95&lt;&gt;"是","总仓位超限",IF(M95&lt;&gt;"是","追价",IF(INDEX(账户总表!$M:$M,COUNTA(账户总表!$A:$A))&gt;2,"亏钱效应偏高",IF(INDEX(账户总表!$V:$V,COUNTA(账户总表!$A:$A))&lt;&gt;"是","账户不允许新开仓",IF(AND(T95&gt;INDEX(账户总表!$C:$C,COUNTA(账户总表!$A:$A)),INDEX(账户总表!$U:$U,COUNTA(账户总表!$A:$A))&lt;&gt;"是"),"现金不足且不允许转入",IF(AND(Z95="是",AB95&lt;=0),"转入金额未满足",""))))))))))))</f>
        <v/>
      </c>
      <c r="AE95" s="71"/>
      <c r="AF95" s="1" t="str">
        <f aca="false">IF($A95="","",D95*100)</f>
        <v/>
      </c>
      <c r="AG95" s="1" t="str">
        <f aca="false">IF($A95="","",IFERROR(AF95/INDEX(账户总表!$B:$B,COUNTA(账户总表!$A:$A)),0))</f>
        <v/>
      </c>
      <c r="AH95" s="1" t="str">
        <f aca="false">IF($A95="","",IFERROR(INDEX(账户总表!$B:$B,COUNTA(账户总表!$A:$A))*INDEX(账户总表!$O:$O,COUNTA(账户总表!$A:$A)),0))</f>
        <v/>
      </c>
      <c r="AI95" s="1" t="str">
        <f aca="false">IF($A95="","",IF(AF95&gt;AH95,"超限","合规"))</f>
        <v/>
      </c>
      <c r="AJ95" s="1" t="str">
        <f aca="false">IF($A95="","",IFERROR(AF95/INDEX(账户总表!$O:$O,COUNTA(账户总表!$A:$A)),0))</f>
        <v/>
      </c>
      <c r="AK95" s="1" t="str">
        <f aca="false">IF($A95="","",IFERROR(MAX(0,AJ95-INDEX(账户总表!$B:$B,COUNTA(账户总表!$A:$A)),AF95-INDEX(账户总表!$C:$C,COUNTA(账户总表!$A:$A))),0))</f>
        <v/>
      </c>
      <c r="AL95" s="1" t="str">
        <f aca="false">IF($A95="","",IF(COUNTIF(持仓表!$C$2:$C$201,C95)&gt;0,"已有","新标的"))</f>
        <v/>
      </c>
      <c r="AM95" s="1" t="str">
        <f aca="false">IF($A95="","",IFERROR(SUMIFS(持仓表!$N$2:$N$201,持仓表!$C$2:$C$201,C95,持仓表!$A$2:$A$201,$A95),0))</f>
        <v/>
      </c>
      <c r="AN95" s="1" t="str">
        <f aca="false">IF($A95="","",IFERROR(AM95+AF95/INDEX(账户总表!$B:$B,COUNTA(账户总表!$A:$A)),0))</f>
        <v/>
      </c>
      <c r="AO95" s="1" t="str">
        <f aca="false">IF($A95="","",IF(AN95&gt;INDEX(账户总表!$O:$O,COUNTA(账户总表!$A:$A)),"超限","合规"))</f>
        <v/>
      </c>
      <c r="AP95" s="1" t="str">
        <f aca="false">IF($A95="","",IF(AND(AL95="新标的",INDEX(账户总表!$R:$R,COUNTA(账户总表!$A:$A))&gt;=INDEX(账户总表!$S:$S,COUNTA(账户总表!$A:$A))),"新增受限","可通过"))</f>
        <v/>
      </c>
      <c r="AQ95" s="1" t="str">
        <f aca="false">IF($A95="","",IF(K95&lt;&gt;"核心池","非核心池",IF(OR(AI95="超限",AO95="超限",AP95="新增受限"),"不可加仓","可加仓")))</f>
        <v/>
      </c>
      <c r="AR95" s="1" t="str">
        <f aca="false">IF($A95="","",TRIM(IF(AI95="超限","1手超单股上限；","")&amp;IF(AO95="超限","买后仓位超限；","")&amp;IF(AP95="新增受限","有效持仓数超限；","")&amp;IF(AF95&gt;INDEX(账户总表!$C:$C,COUNTA(账户总表!$A:$A)),"现金不足；","")))</f>
        <v/>
      </c>
      <c r="AS95" s="1" t="str">
        <f aca="false">IF($A95="","",IFERROR(INDEX(候选池历史!$L:$L,MATCH(1,(候选池历史!$B:$B=C95)*(候选池历史!$A:$A=$A95),0)),0))</f>
        <v/>
      </c>
      <c r="AT95" s="1" t="str">
        <f aca="false">IF($A95="","",IF(AS95&gt;=3,"★信号强化",IF(K95="核心池","核心观察","")))</f>
        <v/>
      </c>
      <c r="AU95" s="1" t="str">
        <f aca="false">IF($A95="","",IF(AK95&gt;30000-INDEX(账户总表!$B:$B,COUNTA(账户总表!$A:$A)),"不适合婴儿阶段","可纳入幼儿路径"))</f>
        <v/>
      </c>
    </row>
    <row r="96" customFormat="false" ht="15" hidden="false" customHeight="true" outlineLevel="0" collapsed="false">
      <c r="A96" s="70"/>
      <c r="B96" s="71"/>
      <c r="C96" s="72"/>
      <c r="D96" s="73"/>
      <c r="E96" s="73"/>
      <c r="F96" s="73"/>
      <c r="G96" s="74"/>
      <c r="H96" s="72"/>
      <c r="I96" s="72"/>
      <c r="J96" s="71"/>
      <c r="K96" s="75" t="str">
        <f aca="false">IF($A96="","",IF(AND(G96&lt;45%,H96&gt;=0.9),"A",IF(AND(G96&lt;60%,H96&gt;0.8),"B","C")))</f>
        <v/>
      </c>
      <c r="L96" s="75" t="str">
        <f aca="false">IF($A96="","",IF(AND(G96&lt;60%,H96&gt;0.8,I96="True"),"是","否"))</f>
        <v/>
      </c>
      <c r="M96" s="75" t="str">
        <f aca="false">IF($A96="","",IF(AND(D96&gt;0,E96&gt;0,D96&lt;=E96*1.02),"是","否"))</f>
        <v/>
      </c>
      <c r="N96" s="76" t="n">
        <f aca="false">IFERROR(INDEX(账户总表!$O:$O,COUNTA(账户总表!$A:$A)),0)</f>
        <v>0.35</v>
      </c>
      <c r="O96" s="77" t="n">
        <f aca="false">IFERROR(INDEX(账户总表!$B:$B,COUNTA(账户总表!$A:$A))*N96,0)</f>
        <v>7294.812</v>
      </c>
      <c r="P96" s="78" t="n">
        <f aca="false">IFERROR(O96/D96,0)</f>
        <v>0</v>
      </c>
      <c r="Q96" s="78" t="n">
        <f aca="false">IFERROR(FLOOR(P96,100),0)</f>
        <v>0</v>
      </c>
      <c r="R96" s="78" t="n">
        <f aca="false">IFERROR(CEILING(800/(100*D96),1)*100,0)</f>
        <v>0</v>
      </c>
      <c r="S96" s="79"/>
      <c r="T96" s="77" t="n">
        <f aca="false">IFERROR(S96*D96,0)</f>
        <v>0</v>
      </c>
      <c r="U96" s="76" t="n">
        <f aca="false">IFERROR(T96/INDEX(账户总表!$B:$B,COUNTA(账户总表!$A:$A)),0)</f>
        <v>0</v>
      </c>
      <c r="V96" s="76" t="n">
        <f aca="false">IFERROR(INDEX(账户总表!$E:$E,COUNTA(账户总表!$A:$A))+U96,0)</f>
        <v>0.407056412146057</v>
      </c>
      <c r="W96" s="75" t="str">
        <f aca="false">IF($A96="","",IFERROR(IF(V96&lt;=INDEX(账户总表!$N:$N,COUNTA(账户总表!$A:$A)),"是","否"),"否"))</f>
        <v/>
      </c>
      <c r="X96" s="77" t="str">
        <f aca="false">IF($A96="","",MAX(F96*0.98,D96*0.92))</f>
        <v/>
      </c>
      <c r="Y96" s="72"/>
      <c r="Z96" s="75" t="str">
        <f aca="false">IF($A96="","",IFERROR(IF(AND(T96&gt;INDEX(账户总表!$C:$C,COUNTA(账户总表!$A:$A)),L96="是"),"是","否"),"否"))</f>
        <v/>
      </c>
      <c r="AA96" s="77" t="str">
        <f aca="false">IF($A96="","",IFERROR(IF(Z96="是",MAX(0,T96-INDEX(账户总表!$C:$C,COUNTA(账户总表!$A:$A)),IF(N96&gt;0,T96/N96-INDEX(账户总表!$B:$B,COUNTA(账户总表!$A:$A)),0)),0),0))</f>
        <v/>
      </c>
      <c r="AB96" s="77" t="str">
        <f aca="false">IF($A96="","",IF(AND(Z96="是",INDEX(账户总表!$U:$U,COUNTA(账户总表!$A:$A))="是"),IF(INDEX(账户总表!$L:$L,COUNTA(账户总表!$A:$A))&gt;=4,AA96*1.5,AA96),0))</f>
        <v/>
      </c>
      <c r="AC96" s="75" t="str">
        <f aca="false">IF($A96="","",IF(AND(L96="是",Q96&gt;=R96,S96&lt;=Q96,S96&gt;=R96,W96="是",X96&gt;0,M96="是",INDEX(账户总表!$M:$M,COUNTA(账户总表!$A:$A))&lt;=2,INDEX(账户总表!$V:$V,COUNTA(账户总表!$A:$A))="是",OR(T96&lt;=INDEX(账户总表!$C:$C,COUNTA(账户总表!$A:$A)),AND(Z96="是",INDEX(账户总表!$U:$U,COUNTA(账户总表!$A:$A))="是",AB96&gt;0))),"是","否"))</f>
        <v/>
      </c>
      <c r="AD96" s="75" t="str">
        <f aca="false">IF($A96="","",IF(L96&lt;&gt;"是","信号未确认",IF(X96&lt;=0,"止损价未定义",IF(Q96&lt;R96,"100股约束不满足",IF(S96&gt;Q96,"计划股数超单股上限",IF(S96&lt;R96,"计划股数低于最小门槛",IF(W96&lt;&gt;"是","总仓位超限",IF(M96&lt;&gt;"是","追价",IF(INDEX(账户总表!$M:$M,COUNTA(账户总表!$A:$A))&gt;2,"亏钱效应偏高",IF(INDEX(账户总表!$V:$V,COUNTA(账户总表!$A:$A))&lt;&gt;"是","账户不允许新开仓",IF(AND(T96&gt;INDEX(账户总表!$C:$C,COUNTA(账户总表!$A:$A)),INDEX(账户总表!$U:$U,COUNTA(账户总表!$A:$A))&lt;&gt;"是"),"现金不足且不允许转入",IF(AND(Z96="是",AB96&lt;=0),"转入金额未满足",""))))))))))))</f>
        <v/>
      </c>
      <c r="AE96" s="71"/>
      <c r="AF96" s="1" t="str">
        <f aca="false">IF($A96="","",D96*100)</f>
        <v/>
      </c>
      <c r="AG96" s="1" t="str">
        <f aca="false">IF($A96="","",IFERROR(AF96/INDEX(账户总表!$B:$B,COUNTA(账户总表!$A:$A)),0))</f>
        <v/>
      </c>
      <c r="AH96" s="1" t="str">
        <f aca="false">IF($A96="","",IFERROR(INDEX(账户总表!$B:$B,COUNTA(账户总表!$A:$A))*INDEX(账户总表!$O:$O,COUNTA(账户总表!$A:$A)),0))</f>
        <v/>
      </c>
      <c r="AI96" s="1" t="str">
        <f aca="false">IF($A96="","",IF(AF96&gt;AH96,"超限","合规"))</f>
        <v/>
      </c>
      <c r="AJ96" s="1" t="str">
        <f aca="false">IF($A96="","",IFERROR(AF96/INDEX(账户总表!$O:$O,COUNTA(账户总表!$A:$A)),0))</f>
        <v/>
      </c>
      <c r="AK96" s="1" t="str">
        <f aca="false">IF($A96="","",IFERROR(MAX(0,AJ96-INDEX(账户总表!$B:$B,COUNTA(账户总表!$A:$A)),AF96-INDEX(账户总表!$C:$C,COUNTA(账户总表!$A:$A))),0))</f>
        <v/>
      </c>
      <c r="AL96" s="1" t="str">
        <f aca="false">IF($A96="","",IF(COUNTIF(持仓表!$C$2:$C$201,C96)&gt;0,"已有","新标的"))</f>
        <v/>
      </c>
      <c r="AM96" s="1" t="str">
        <f aca="false">IF($A96="","",IFERROR(SUMIFS(持仓表!$N$2:$N$201,持仓表!$C$2:$C$201,C96,持仓表!$A$2:$A$201,$A96),0))</f>
        <v/>
      </c>
      <c r="AN96" s="1" t="str">
        <f aca="false">IF($A96="","",IFERROR(AM96+AF96/INDEX(账户总表!$B:$B,COUNTA(账户总表!$A:$A)),0))</f>
        <v/>
      </c>
      <c r="AO96" s="1" t="str">
        <f aca="false">IF($A96="","",IF(AN96&gt;INDEX(账户总表!$O:$O,COUNTA(账户总表!$A:$A)),"超限","合规"))</f>
        <v/>
      </c>
      <c r="AP96" s="1" t="str">
        <f aca="false">IF($A96="","",IF(AND(AL96="新标的",INDEX(账户总表!$R:$R,COUNTA(账户总表!$A:$A))&gt;=INDEX(账户总表!$S:$S,COUNTA(账户总表!$A:$A))),"新增受限","可通过"))</f>
        <v/>
      </c>
      <c r="AQ96" s="1" t="str">
        <f aca="false">IF($A96="","",IF(K96&lt;&gt;"核心池","非核心池",IF(OR(AI96="超限",AO96="超限",AP96="新增受限"),"不可加仓","可加仓")))</f>
        <v/>
      </c>
      <c r="AR96" s="1" t="str">
        <f aca="false">IF($A96="","",TRIM(IF(AI96="超限","1手超单股上限；","")&amp;IF(AO96="超限","买后仓位超限；","")&amp;IF(AP96="新增受限","有效持仓数超限；","")&amp;IF(AF96&gt;INDEX(账户总表!$C:$C,COUNTA(账户总表!$A:$A)),"现金不足；","")))</f>
        <v/>
      </c>
      <c r="AS96" s="1" t="str">
        <f aca="false">IF($A96="","",IFERROR(INDEX(候选池历史!$L:$L,MATCH(1,(候选池历史!$B:$B=C96)*(候选池历史!$A:$A=$A96),0)),0))</f>
        <v/>
      </c>
      <c r="AT96" s="1" t="str">
        <f aca="false">IF($A96="","",IF(AS96&gt;=3,"★信号强化",IF(K96="核心池","核心观察","")))</f>
        <v/>
      </c>
      <c r="AU96" s="1" t="str">
        <f aca="false">IF($A96="","",IF(AK96&gt;30000-INDEX(账户总表!$B:$B,COUNTA(账户总表!$A:$A)),"不适合婴儿阶段","可纳入幼儿路径"))</f>
        <v/>
      </c>
    </row>
    <row r="97" customFormat="false" ht="15" hidden="false" customHeight="true" outlineLevel="0" collapsed="false">
      <c r="A97" s="70"/>
      <c r="B97" s="71"/>
      <c r="C97" s="72"/>
      <c r="D97" s="73"/>
      <c r="E97" s="73"/>
      <c r="F97" s="73"/>
      <c r="G97" s="74"/>
      <c r="H97" s="72"/>
      <c r="I97" s="72"/>
      <c r="J97" s="71"/>
      <c r="K97" s="75" t="str">
        <f aca="false">IF($A97="","",IF(AND(G97&lt;45%,H97&gt;=0.9),"A",IF(AND(G97&lt;60%,H97&gt;0.8),"B","C")))</f>
        <v/>
      </c>
      <c r="L97" s="75" t="str">
        <f aca="false">IF($A97="","",IF(AND(G97&lt;60%,H97&gt;0.8,I97="True"),"是","否"))</f>
        <v/>
      </c>
      <c r="M97" s="75" t="str">
        <f aca="false">IF($A97="","",IF(AND(D97&gt;0,E97&gt;0,D97&lt;=E97*1.02),"是","否"))</f>
        <v/>
      </c>
      <c r="N97" s="76" t="n">
        <f aca="false">IFERROR(INDEX(账户总表!$O:$O,COUNTA(账户总表!$A:$A)),0)</f>
        <v>0.35</v>
      </c>
      <c r="O97" s="77" t="n">
        <f aca="false">IFERROR(INDEX(账户总表!$B:$B,COUNTA(账户总表!$A:$A))*N97,0)</f>
        <v>7294.812</v>
      </c>
      <c r="P97" s="78" t="n">
        <f aca="false">IFERROR(O97/D97,0)</f>
        <v>0</v>
      </c>
      <c r="Q97" s="78" t="n">
        <f aca="false">IFERROR(FLOOR(P97,100),0)</f>
        <v>0</v>
      </c>
      <c r="R97" s="78" t="n">
        <f aca="false">IFERROR(CEILING(800/(100*D97),1)*100,0)</f>
        <v>0</v>
      </c>
      <c r="S97" s="79"/>
      <c r="T97" s="77" t="n">
        <f aca="false">IFERROR(S97*D97,0)</f>
        <v>0</v>
      </c>
      <c r="U97" s="76" t="n">
        <f aca="false">IFERROR(T97/INDEX(账户总表!$B:$B,COUNTA(账户总表!$A:$A)),0)</f>
        <v>0</v>
      </c>
      <c r="V97" s="76" t="n">
        <f aca="false">IFERROR(INDEX(账户总表!$E:$E,COUNTA(账户总表!$A:$A))+U97,0)</f>
        <v>0.407056412146057</v>
      </c>
      <c r="W97" s="75" t="str">
        <f aca="false">IF($A97="","",IFERROR(IF(V97&lt;=INDEX(账户总表!$N:$N,COUNTA(账户总表!$A:$A)),"是","否"),"否"))</f>
        <v/>
      </c>
      <c r="X97" s="77" t="str">
        <f aca="false">IF($A97="","",MAX(F97*0.98,D97*0.92))</f>
        <v/>
      </c>
      <c r="Y97" s="72"/>
      <c r="Z97" s="75" t="str">
        <f aca="false">IF($A97="","",IFERROR(IF(AND(T97&gt;INDEX(账户总表!$C:$C,COUNTA(账户总表!$A:$A)),L97="是"),"是","否"),"否"))</f>
        <v/>
      </c>
      <c r="AA97" s="77" t="str">
        <f aca="false">IF($A97="","",IFERROR(IF(Z97="是",MAX(0,T97-INDEX(账户总表!$C:$C,COUNTA(账户总表!$A:$A)),IF(N97&gt;0,T97/N97-INDEX(账户总表!$B:$B,COUNTA(账户总表!$A:$A)),0)),0),0))</f>
        <v/>
      </c>
      <c r="AB97" s="77" t="str">
        <f aca="false">IF($A97="","",IF(AND(Z97="是",INDEX(账户总表!$U:$U,COUNTA(账户总表!$A:$A))="是"),IF(INDEX(账户总表!$L:$L,COUNTA(账户总表!$A:$A))&gt;=4,AA97*1.5,AA97),0))</f>
        <v/>
      </c>
      <c r="AC97" s="75" t="str">
        <f aca="false">IF($A97="","",IF(AND(L97="是",Q97&gt;=R97,S97&lt;=Q97,S97&gt;=R97,W97="是",X97&gt;0,M97="是",INDEX(账户总表!$M:$M,COUNTA(账户总表!$A:$A))&lt;=2,INDEX(账户总表!$V:$V,COUNTA(账户总表!$A:$A))="是",OR(T97&lt;=INDEX(账户总表!$C:$C,COUNTA(账户总表!$A:$A)),AND(Z97="是",INDEX(账户总表!$U:$U,COUNTA(账户总表!$A:$A))="是",AB97&gt;0))),"是","否"))</f>
        <v/>
      </c>
      <c r="AD97" s="75" t="str">
        <f aca="false">IF($A97="","",IF(L97&lt;&gt;"是","信号未确认",IF(X97&lt;=0,"止损价未定义",IF(Q97&lt;R97,"100股约束不满足",IF(S97&gt;Q97,"计划股数超单股上限",IF(S97&lt;R97,"计划股数低于最小门槛",IF(W97&lt;&gt;"是","总仓位超限",IF(M97&lt;&gt;"是","追价",IF(INDEX(账户总表!$M:$M,COUNTA(账户总表!$A:$A))&gt;2,"亏钱效应偏高",IF(INDEX(账户总表!$V:$V,COUNTA(账户总表!$A:$A))&lt;&gt;"是","账户不允许新开仓",IF(AND(T97&gt;INDEX(账户总表!$C:$C,COUNTA(账户总表!$A:$A)),INDEX(账户总表!$U:$U,COUNTA(账户总表!$A:$A))&lt;&gt;"是"),"现金不足且不允许转入",IF(AND(Z97="是",AB97&lt;=0),"转入金额未满足",""))))))))))))</f>
        <v/>
      </c>
      <c r="AE97" s="71"/>
      <c r="AF97" s="1" t="str">
        <f aca="false">IF($A97="","",D97*100)</f>
        <v/>
      </c>
      <c r="AG97" s="1" t="str">
        <f aca="false">IF($A97="","",IFERROR(AF97/INDEX(账户总表!$B:$B,COUNTA(账户总表!$A:$A)),0))</f>
        <v/>
      </c>
      <c r="AH97" s="1" t="str">
        <f aca="false">IF($A97="","",IFERROR(INDEX(账户总表!$B:$B,COUNTA(账户总表!$A:$A))*INDEX(账户总表!$O:$O,COUNTA(账户总表!$A:$A)),0))</f>
        <v/>
      </c>
      <c r="AI97" s="1" t="str">
        <f aca="false">IF($A97="","",IF(AF97&gt;AH97,"超限","合规"))</f>
        <v/>
      </c>
      <c r="AJ97" s="1" t="str">
        <f aca="false">IF($A97="","",IFERROR(AF97/INDEX(账户总表!$O:$O,COUNTA(账户总表!$A:$A)),0))</f>
        <v/>
      </c>
      <c r="AK97" s="1" t="str">
        <f aca="false">IF($A97="","",IFERROR(MAX(0,AJ97-INDEX(账户总表!$B:$B,COUNTA(账户总表!$A:$A)),AF97-INDEX(账户总表!$C:$C,COUNTA(账户总表!$A:$A))),0))</f>
        <v/>
      </c>
      <c r="AL97" s="1" t="str">
        <f aca="false">IF($A97="","",IF(COUNTIF(持仓表!$C$2:$C$201,C97)&gt;0,"已有","新标的"))</f>
        <v/>
      </c>
      <c r="AM97" s="1" t="str">
        <f aca="false">IF($A97="","",IFERROR(SUMIFS(持仓表!$N$2:$N$201,持仓表!$C$2:$C$201,C97,持仓表!$A$2:$A$201,$A97),0))</f>
        <v/>
      </c>
      <c r="AN97" s="1" t="str">
        <f aca="false">IF($A97="","",IFERROR(AM97+AF97/INDEX(账户总表!$B:$B,COUNTA(账户总表!$A:$A)),0))</f>
        <v/>
      </c>
      <c r="AO97" s="1" t="str">
        <f aca="false">IF($A97="","",IF(AN97&gt;INDEX(账户总表!$O:$O,COUNTA(账户总表!$A:$A)),"超限","合规"))</f>
        <v/>
      </c>
      <c r="AP97" s="1" t="str">
        <f aca="false">IF($A97="","",IF(AND(AL97="新标的",INDEX(账户总表!$R:$R,COUNTA(账户总表!$A:$A))&gt;=INDEX(账户总表!$S:$S,COUNTA(账户总表!$A:$A))),"新增受限","可通过"))</f>
        <v/>
      </c>
      <c r="AQ97" s="1" t="str">
        <f aca="false">IF($A97="","",IF(K97&lt;&gt;"核心池","非核心池",IF(OR(AI97="超限",AO97="超限",AP97="新增受限"),"不可加仓","可加仓")))</f>
        <v/>
      </c>
      <c r="AR97" s="1" t="str">
        <f aca="false">IF($A97="","",TRIM(IF(AI97="超限","1手超单股上限；","")&amp;IF(AO97="超限","买后仓位超限；","")&amp;IF(AP97="新增受限","有效持仓数超限；","")&amp;IF(AF97&gt;INDEX(账户总表!$C:$C,COUNTA(账户总表!$A:$A)),"现金不足；","")))</f>
        <v/>
      </c>
      <c r="AS97" s="1" t="str">
        <f aca="false">IF($A97="","",IFERROR(INDEX(候选池历史!$L:$L,MATCH(1,(候选池历史!$B:$B=C97)*(候选池历史!$A:$A=$A97),0)),0))</f>
        <v/>
      </c>
      <c r="AT97" s="1" t="str">
        <f aca="false">IF($A97="","",IF(AS97&gt;=3,"★信号强化",IF(K97="核心池","核心观察","")))</f>
        <v/>
      </c>
      <c r="AU97" s="1" t="str">
        <f aca="false">IF($A97="","",IF(AK97&gt;30000-INDEX(账户总表!$B:$B,COUNTA(账户总表!$A:$A)),"不适合婴儿阶段","可纳入幼儿路径"))</f>
        <v/>
      </c>
    </row>
    <row r="98" customFormat="false" ht="15" hidden="false" customHeight="true" outlineLevel="0" collapsed="false">
      <c r="A98" s="70"/>
      <c r="B98" s="71"/>
      <c r="C98" s="72"/>
      <c r="D98" s="73"/>
      <c r="E98" s="73"/>
      <c r="F98" s="73"/>
      <c r="G98" s="74"/>
      <c r="H98" s="72"/>
      <c r="I98" s="72"/>
      <c r="J98" s="71"/>
      <c r="K98" s="75" t="str">
        <f aca="false">IF($A98="","",IF(AND(G98&lt;45%,H98&gt;=0.9),"A",IF(AND(G98&lt;60%,H98&gt;0.8),"B","C")))</f>
        <v/>
      </c>
      <c r="L98" s="75" t="str">
        <f aca="false">IF($A98="","",IF(AND(G98&lt;60%,H98&gt;0.8,I98="True"),"是","否"))</f>
        <v/>
      </c>
      <c r="M98" s="75" t="str">
        <f aca="false">IF($A98="","",IF(AND(D98&gt;0,E98&gt;0,D98&lt;=E98*1.02),"是","否"))</f>
        <v/>
      </c>
      <c r="N98" s="76" t="n">
        <f aca="false">IFERROR(INDEX(账户总表!$O:$O,COUNTA(账户总表!$A:$A)),0)</f>
        <v>0.35</v>
      </c>
      <c r="O98" s="77" t="n">
        <f aca="false">IFERROR(INDEX(账户总表!$B:$B,COUNTA(账户总表!$A:$A))*N98,0)</f>
        <v>7294.812</v>
      </c>
      <c r="P98" s="78" t="n">
        <f aca="false">IFERROR(O98/D98,0)</f>
        <v>0</v>
      </c>
      <c r="Q98" s="78" t="n">
        <f aca="false">IFERROR(FLOOR(P98,100),0)</f>
        <v>0</v>
      </c>
      <c r="R98" s="78" t="n">
        <f aca="false">IFERROR(CEILING(800/(100*D98),1)*100,0)</f>
        <v>0</v>
      </c>
      <c r="S98" s="79"/>
      <c r="T98" s="77" t="n">
        <f aca="false">IFERROR(S98*D98,0)</f>
        <v>0</v>
      </c>
      <c r="U98" s="76" t="n">
        <f aca="false">IFERROR(T98/INDEX(账户总表!$B:$B,COUNTA(账户总表!$A:$A)),0)</f>
        <v>0</v>
      </c>
      <c r="V98" s="76" t="n">
        <f aca="false">IFERROR(INDEX(账户总表!$E:$E,COUNTA(账户总表!$A:$A))+U98,0)</f>
        <v>0.407056412146057</v>
      </c>
      <c r="W98" s="75" t="str">
        <f aca="false">IF($A98="","",IFERROR(IF(V98&lt;=INDEX(账户总表!$N:$N,COUNTA(账户总表!$A:$A)),"是","否"),"否"))</f>
        <v/>
      </c>
      <c r="X98" s="77" t="str">
        <f aca="false">IF($A98="","",MAX(F98*0.98,D98*0.92))</f>
        <v/>
      </c>
      <c r="Y98" s="72"/>
      <c r="Z98" s="75" t="str">
        <f aca="false">IF($A98="","",IFERROR(IF(AND(T98&gt;INDEX(账户总表!$C:$C,COUNTA(账户总表!$A:$A)),L98="是"),"是","否"),"否"))</f>
        <v/>
      </c>
      <c r="AA98" s="77" t="str">
        <f aca="false">IF($A98="","",IFERROR(IF(Z98="是",MAX(0,T98-INDEX(账户总表!$C:$C,COUNTA(账户总表!$A:$A)),IF(N98&gt;0,T98/N98-INDEX(账户总表!$B:$B,COUNTA(账户总表!$A:$A)),0)),0),0))</f>
        <v/>
      </c>
      <c r="AB98" s="77" t="str">
        <f aca="false">IF($A98="","",IF(AND(Z98="是",INDEX(账户总表!$U:$U,COUNTA(账户总表!$A:$A))="是"),IF(INDEX(账户总表!$L:$L,COUNTA(账户总表!$A:$A))&gt;=4,AA98*1.5,AA98),0))</f>
        <v/>
      </c>
      <c r="AC98" s="75" t="str">
        <f aca="false">IF($A98="","",IF(AND(L98="是",Q98&gt;=R98,S98&lt;=Q98,S98&gt;=R98,W98="是",X98&gt;0,M98="是",INDEX(账户总表!$M:$M,COUNTA(账户总表!$A:$A))&lt;=2,INDEX(账户总表!$V:$V,COUNTA(账户总表!$A:$A))="是",OR(T98&lt;=INDEX(账户总表!$C:$C,COUNTA(账户总表!$A:$A)),AND(Z98="是",INDEX(账户总表!$U:$U,COUNTA(账户总表!$A:$A))="是",AB98&gt;0))),"是","否"))</f>
        <v/>
      </c>
      <c r="AD98" s="75" t="str">
        <f aca="false">IF($A98="","",IF(L98&lt;&gt;"是","信号未确认",IF(X98&lt;=0,"止损价未定义",IF(Q98&lt;R98,"100股约束不满足",IF(S98&gt;Q98,"计划股数超单股上限",IF(S98&lt;R98,"计划股数低于最小门槛",IF(W98&lt;&gt;"是","总仓位超限",IF(M98&lt;&gt;"是","追价",IF(INDEX(账户总表!$M:$M,COUNTA(账户总表!$A:$A))&gt;2,"亏钱效应偏高",IF(INDEX(账户总表!$V:$V,COUNTA(账户总表!$A:$A))&lt;&gt;"是","账户不允许新开仓",IF(AND(T98&gt;INDEX(账户总表!$C:$C,COUNTA(账户总表!$A:$A)),INDEX(账户总表!$U:$U,COUNTA(账户总表!$A:$A))&lt;&gt;"是"),"现金不足且不允许转入",IF(AND(Z98="是",AB98&lt;=0),"转入金额未满足",""))))))))))))</f>
        <v/>
      </c>
      <c r="AE98" s="71"/>
      <c r="AF98" s="1" t="str">
        <f aca="false">IF($A98="","",D98*100)</f>
        <v/>
      </c>
      <c r="AG98" s="1" t="str">
        <f aca="false">IF($A98="","",IFERROR(AF98/INDEX(账户总表!$B:$B,COUNTA(账户总表!$A:$A)),0))</f>
        <v/>
      </c>
      <c r="AH98" s="1" t="str">
        <f aca="false">IF($A98="","",IFERROR(INDEX(账户总表!$B:$B,COUNTA(账户总表!$A:$A))*INDEX(账户总表!$O:$O,COUNTA(账户总表!$A:$A)),0))</f>
        <v/>
      </c>
      <c r="AI98" s="1" t="str">
        <f aca="false">IF($A98="","",IF(AF98&gt;AH98,"超限","合规"))</f>
        <v/>
      </c>
      <c r="AJ98" s="1" t="str">
        <f aca="false">IF($A98="","",IFERROR(AF98/INDEX(账户总表!$O:$O,COUNTA(账户总表!$A:$A)),0))</f>
        <v/>
      </c>
      <c r="AK98" s="1" t="str">
        <f aca="false">IF($A98="","",IFERROR(MAX(0,AJ98-INDEX(账户总表!$B:$B,COUNTA(账户总表!$A:$A)),AF98-INDEX(账户总表!$C:$C,COUNTA(账户总表!$A:$A))),0))</f>
        <v/>
      </c>
      <c r="AL98" s="1" t="str">
        <f aca="false">IF($A98="","",IF(COUNTIF(持仓表!$C$2:$C$201,C98)&gt;0,"已有","新标的"))</f>
        <v/>
      </c>
      <c r="AM98" s="1" t="str">
        <f aca="false">IF($A98="","",IFERROR(SUMIFS(持仓表!$N$2:$N$201,持仓表!$C$2:$C$201,C98,持仓表!$A$2:$A$201,$A98),0))</f>
        <v/>
      </c>
      <c r="AN98" s="1" t="str">
        <f aca="false">IF($A98="","",IFERROR(AM98+AF98/INDEX(账户总表!$B:$B,COUNTA(账户总表!$A:$A)),0))</f>
        <v/>
      </c>
      <c r="AO98" s="1" t="str">
        <f aca="false">IF($A98="","",IF(AN98&gt;INDEX(账户总表!$O:$O,COUNTA(账户总表!$A:$A)),"超限","合规"))</f>
        <v/>
      </c>
      <c r="AP98" s="1" t="str">
        <f aca="false">IF($A98="","",IF(AND(AL98="新标的",INDEX(账户总表!$R:$R,COUNTA(账户总表!$A:$A))&gt;=INDEX(账户总表!$S:$S,COUNTA(账户总表!$A:$A))),"新增受限","可通过"))</f>
        <v/>
      </c>
      <c r="AQ98" s="1" t="str">
        <f aca="false">IF($A98="","",IF(K98&lt;&gt;"核心池","非核心池",IF(OR(AI98="超限",AO98="超限",AP98="新增受限"),"不可加仓","可加仓")))</f>
        <v/>
      </c>
      <c r="AR98" s="1" t="str">
        <f aca="false">IF($A98="","",TRIM(IF(AI98="超限","1手超单股上限；","")&amp;IF(AO98="超限","买后仓位超限；","")&amp;IF(AP98="新增受限","有效持仓数超限；","")&amp;IF(AF98&gt;INDEX(账户总表!$C:$C,COUNTA(账户总表!$A:$A)),"现金不足；","")))</f>
        <v/>
      </c>
      <c r="AS98" s="1" t="str">
        <f aca="false">IF($A98="","",IFERROR(INDEX(候选池历史!$L:$L,MATCH(1,(候选池历史!$B:$B=C98)*(候选池历史!$A:$A=$A98),0)),0))</f>
        <v/>
      </c>
      <c r="AT98" s="1" t="str">
        <f aca="false">IF($A98="","",IF(AS98&gt;=3,"★信号强化",IF(K98="核心池","核心观察","")))</f>
        <v/>
      </c>
      <c r="AU98" s="1" t="str">
        <f aca="false">IF($A98="","",IF(AK98&gt;30000-INDEX(账户总表!$B:$B,COUNTA(账户总表!$A:$A)),"不适合婴儿阶段","可纳入幼儿路径"))</f>
        <v/>
      </c>
    </row>
    <row r="99" customFormat="false" ht="15" hidden="false" customHeight="true" outlineLevel="0" collapsed="false">
      <c r="A99" s="70"/>
      <c r="B99" s="71"/>
      <c r="C99" s="72"/>
      <c r="D99" s="73"/>
      <c r="E99" s="73"/>
      <c r="F99" s="73"/>
      <c r="G99" s="74"/>
      <c r="H99" s="72"/>
      <c r="I99" s="72"/>
      <c r="J99" s="71"/>
      <c r="K99" s="75" t="str">
        <f aca="false">IF($A99="","",IF(AND(G99&lt;45%,H99&gt;=0.9),"A",IF(AND(G99&lt;60%,H99&gt;0.8),"B","C")))</f>
        <v/>
      </c>
      <c r="L99" s="75" t="str">
        <f aca="false">IF($A99="","",IF(AND(G99&lt;60%,H99&gt;0.8,I99="True"),"是","否"))</f>
        <v/>
      </c>
      <c r="M99" s="75" t="str">
        <f aca="false">IF($A99="","",IF(AND(D99&gt;0,E99&gt;0,D99&lt;=E99*1.02),"是","否"))</f>
        <v/>
      </c>
      <c r="N99" s="76" t="n">
        <f aca="false">IFERROR(INDEX(账户总表!$O:$O,COUNTA(账户总表!$A:$A)),0)</f>
        <v>0.35</v>
      </c>
      <c r="O99" s="77" t="n">
        <f aca="false">IFERROR(INDEX(账户总表!$B:$B,COUNTA(账户总表!$A:$A))*N99,0)</f>
        <v>7294.812</v>
      </c>
      <c r="P99" s="78" t="n">
        <f aca="false">IFERROR(O99/D99,0)</f>
        <v>0</v>
      </c>
      <c r="Q99" s="78" t="n">
        <f aca="false">IFERROR(FLOOR(P99,100),0)</f>
        <v>0</v>
      </c>
      <c r="R99" s="78" t="n">
        <f aca="false">IFERROR(CEILING(800/(100*D99),1)*100,0)</f>
        <v>0</v>
      </c>
      <c r="S99" s="79"/>
      <c r="T99" s="77" t="n">
        <f aca="false">IFERROR(S99*D99,0)</f>
        <v>0</v>
      </c>
      <c r="U99" s="76" t="n">
        <f aca="false">IFERROR(T99/INDEX(账户总表!$B:$B,COUNTA(账户总表!$A:$A)),0)</f>
        <v>0</v>
      </c>
      <c r="V99" s="76" t="n">
        <f aca="false">IFERROR(INDEX(账户总表!$E:$E,COUNTA(账户总表!$A:$A))+U99,0)</f>
        <v>0.407056412146057</v>
      </c>
      <c r="W99" s="75" t="str">
        <f aca="false">IF($A99="","",IFERROR(IF(V99&lt;=INDEX(账户总表!$N:$N,COUNTA(账户总表!$A:$A)),"是","否"),"否"))</f>
        <v/>
      </c>
      <c r="X99" s="77" t="str">
        <f aca="false">IF($A99="","",MAX(F99*0.98,D99*0.92))</f>
        <v/>
      </c>
      <c r="Y99" s="72"/>
      <c r="Z99" s="75" t="str">
        <f aca="false">IF($A99="","",IFERROR(IF(AND(T99&gt;INDEX(账户总表!$C:$C,COUNTA(账户总表!$A:$A)),L99="是"),"是","否"),"否"))</f>
        <v/>
      </c>
      <c r="AA99" s="77" t="str">
        <f aca="false">IF($A99="","",IFERROR(IF(Z99="是",MAX(0,T99-INDEX(账户总表!$C:$C,COUNTA(账户总表!$A:$A)),IF(N99&gt;0,T99/N99-INDEX(账户总表!$B:$B,COUNTA(账户总表!$A:$A)),0)),0),0))</f>
        <v/>
      </c>
      <c r="AB99" s="77" t="str">
        <f aca="false">IF($A99="","",IF(AND(Z99="是",INDEX(账户总表!$U:$U,COUNTA(账户总表!$A:$A))="是"),IF(INDEX(账户总表!$L:$L,COUNTA(账户总表!$A:$A))&gt;=4,AA99*1.5,AA99),0))</f>
        <v/>
      </c>
      <c r="AC99" s="75" t="str">
        <f aca="false">IF($A99="","",IF(AND(L99="是",Q99&gt;=R99,S99&lt;=Q99,S99&gt;=R99,W99="是",X99&gt;0,M99="是",INDEX(账户总表!$M:$M,COUNTA(账户总表!$A:$A))&lt;=2,INDEX(账户总表!$V:$V,COUNTA(账户总表!$A:$A))="是",OR(T99&lt;=INDEX(账户总表!$C:$C,COUNTA(账户总表!$A:$A)),AND(Z99="是",INDEX(账户总表!$U:$U,COUNTA(账户总表!$A:$A))="是",AB99&gt;0))),"是","否"))</f>
        <v/>
      </c>
      <c r="AD99" s="75" t="str">
        <f aca="false">IF($A99="","",IF(L99&lt;&gt;"是","信号未确认",IF(X99&lt;=0,"止损价未定义",IF(Q99&lt;R99,"100股约束不满足",IF(S99&gt;Q99,"计划股数超单股上限",IF(S99&lt;R99,"计划股数低于最小门槛",IF(W99&lt;&gt;"是","总仓位超限",IF(M99&lt;&gt;"是","追价",IF(INDEX(账户总表!$M:$M,COUNTA(账户总表!$A:$A))&gt;2,"亏钱效应偏高",IF(INDEX(账户总表!$V:$V,COUNTA(账户总表!$A:$A))&lt;&gt;"是","账户不允许新开仓",IF(AND(T99&gt;INDEX(账户总表!$C:$C,COUNTA(账户总表!$A:$A)),INDEX(账户总表!$U:$U,COUNTA(账户总表!$A:$A))&lt;&gt;"是"),"现金不足且不允许转入",IF(AND(Z99="是",AB99&lt;=0),"转入金额未满足",""))))))))))))</f>
        <v/>
      </c>
      <c r="AE99" s="71"/>
      <c r="AF99" s="1" t="str">
        <f aca="false">IF($A99="","",D99*100)</f>
        <v/>
      </c>
      <c r="AG99" s="1" t="str">
        <f aca="false">IF($A99="","",IFERROR(AF99/INDEX(账户总表!$B:$B,COUNTA(账户总表!$A:$A)),0))</f>
        <v/>
      </c>
      <c r="AH99" s="1" t="str">
        <f aca="false">IF($A99="","",IFERROR(INDEX(账户总表!$B:$B,COUNTA(账户总表!$A:$A))*INDEX(账户总表!$O:$O,COUNTA(账户总表!$A:$A)),0))</f>
        <v/>
      </c>
      <c r="AI99" s="1" t="str">
        <f aca="false">IF($A99="","",IF(AF99&gt;AH99,"超限","合规"))</f>
        <v/>
      </c>
      <c r="AJ99" s="1" t="str">
        <f aca="false">IF($A99="","",IFERROR(AF99/INDEX(账户总表!$O:$O,COUNTA(账户总表!$A:$A)),0))</f>
        <v/>
      </c>
      <c r="AK99" s="1" t="str">
        <f aca="false">IF($A99="","",IFERROR(MAX(0,AJ99-INDEX(账户总表!$B:$B,COUNTA(账户总表!$A:$A)),AF99-INDEX(账户总表!$C:$C,COUNTA(账户总表!$A:$A))),0))</f>
        <v/>
      </c>
      <c r="AL99" s="1" t="str">
        <f aca="false">IF($A99="","",IF(COUNTIF(持仓表!$C$2:$C$201,C99)&gt;0,"已有","新标的"))</f>
        <v/>
      </c>
      <c r="AM99" s="1" t="str">
        <f aca="false">IF($A99="","",IFERROR(SUMIFS(持仓表!$N$2:$N$201,持仓表!$C$2:$C$201,C99,持仓表!$A$2:$A$201,$A99),0))</f>
        <v/>
      </c>
      <c r="AN99" s="1" t="str">
        <f aca="false">IF($A99="","",IFERROR(AM99+AF99/INDEX(账户总表!$B:$B,COUNTA(账户总表!$A:$A)),0))</f>
        <v/>
      </c>
      <c r="AO99" s="1" t="str">
        <f aca="false">IF($A99="","",IF(AN99&gt;INDEX(账户总表!$O:$O,COUNTA(账户总表!$A:$A)),"超限","合规"))</f>
        <v/>
      </c>
      <c r="AP99" s="1" t="str">
        <f aca="false">IF($A99="","",IF(AND(AL99="新标的",INDEX(账户总表!$R:$R,COUNTA(账户总表!$A:$A))&gt;=INDEX(账户总表!$S:$S,COUNTA(账户总表!$A:$A))),"新增受限","可通过"))</f>
        <v/>
      </c>
      <c r="AQ99" s="1" t="str">
        <f aca="false">IF($A99="","",IF(K99&lt;&gt;"核心池","非核心池",IF(OR(AI99="超限",AO99="超限",AP99="新增受限"),"不可加仓","可加仓")))</f>
        <v/>
      </c>
      <c r="AR99" s="1" t="str">
        <f aca="false">IF($A99="","",TRIM(IF(AI99="超限","1手超单股上限；","")&amp;IF(AO99="超限","买后仓位超限；","")&amp;IF(AP99="新增受限","有效持仓数超限；","")&amp;IF(AF99&gt;INDEX(账户总表!$C:$C,COUNTA(账户总表!$A:$A)),"现金不足；","")))</f>
        <v/>
      </c>
      <c r="AS99" s="1" t="str">
        <f aca="false">IF($A99="","",IFERROR(INDEX(候选池历史!$L:$L,MATCH(1,(候选池历史!$B:$B=C99)*(候选池历史!$A:$A=$A99),0)),0))</f>
        <v/>
      </c>
      <c r="AT99" s="1" t="str">
        <f aca="false">IF($A99="","",IF(AS99&gt;=3,"★信号强化",IF(K99="核心池","核心观察","")))</f>
        <v/>
      </c>
      <c r="AU99" s="1" t="str">
        <f aca="false">IF($A99="","",IF(AK99&gt;30000-INDEX(账户总表!$B:$B,COUNTA(账户总表!$A:$A)),"不适合婴儿阶段","可纳入幼儿路径"))</f>
        <v/>
      </c>
    </row>
    <row r="100" customFormat="false" ht="15" hidden="false" customHeight="true" outlineLevel="0" collapsed="false">
      <c r="A100" s="70"/>
      <c r="B100" s="71"/>
      <c r="C100" s="72"/>
      <c r="D100" s="73"/>
      <c r="E100" s="73"/>
      <c r="F100" s="73"/>
      <c r="G100" s="74"/>
      <c r="H100" s="72"/>
      <c r="I100" s="72"/>
      <c r="J100" s="71"/>
      <c r="K100" s="75" t="str">
        <f aca="false">IF($A100="","",IF(AND(G100&lt;45%,H100&gt;=0.9),"A",IF(AND(G100&lt;60%,H100&gt;0.8),"B","C")))</f>
        <v/>
      </c>
      <c r="L100" s="75" t="str">
        <f aca="false">IF($A100="","",IF(AND(G100&lt;60%,H100&gt;0.8,I100="True"),"是","否"))</f>
        <v/>
      </c>
      <c r="M100" s="75" t="str">
        <f aca="false">IF($A100="","",IF(AND(D100&gt;0,E100&gt;0,D100&lt;=E100*1.02),"是","否"))</f>
        <v/>
      </c>
      <c r="N100" s="76" t="n">
        <f aca="false">IFERROR(INDEX(账户总表!$O:$O,COUNTA(账户总表!$A:$A)),0)</f>
        <v>0.35</v>
      </c>
      <c r="O100" s="77" t="n">
        <f aca="false">IFERROR(INDEX(账户总表!$B:$B,COUNTA(账户总表!$A:$A))*N100,0)</f>
        <v>7294.812</v>
      </c>
      <c r="P100" s="78" t="n">
        <f aca="false">IFERROR(O100/D100,0)</f>
        <v>0</v>
      </c>
      <c r="Q100" s="78" t="n">
        <f aca="false">IFERROR(FLOOR(P100,100),0)</f>
        <v>0</v>
      </c>
      <c r="R100" s="78" t="n">
        <f aca="false">IFERROR(CEILING(800/(100*D100),1)*100,0)</f>
        <v>0</v>
      </c>
      <c r="S100" s="79"/>
      <c r="T100" s="77" t="n">
        <f aca="false">IFERROR(S100*D100,0)</f>
        <v>0</v>
      </c>
      <c r="U100" s="76" t="n">
        <f aca="false">IFERROR(T100/INDEX(账户总表!$B:$B,COUNTA(账户总表!$A:$A)),0)</f>
        <v>0</v>
      </c>
      <c r="V100" s="76" t="n">
        <f aca="false">IFERROR(INDEX(账户总表!$E:$E,COUNTA(账户总表!$A:$A))+U100,0)</f>
        <v>0.407056412146057</v>
      </c>
      <c r="W100" s="75" t="str">
        <f aca="false">IF($A100="","",IFERROR(IF(V100&lt;=INDEX(账户总表!$N:$N,COUNTA(账户总表!$A:$A)),"是","否"),"否"))</f>
        <v/>
      </c>
      <c r="X100" s="77" t="str">
        <f aca="false">IF($A100="","",MAX(F100*0.98,D100*0.92))</f>
        <v/>
      </c>
      <c r="Y100" s="72"/>
      <c r="Z100" s="75" t="str">
        <f aca="false">IF($A100="","",IFERROR(IF(AND(T100&gt;INDEX(账户总表!$C:$C,COUNTA(账户总表!$A:$A)),L100="是"),"是","否"),"否"))</f>
        <v/>
      </c>
      <c r="AA100" s="77" t="str">
        <f aca="false">IF($A100="","",IFERROR(IF(Z100="是",MAX(0,T100-INDEX(账户总表!$C:$C,COUNTA(账户总表!$A:$A)),IF(N100&gt;0,T100/N100-INDEX(账户总表!$B:$B,COUNTA(账户总表!$A:$A)),0)),0),0))</f>
        <v/>
      </c>
      <c r="AB100" s="77" t="str">
        <f aca="false">IF($A100="","",IF(AND(Z100="是",INDEX(账户总表!$U:$U,COUNTA(账户总表!$A:$A))="是"),IF(INDEX(账户总表!$L:$L,COUNTA(账户总表!$A:$A))&gt;=4,AA100*1.5,AA100),0))</f>
        <v/>
      </c>
      <c r="AC100" s="75" t="str">
        <f aca="false">IF($A100="","",IF(AND(L100="是",Q100&gt;=R100,S100&lt;=Q100,S100&gt;=R100,W100="是",X100&gt;0,M100="是",INDEX(账户总表!$M:$M,COUNTA(账户总表!$A:$A))&lt;=2,INDEX(账户总表!$V:$V,COUNTA(账户总表!$A:$A))="是",OR(T100&lt;=INDEX(账户总表!$C:$C,COUNTA(账户总表!$A:$A)),AND(Z100="是",INDEX(账户总表!$U:$U,COUNTA(账户总表!$A:$A))="是",AB100&gt;0))),"是","否"))</f>
        <v/>
      </c>
      <c r="AD100" s="75" t="str">
        <f aca="false">IF($A100="","",IF(L100&lt;&gt;"是","信号未确认",IF(X100&lt;=0,"止损价未定义",IF(Q100&lt;R100,"100股约束不满足",IF(S100&gt;Q100,"计划股数超单股上限",IF(S100&lt;R100,"计划股数低于最小门槛",IF(W100&lt;&gt;"是","总仓位超限",IF(M100&lt;&gt;"是","追价",IF(INDEX(账户总表!$M:$M,COUNTA(账户总表!$A:$A))&gt;2,"亏钱效应偏高",IF(INDEX(账户总表!$V:$V,COUNTA(账户总表!$A:$A))&lt;&gt;"是","账户不允许新开仓",IF(AND(T100&gt;INDEX(账户总表!$C:$C,COUNTA(账户总表!$A:$A)),INDEX(账户总表!$U:$U,COUNTA(账户总表!$A:$A))&lt;&gt;"是"),"现金不足且不允许转入",IF(AND(Z100="是",AB100&lt;=0),"转入金额未满足",""))))))))))))</f>
        <v/>
      </c>
      <c r="AE100" s="71"/>
      <c r="AF100" s="1" t="str">
        <f aca="false">IF($A100="","",D100*100)</f>
        <v/>
      </c>
      <c r="AG100" s="1" t="str">
        <f aca="false">IF($A100="","",IFERROR(AF100/INDEX(账户总表!$B:$B,COUNTA(账户总表!$A:$A)),0))</f>
        <v/>
      </c>
      <c r="AH100" s="1" t="str">
        <f aca="false">IF($A100="","",IFERROR(INDEX(账户总表!$B:$B,COUNTA(账户总表!$A:$A))*INDEX(账户总表!$O:$O,COUNTA(账户总表!$A:$A)),0))</f>
        <v/>
      </c>
      <c r="AI100" s="1" t="str">
        <f aca="false">IF($A100="","",IF(AF100&gt;AH100,"超限","合规"))</f>
        <v/>
      </c>
      <c r="AJ100" s="1" t="str">
        <f aca="false">IF($A100="","",IFERROR(AF100/INDEX(账户总表!$O:$O,COUNTA(账户总表!$A:$A)),0))</f>
        <v/>
      </c>
      <c r="AK100" s="1" t="str">
        <f aca="false">IF($A100="","",IFERROR(MAX(0,AJ100-INDEX(账户总表!$B:$B,COUNTA(账户总表!$A:$A)),AF100-INDEX(账户总表!$C:$C,COUNTA(账户总表!$A:$A))),0))</f>
        <v/>
      </c>
      <c r="AL100" s="1" t="str">
        <f aca="false">IF($A100="","",IF(COUNTIF(持仓表!$C$2:$C$201,C100)&gt;0,"已有","新标的"))</f>
        <v/>
      </c>
      <c r="AM100" s="1" t="str">
        <f aca="false">IF($A100="","",IFERROR(SUMIFS(持仓表!$N$2:$N$201,持仓表!$C$2:$C$201,C100,持仓表!$A$2:$A$201,$A100),0))</f>
        <v/>
      </c>
      <c r="AN100" s="1" t="str">
        <f aca="false">IF($A100="","",IFERROR(AM100+AF100/INDEX(账户总表!$B:$B,COUNTA(账户总表!$A:$A)),0))</f>
        <v/>
      </c>
      <c r="AO100" s="1" t="str">
        <f aca="false">IF($A100="","",IF(AN100&gt;INDEX(账户总表!$O:$O,COUNTA(账户总表!$A:$A)),"超限","合规"))</f>
        <v/>
      </c>
      <c r="AP100" s="1" t="str">
        <f aca="false">IF($A100="","",IF(AND(AL100="新标的",INDEX(账户总表!$R:$R,COUNTA(账户总表!$A:$A))&gt;=INDEX(账户总表!$S:$S,COUNTA(账户总表!$A:$A))),"新增受限","可通过"))</f>
        <v/>
      </c>
      <c r="AQ100" s="1" t="str">
        <f aca="false">IF($A100="","",IF(K100&lt;&gt;"核心池","非核心池",IF(OR(AI100="超限",AO100="超限",AP100="新增受限"),"不可加仓","可加仓")))</f>
        <v/>
      </c>
      <c r="AR100" s="1" t="str">
        <f aca="false">IF($A100="","",TRIM(IF(AI100="超限","1手超单股上限；","")&amp;IF(AO100="超限","买后仓位超限；","")&amp;IF(AP100="新增受限","有效持仓数超限；","")&amp;IF(AF100&gt;INDEX(账户总表!$C:$C,COUNTA(账户总表!$A:$A)),"现金不足；","")))</f>
        <v/>
      </c>
      <c r="AS100" s="1" t="str">
        <f aca="false">IF($A100="","",IFERROR(INDEX(候选池历史!$L:$L,MATCH(1,(候选池历史!$B:$B=C100)*(候选池历史!$A:$A=$A100),0)),0))</f>
        <v/>
      </c>
      <c r="AT100" s="1" t="str">
        <f aca="false">IF($A100="","",IF(AS100&gt;=3,"★信号强化",IF(K100="核心池","核心观察","")))</f>
        <v/>
      </c>
      <c r="AU100" s="1" t="str">
        <f aca="false">IF($A100="","",IF(AK100&gt;30000-INDEX(账户总表!$B:$B,COUNTA(账户总表!$A:$A)),"不适合婴儿阶段","可纳入幼儿路径"))</f>
        <v/>
      </c>
    </row>
    <row r="101" customFormat="false" ht="15" hidden="false" customHeight="true" outlineLevel="0" collapsed="false">
      <c r="A101" s="70"/>
      <c r="B101" s="71"/>
      <c r="C101" s="72"/>
      <c r="D101" s="73"/>
      <c r="E101" s="73"/>
      <c r="F101" s="73"/>
      <c r="G101" s="74"/>
      <c r="H101" s="72"/>
      <c r="I101" s="72"/>
      <c r="J101" s="71"/>
      <c r="K101" s="75" t="str">
        <f aca="false">IF($A101="","",IF(AND(G101&lt;45%,H101&gt;=0.9),"A",IF(AND(G101&lt;60%,H101&gt;0.8),"B","C")))</f>
        <v/>
      </c>
      <c r="L101" s="75" t="str">
        <f aca="false">IF($A101="","",IF(AND(G101&lt;60%,H101&gt;0.8,I101="True"),"是","否"))</f>
        <v/>
      </c>
      <c r="M101" s="75" t="str">
        <f aca="false">IF($A101="","",IF(AND(D101&gt;0,E101&gt;0,D101&lt;=E101*1.02),"是","否"))</f>
        <v/>
      </c>
      <c r="N101" s="76" t="n">
        <f aca="false">IFERROR(INDEX(账户总表!$O:$O,COUNTA(账户总表!$A:$A)),0)</f>
        <v>0.35</v>
      </c>
      <c r="O101" s="77" t="n">
        <f aca="false">IFERROR(INDEX(账户总表!$B:$B,COUNTA(账户总表!$A:$A))*N101,0)</f>
        <v>7294.812</v>
      </c>
      <c r="P101" s="78" t="n">
        <f aca="false">IFERROR(O101/D101,0)</f>
        <v>0</v>
      </c>
      <c r="Q101" s="78" t="n">
        <f aca="false">IFERROR(FLOOR(P101,100),0)</f>
        <v>0</v>
      </c>
      <c r="R101" s="78" t="n">
        <f aca="false">IFERROR(CEILING(800/(100*D101),1)*100,0)</f>
        <v>0</v>
      </c>
      <c r="S101" s="79"/>
      <c r="T101" s="77" t="n">
        <f aca="false">IFERROR(S101*D101,0)</f>
        <v>0</v>
      </c>
      <c r="U101" s="76" t="n">
        <f aca="false">IFERROR(T101/INDEX(账户总表!$B:$B,COUNTA(账户总表!$A:$A)),0)</f>
        <v>0</v>
      </c>
      <c r="V101" s="76" t="n">
        <f aca="false">IFERROR(INDEX(账户总表!$E:$E,COUNTA(账户总表!$A:$A))+U101,0)</f>
        <v>0.407056412146057</v>
      </c>
      <c r="W101" s="75" t="str">
        <f aca="false">IF($A101="","",IFERROR(IF(V101&lt;=INDEX(账户总表!$N:$N,COUNTA(账户总表!$A:$A)),"是","否"),"否"))</f>
        <v/>
      </c>
      <c r="X101" s="77" t="str">
        <f aca="false">IF($A101="","",MAX(F101*0.98,D101*0.92))</f>
        <v/>
      </c>
      <c r="Y101" s="72"/>
      <c r="Z101" s="75" t="str">
        <f aca="false">IF($A101="","",IFERROR(IF(AND(T101&gt;INDEX(账户总表!$C:$C,COUNTA(账户总表!$A:$A)),L101="是"),"是","否"),"否"))</f>
        <v/>
      </c>
      <c r="AA101" s="77" t="str">
        <f aca="false">IF($A101="","",IFERROR(IF(Z101="是",MAX(0,T101-INDEX(账户总表!$C:$C,COUNTA(账户总表!$A:$A)),IF(N101&gt;0,T101/N101-INDEX(账户总表!$B:$B,COUNTA(账户总表!$A:$A)),0)),0),0))</f>
        <v/>
      </c>
      <c r="AB101" s="77" t="str">
        <f aca="false">IF($A101="","",IF(AND(Z101="是",INDEX(账户总表!$U:$U,COUNTA(账户总表!$A:$A))="是"),IF(INDEX(账户总表!$L:$L,COUNTA(账户总表!$A:$A))&gt;=4,AA101*1.5,AA101),0))</f>
        <v/>
      </c>
      <c r="AC101" s="75" t="str">
        <f aca="false">IF($A101="","",IF(AND(L101="是",Q101&gt;=R101,S101&lt;=Q101,S101&gt;=R101,W101="是",X101&gt;0,M101="是",INDEX(账户总表!$M:$M,COUNTA(账户总表!$A:$A))&lt;=2,INDEX(账户总表!$V:$V,COUNTA(账户总表!$A:$A))="是",OR(T101&lt;=INDEX(账户总表!$C:$C,COUNTA(账户总表!$A:$A)),AND(Z101="是",INDEX(账户总表!$U:$U,COUNTA(账户总表!$A:$A))="是",AB101&gt;0))),"是","否"))</f>
        <v/>
      </c>
      <c r="AD101" s="75" t="str">
        <f aca="false">IF($A101="","",IF(L101&lt;&gt;"是","信号未确认",IF(X101&lt;=0,"止损价未定义",IF(Q101&lt;R101,"100股约束不满足",IF(S101&gt;Q101,"计划股数超单股上限",IF(S101&lt;R101,"计划股数低于最小门槛",IF(W101&lt;&gt;"是","总仓位超限",IF(M101&lt;&gt;"是","追价",IF(INDEX(账户总表!$M:$M,COUNTA(账户总表!$A:$A))&gt;2,"亏钱效应偏高",IF(INDEX(账户总表!$V:$V,COUNTA(账户总表!$A:$A))&lt;&gt;"是","账户不允许新开仓",IF(AND(T101&gt;INDEX(账户总表!$C:$C,COUNTA(账户总表!$A:$A)),INDEX(账户总表!$U:$U,COUNTA(账户总表!$A:$A))&lt;&gt;"是"),"现金不足且不允许转入",IF(AND(Z101="是",AB101&lt;=0),"转入金额未满足",""))))))))))))</f>
        <v/>
      </c>
      <c r="AE101" s="71"/>
      <c r="AF101" s="1" t="str">
        <f aca="false">IF($A101="","",D101*100)</f>
        <v/>
      </c>
      <c r="AG101" s="1" t="str">
        <f aca="false">IF($A101="","",IFERROR(AF101/INDEX(账户总表!$B:$B,COUNTA(账户总表!$A:$A)),0))</f>
        <v/>
      </c>
      <c r="AH101" s="1" t="str">
        <f aca="false">IF($A101="","",IFERROR(INDEX(账户总表!$B:$B,COUNTA(账户总表!$A:$A))*INDEX(账户总表!$O:$O,COUNTA(账户总表!$A:$A)),0))</f>
        <v/>
      </c>
      <c r="AI101" s="1" t="str">
        <f aca="false">IF($A101="","",IF(AF101&gt;AH101,"超限","合规"))</f>
        <v/>
      </c>
      <c r="AJ101" s="1" t="str">
        <f aca="false">IF($A101="","",IFERROR(AF101/INDEX(账户总表!$O:$O,COUNTA(账户总表!$A:$A)),0))</f>
        <v/>
      </c>
      <c r="AK101" s="1" t="str">
        <f aca="false">IF($A101="","",IFERROR(MAX(0,AJ101-INDEX(账户总表!$B:$B,COUNTA(账户总表!$A:$A)),AF101-INDEX(账户总表!$C:$C,COUNTA(账户总表!$A:$A))),0))</f>
        <v/>
      </c>
      <c r="AL101" s="1" t="str">
        <f aca="false">IF($A101="","",IF(COUNTIF(持仓表!$C$2:$C$201,C101)&gt;0,"已有","新标的"))</f>
        <v/>
      </c>
      <c r="AM101" s="1" t="str">
        <f aca="false">IF($A101="","",IFERROR(SUMIFS(持仓表!$N$2:$N$201,持仓表!$C$2:$C$201,C101,持仓表!$A$2:$A$201,$A101),0))</f>
        <v/>
      </c>
      <c r="AN101" s="1" t="str">
        <f aca="false">IF($A101="","",IFERROR(AM101+AF101/INDEX(账户总表!$B:$B,COUNTA(账户总表!$A:$A)),0))</f>
        <v/>
      </c>
      <c r="AO101" s="1" t="str">
        <f aca="false">IF($A101="","",IF(AN101&gt;INDEX(账户总表!$O:$O,COUNTA(账户总表!$A:$A)),"超限","合规"))</f>
        <v/>
      </c>
      <c r="AP101" s="1" t="str">
        <f aca="false">IF($A101="","",IF(AND(AL101="新标的",INDEX(账户总表!$R:$R,COUNTA(账户总表!$A:$A))&gt;=INDEX(账户总表!$S:$S,COUNTA(账户总表!$A:$A))),"新增受限","可通过"))</f>
        <v/>
      </c>
      <c r="AQ101" s="1" t="str">
        <f aca="false">IF($A101="","",IF(K101&lt;&gt;"核心池","非核心池",IF(OR(AI101="超限",AO101="超限",AP101="新增受限"),"不可加仓","可加仓")))</f>
        <v/>
      </c>
      <c r="AR101" s="1" t="str">
        <f aca="false">IF($A101="","",TRIM(IF(AI101="超限","1手超单股上限；","")&amp;IF(AO101="超限","买后仓位超限；","")&amp;IF(AP101="新增受限","有效持仓数超限；","")&amp;IF(AF101&gt;INDEX(账户总表!$C:$C,COUNTA(账户总表!$A:$A)),"现金不足；","")))</f>
        <v/>
      </c>
      <c r="AS101" s="1" t="str">
        <f aca="false">IF($A101="","",IFERROR(INDEX(候选池历史!$L:$L,MATCH(1,(候选池历史!$B:$B=C101)*(候选池历史!$A:$A=$A101),0)),0))</f>
        <v/>
      </c>
      <c r="AT101" s="1" t="str">
        <f aca="false">IF($A101="","",IF(AS101&gt;=3,"★信号强化",IF(K101="核心池","核心观察","")))</f>
        <v/>
      </c>
      <c r="AU101" s="1" t="str">
        <f aca="false">IF($A101="","",IF(AK101&gt;30000-INDEX(账户总表!$B:$B,COUNTA(账户总表!$A:$A)),"不适合婴儿阶段","可纳入幼儿路径"))</f>
        <v/>
      </c>
    </row>
    <row r="102" customFormat="false" ht="15" hidden="false" customHeight="true" outlineLevel="0" collapsed="false">
      <c r="A102" s="70"/>
      <c r="B102" s="71"/>
      <c r="C102" s="72"/>
      <c r="D102" s="73"/>
      <c r="E102" s="73"/>
      <c r="F102" s="73"/>
      <c r="G102" s="74"/>
      <c r="H102" s="72"/>
      <c r="I102" s="72"/>
      <c r="J102" s="71"/>
      <c r="K102" s="75" t="str">
        <f aca="false">IF($A102="","",IF(AND(G102&lt;45%,H102&gt;=0.9),"A",IF(AND(G102&lt;60%,H102&gt;0.8),"B","C")))</f>
        <v/>
      </c>
      <c r="L102" s="75" t="str">
        <f aca="false">IF($A102="","",IF(AND(G102&lt;60%,H102&gt;0.8,I102="True"),"是","否"))</f>
        <v/>
      </c>
      <c r="M102" s="75" t="str">
        <f aca="false">IF($A102="","",IF(AND(D102&gt;0,E102&gt;0,D102&lt;=E102*1.02),"是","否"))</f>
        <v/>
      </c>
      <c r="N102" s="76" t="n">
        <f aca="false">IFERROR(INDEX(账户总表!$O:$O,COUNTA(账户总表!$A:$A)),0)</f>
        <v>0.35</v>
      </c>
      <c r="O102" s="77" t="n">
        <f aca="false">IFERROR(INDEX(账户总表!$B:$B,COUNTA(账户总表!$A:$A))*N102,0)</f>
        <v>7294.812</v>
      </c>
      <c r="P102" s="78" t="n">
        <f aca="false">IFERROR(O102/D102,0)</f>
        <v>0</v>
      </c>
      <c r="Q102" s="78" t="n">
        <f aca="false">IFERROR(FLOOR(P102,100),0)</f>
        <v>0</v>
      </c>
      <c r="R102" s="78" t="n">
        <f aca="false">IFERROR(CEILING(800/(100*D102),1)*100,0)</f>
        <v>0</v>
      </c>
      <c r="S102" s="79"/>
      <c r="T102" s="77" t="n">
        <f aca="false">IFERROR(S102*D102,0)</f>
        <v>0</v>
      </c>
      <c r="U102" s="76" t="n">
        <f aca="false">IFERROR(T102/INDEX(账户总表!$B:$B,COUNTA(账户总表!$A:$A)),0)</f>
        <v>0</v>
      </c>
      <c r="V102" s="76" t="n">
        <f aca="false">IFERROR(INDEX(账户总表!$E:$E,COUNTA(账户总表!$A:$A))+U102,0)</f>
        <v>0.407056412146057</v>
      </c>
      <c r="W102" s="75" t="str">
        <f aca="false">IF($A102="","",IFERROR(IF(V102&lt;=INDEX(账户总表!$N:$N,COUNTA(账户总表!$A:$A)),"是","否"),"否"))</f>
        <v/>
      </c>
      <c r="X102" s="77" t="str">
        <f aca="false">IF($A102="","",MAX(F102*0.98,D102*0.92))</f>
        <v/>
      </c>
      <c r="Y102" s="72"/>
      <c r="Z102" s="75" t="str">
        <f aca="false">IF($A102="","",IFERROR(IF(AND(T102&gt;INDEX(账户总表!$C:$C,COUNTA(账户总表!$A:$A)),L102="是"),"是","否"),"否"))</f>
        <v/>
      </c>
      <c r="AA102" s="77" t="str">
        <f aca="false">IF($A102="","",IFERROR(IF(Z102="是",MAX(0,T102-INDEX(账户总表!$C:$C,COUNTA(账户总表!$A:$A)),IF(N102&gt;0,T102/N102-INDEX(账户总表!$B:$B,COUNTA(账户总表!$A:$A)),0)),0),0))</f>
        <v/>
      </c>
      <c r="AB102" s="77" t="str">
        <f aca="false">IF($A102="","",IF(AND(Z102="是",INDEX(账户总表!$U:$U,COUNTA(账户总表!$A:$A))="是"),IF(INDEX(账户总表!$L:$L,COUNTA(账户总表!$A:$A))&gt;=4,AA102*1.5,AA102),0))</f>
        <v/>
      </c>
      <c r="AC102" s="75" t="str">
        <f aca="false">IF($A102="","",IF(AND(L102="是",Q102&gt;=R102,S102&lt;=Q102,S102&gt;=R102,W102="是",X102&gt;0,M102="是",INDEX(账户总表!$M:$M,COUNTA(账户总表!$A:$A))&lt;=2,INDEX(账户总表!$V:$V,COUNTA(账户总表!$A:$A))="是",OR(T102&lt;=INDEX(账户总表!$C:$C,COUNTA(账户总表!$A:$A)),AND(Z102="是",INDEX(账户总表!$U:$U,COUNTA(账户总表!$A:$A))="是",AB102&gt;0))),"是","否"))</f>
        <v/>
      </c>
      <c r="AD102" s="75" t="str">
        <f aca="false">IF($A102="","",IF(L102&lt;&gt;"是","信号未确认",IF(X102&lt;=0,"止损价未定义",IF(Q102&lt;R102,"100股约束不满足",IF(S102&gt;Q102,"计划股数超单股上限",IF(S102&lt;R102,"计划股数低于最小门槛",IF(W102&lt;&gt;"是","总仓位超限",IF(M102&lt;&gt;"是","追价",IF(INDEX(账户总表!$M:$M,COUNTA(账户总表!$A:$A))&gt;2,"亏钱效应偏高",IF(INDEX(账户总表!$V:$V,COUNTA(账户总表!$A:$A))&lt;&gt;"是","账户不允许新开仓",IF(AND(T102&gt;INDEX(账户总表!$C:$C,COUNTA(账户总表!$A:$A)),INDEX(账户总表!$U:$U,COUNTA(账户总表!$A:$A))&lt;&gt;"是"),"现金不足且不允许转入",IF(AND(Z102="是",AB102&lt;=0),"转入金额未满足",""))))))))))))</f>
        <v/>
      </c>
      <c r="AE102" s="71"/>
      <c r="AF102" s="1" t="str">
        <f aca="false">IF($A102="","",D102*100)</f>
        <v/>
      </c>
      <c r="AG102" s="1" t="str">
        <f aca="false">IF($A102="","",IFERROR(AF102/INDEX(账户总表!$B:$B,COUNTA(账户总表!$A:$A)),0))</f>
        <v/>
      </c>
      <c r="AH102" s="1" t="str">
        <f aca="false">IF($A102="","",IFERROR(INDEX(账户总表!$B:$B,COUNTA(账户总表!$A:$A))*INDEX(账户总表!$O:$O,COUNTA(账户总表!$A:$A)),0))</f>
        <v/>
      </c>
      <c r="AI102" s="1" t="str">
        <f aca="false">IF($A102="","",IF(AF102&gt;AH102,"超限","合规"))</f>
        <v/>
      </c>
      <c r="AJ102" s="1" t="str">
        <f aca="false">IF($A102="","",IFERROR(AF102/INDEX(账户总表!$O:$O,COUNTA(账户总表!$A:$A)),0))</f>
        <v/>
      </c>
      <c r="AK102" s="1" t="str">
        <f aca="false">IF($A102="","",IFERROR(MAX(0,AJ102-INDEX(账户总表!$B:$B,COUNTA(账户总表!$A:$A)),AF102-INDEX(账户总表!$C:$C,COUNTA(账户总表!$A:$A))),0))</f>
        <v/>
      </c>
      <c r="AL102" s="1" t="str">
        <f aca="false">IF($A102="","",IF(COUNTIF(持仓表!$C$2:$C$201,C102)&gt;0,"已有","新标的"))</f>
        <v/>
      </c>
      <c r="AM102" s="1" t="str">
        <f aca="false">IF($A102="","",IFERROR(SUMIFS(持仓表!$N$2:$N$201,持仓表!$C$2:$C$201,C102,持仓表!$A$2:$A$201,$A102),0))</f>
        <v/>
      </c>
      <c r="AN102" s="1" t="str">
        <f aca="false">IF($A102="","",IFERROR(AM102+AF102/INDEX(账户总表!$B:$B,COUNTA(账户总表!$A:$A)),0))</f>
        <v/>
      </c>
      <c r="AO102" s="1" t="str">
        <f aca="false">IF($A102="","",IF(AN102&gt;INDEX(账户总表!$O:$O,COUNTA(账户总表!$A:$A)),"超限","合规"))</f>
        <v/>
      </c>
      <c r="AP102" s="1" t="str">
        <f aca="false">IF($A102="","",IF(AND(AL102="新标的",INDEX(账户总表!$R:$R,COUNTA(账户总表!$A:$A))&gt;=INDEX(账户总表!$S:$S,COUNTA(账户总表!$A:$A))),"新增受限","可通过"))</f>
        <v/>
      </c>
      <c r="AQ102" s="1" t="str">
        <f aca="false">IF($A102="","",IF(K102&lt;&gt;"核心池","非核心池",IF(OR(AI102="超限",AO102="超限",AP102="新增受限"),"不可加仓","可加仓")))</f>
        <v/>
      </c>
      <c r="AR102" s="1" t="str">
        <f aca="false">IF($A102="","",TRIM(IF(AI102="超限","1手超单股上限；","")&amp;IF(AO102="超限","买后仓位超限；","")&amp;IF(AP102="新增受限","有效持仓数超限；","")&amp;IF(AF102&gt;INDEX(账户总表!$C:$C,COUNTA(账户总表!$A:$A)),"现金不足；","")))</f>
        <v/>
      </c>
      <c r="AS102" s="1" t="str">
        <f aca="false">IF($A102="","",IFERROR(INDEX(候选池历史!$L:$L,MATCH(1,(候选池历史!$B:$B=C102)*(候选池历史!$A:$A=$A102),0)),0))</f>
        <v/>
      </c>
      <c r="AT102" s="1" t="str">
        <f aca="false">IF($A102="","",IF(AS102&gt;=3,"★信号强化",IF(K102="核心池","核心观察","")))</f>
        <v/>
      </c>
      <c r="AU102" s="1" t="str">
        <f aca="false">IF($A102="","",IF(AK102&gt;30000-INDEX(账户总表!$B:$B,COUNTA(账户总表!$A:$A)),"不适合婴儿阶段","可纳入幼儿路径"))</f>
        <v/>
      </c>
    </row>
    <row r="103" customFormat="false" ht="15" hidden="false" customHeight="true" outlineLevel="0" collapsed="false">
      <c r="A103" s="70"/>
      <c r="B103" s="71"/>
      <c r="C103" s="72"/>
      <c r="D103" s="73"/>
      <c r="E103" s="73"/>
      <c r="F103" s="73"/>
      <c r="G103" s="74"/>
      <c r="H103" s="72"/>
      <c r="I103" s="72"/>
      <c r="J103" s="71"/>
      <c r="K103" s="75" t="str">
        <f aca="false">IF($A103="","",IF(AND(G103&lt;45%,H103&gt;=0.9),"A",IF(AND(G103&lt;60%,H103&gt;0.8),"B","C")))</f>
        <v/>
      </c>
      <c r="L103" s="75" t="str">
        <f aca="false">IF($A103="","",IF(AND(G103&lt;60%,H103&gt;0.8,I103="True"),"是","否"))</f>
        <v/>
      </c>
      <c r="M103" s="75" t="str">
        <f aca="false">IF($A103="","",IF(AND(D103&gt;0,E103&gt;0,D103&lt;=E103*1.02),"是","否"))</f>
        <v/>
      </c>
      <c r="N103" s="76" t="n">
        <f aca="false">IFERROR(INDEX(账户总表!$O:$O,COUNTA(账户总表!$A:$A)),0)</f>
        <v>0.35</v>
      </c>
      <c r="O103" s="77" t="n">
        <f aca="false">IFERROR(INDEX(账户总表!$B:$B,COUNTA(账户总表!$A:$A))*N103,0)</f>
        <v>7294.812</v>
      </c>
      <c r="P103" s="78" t="n">
        <f aca="false">IFERROR(O103/D103,0)</f>
        <v>0</v>
      </c>
      <c r="Q103" s="78" t="n">
        <f aca="false">IFERROR(FLOOR(P103,100),0)</f>
        <v>0</v>
      </c>
      <c r="R103" s="78" t="n">
        <f aca="false">IFERROR(CEILING(800/(100*D103),1)*100,0)</f>
        <v>0</v>
      </c>
      <c r="S103" s="79"/>
      <c r="T103" s="77" t="n">
        <f aca="false">IFERROR(S103*D103,0)</f>
        <v>0</v>
      </c>
      <c r="U103" s="76" t="n">
        <f aca="false">IFERROR(T103/INDEX(账户总表!$B:$B,COUNTA(账户总表!$A:$A)),0)</f>
        <v>0</v>
      </c>
      <c r="V103" s="76" t="n">
        <f aca="false">IFERROR(INDEX(账户总表!$E:$E,COUNTA(账户总表!$A:$A))+U103,0)</f>
        <v>0.407056412146057</v>
      </c>
      <c r="W103" s="75" t="str">
        <f aca="false">IF($A103="","",IFERROR(IF(V103&lt;=INDEX(账户总表!$N:$N,COUNTA(账户总表!$A:$A)),"是","否"),"否"))</f>
        <v/>
      </c>
      <c r="X103" s="77" t="str">
        <f aca="false">IF($A103="","",MAX(F103*0.98,D103*0.92))</f>
        <v/>
      </c>
      <c r="Y103" s="72"/>
      <c r="Z103" s="75" t="str">
        <f aca="false">IF($A103="","",IFERROR(IF(AND(T103&gt;INDEX(账户总表!$C:$C,COUNTA(账户总表!$A:$A)),L103="是"),"是","否"),"否"))</f>
        <v/>
      </c>
      <c r="AA103" s="77" t="str">
        <f aca="false">IF($A103="","",IFERROR(IF(Z103="是",MAX(0,T103-INDEX(账户总表!$C:$C,COUNTA(账户总表!$A:$A)),IF(N103&gt;0,T103/N103-INDEX(账户总表!$B:$B,COUNTA(账户总表!$A:$A)),0)),0),0))</f>
        <v/>
      </c>
      <c r="AB103" s="77" t="str">
        <f aca="false">IF($A103="","",IF(AND(Z103="是",INDEX(账户总表!$U:$U,COUNTA(账户总表!$A:$A))="是"),IF(INDEX(账户总表!$L:$L,COUNTA(账户总表!$A:$A))&gt;=4,AA103*1.5,AA103),0))</f>
        <v/>
      </c>
      <c r="AC103" s="75" t="str">
        <f aca="false">IF($A103="","",IF(AND(L103="是",Q103&gt;=R103,S103&lt;=Q103,S103&gt;=R103,W103="是",X103&gt;0,M103="是",INDEX(账户总表!$M:$M,COUNTA(账户总表!$A:$A))&lt;=2,INDEX(账户总表!$V:$V,COUNTA(账户总表!$A:$A))="是",OR(T103&lt;=INDEX(账户总表!$C:$C,COUNTA(账户总表!$A:$A)),AND(Z103="是",INDEX(账户总表!$U:$U,COUNTA(账户总表!$A:$A))="是",AB103&gt;0))),"是","否"))</f>
        <v/>
      </c>
      <c r="AD103" s="75" t="str">
        <f aca="false">IF($A103="","",IF(L103&lt;&gt;"是","信号未确认",IF(X103&lt;=0,"止损价未定义",IF(Q103&lt;R103,"100股约束不满足",IF(S103&gt;Q103,"计划股数超单股上限",IF(S103&lt;R103,"计划股数低于最小门槛",IF(W103&lt;&gt;"是","总仓位超限",IF(M103&lt;&gt;"是","追价",IF(INDEX(账户总表!$M:$M,COUNTA(账户总表!$A:$A))&gt;2,"亏钱效应偏高",IF(INDEX(账户总表!$V:$V,COUNTA(账户总表!$A:$A))&lt;&gt;"是","账户不允许新开仓",IF(AND(T103&gt;INDEX(账户总表!$C:$C,COUNTA(账户总表!$A:$A)),INDEX(账户总表!$U:$U,COUNTA(账户总表!$A:$A))&lt;&gt;"是"),"现金不足且不允许转入",IF(AND(Z103="是",AB103&lt;=0),"转入金额未满足",""))))))))))))</f>
        <v/>
      </c>
      <c r="AE103" s="71"/>
      <c r="AF103" s="1" t="str">
        <f aca="false">IF($A103="","",D103*100)</f>
        <v/>
      </c>
      <c r="AG103" s="1" t="str">
        <f aca="false">IF($A103="","",IFERROR(AF103/INDEX(账户总表!$B:$B,COUNTA(账户总表!$A:$A)),0))</f>
        <v/>
      </c>
      <c r="AH103" s="1" t="str">
        <f aca="false">IF($A103="","",IFERROR(INDEX(账户总表!$B:$B,COUNTA(账户总表!$A:$A))*INDEX(账户总表!$O:$O,COUNTA(账户总表!$A:$A)),0))</f>
        <v/>
      </c>
      <c r="AI103" s="1" t="str">
        <f aca="false">IF($A103="","",IF(AF103&gt;AH103,"超限","合规"))</f>
        <v/>
      </c>
      <c r="AJ103" s="1" t="str">
        <f aca="false">IF($A103="","",IFERROR(AF103/INDEX(账户总表!$O:$O,COUNTA(账户总表!$A:$A)),0))</f>
        <v/>
      </c>
      <c r="AK103" s="1" t="str">
        <f aca="false">IF($A103="","",IFERROR(MAX(0,AJ103-INDEX(账户总表!$B:$B,COUNTA(账户总表!$A:$A)),AF103-INDEX(账户总表!$C:$C,COUNTA(账户总表!$A:$A))),0))</f>
        <v/>
      </c>
      <c r="AL103" s="1" t="str">
        <f aca="false">IF($A103="","",IF(COUNTIF(持仓表!$C$2:$C$201,C103)&gt;0,"已有","新标的"))</f>
        <v/>
      </c>
      <c r="AM103" s="1" t="str">
        <f aca="false">IF($A103="","",IFERROR(SUMIFS(持仓表!$N$2:$N$201,持仓表!$C$2:$C$201,C103,持仓表!$A$2:$A$201,$A103),0))</f>
        <v/>
      </c>
      <c r="AN103" s="1" t="str">
        <f aca="false">IF($A103="","",IFERROR(AM103+AF103/INDEX(账户总表!$B:$B,COUNTA(账户总表!$A:$A)),0))</f>
        <v/>
      </c>
      <c r="AO103" s="1" t="str">
        <f aca="false">IF($A103="","",IF(AN103&gt;INDEX(账户总表!$O:$O,COUNTA(账户总表!$A:$A)),"超限","合规"))</f>
        <v/>
      </c>
      <c r="AP103" s="1" t="str">
        <f aca="false">IF($A103="","",IF(AND(AL103="新标的",INDEX(账户总表!$R:$R,COUNTA(账户总表!$A:$A))&gt;=INDEX(账户总表!$S:$S,COUNTA(账户总表!$A:$A))),"新增受限","可通过"))</f>
        <v/>
      </c>
      <c r="AQ103" s="1" t="str">
        <f aca="false">IF($A103="","",IF(K103&lt;&gt;"核心池","非核心池",IF(OR(AI103="超限",AO103="超限",AP103="新增受限"),"不可加仓","可加仓")))</f>
        <v/>
      </c>
      <c r="AR103" s="1" t="str">
        <f aca="false">IF($A103="","",TRIM(IF(AI103="超限","1手超单股上限；","")&amp;IF(AO103="超限","买后仓位超限；","")&amp;IF(AP103="新增受限","有效持仓数超限；","")&amp;IF(AF103&gt;INDEX(账户总表!$C:$C,COUNTA(账户总表!$A:$A)),"现金不足；","")))</f>
        <v/>
      </c>
      <c r="AS103" s="1" t="str">
        <f aca="false">IF($A103="","",IFERROR(INDEX(候选池历史!$L:$L,MATCH(1,(候选池历史!$B:$B=C103)*(候选池历史!$A:$A=$A103),0)),0))</f>
        <v/>
      </c>
      <c r="AT103" s="1" t="str">
        <f aca="false">IF($A103="","",IF(AS103&gt;=3,"★信号强化",IF(K103="核心池","核心观察","")))</f>
        <v/>
      </c>
      <c r="AU103" s="1" t="str">
        <f aca="false">IF($A103="","",IF(AK103&gt;30000-INDEX(账户总表!$B:$B,COUNTA(账户总表!$A:$A)),"不适合婴儿阶段","可纳入幼儿路径"))</f>
        <v/>
      </c>
    </row>
    <row r="104" customFormat="false" ht="15" hidden="false" customHeight="true" outlineLevel="0" collapsed="false">
      <c r="A104" s="70"/>
      <c r="B104" s="71"/>
      <c r="C104" s="72"/>
      <c r="D104" s="73"/>
      <c r="E104" s="73"/>
      <c r="F104" s="73"/>
      <c r="G104" s="74"/>
      <c r="H104" s="72"/>
      <c r="I104" s="72"/>
      <c r="J104" s="71"/>
      <c r="K104" s="75" t="str">
        <f aca="false">IF($A104="","",IF(AND(G104&lt;45%,H104&gt;=0.9),"A",IF(AND(G104&lt;60%,H104&gt;0.8),"B","C")))</f>
        <v/>
      </c>
      <c r="L104" s="75" t="str">
        <f aca="false">IF($A104="","",IF(AND(G104&lt;60%,H104&gt;0.8,I104="True"),"是","否"))</f>
        <v/>
      </c>
      <c r="M104" s="75" t="str">
        <f aca="false">IF($A104="","",IF(AND(D104&gt;0,E104&gt;0,D104&lt;=E104*1.02),"是","否"))</f>
        <v/>
      </c>
      <c r="N104" s="76" t="n">
        <f aca="false">IFERROR(INDEX(账户总表!$O:$O,COUNTA(账户总表!$A:$A)),0)</f>
        <v>0.35</v>
      </c>
      <c r="O104" s="77" t="n">
        <f aca="false">IFERROR(INDEX(账户总表!$B:$B,COUNTA(账户总表!$A:$A))*N104,0)</f>
        <v>7294.812</v>
      </c>
      <c r="P104" s="78" t="n">
        <f aca="false">IFERROR(O104/D104,0)</f>
        <v>0</v>
      </c>
      <c r="Q104" s="78" t="n">
        <f aca="false">IFERROR(FLOOR(P104,100),0)</f>
        <v>0</v>
      </c>
      <c r="R104" s="78" t="n">
        <f aca="false">IFERROR(CEILING(800/(100*D104),1)*100,0)</f>
        <v>0</v>
      </c>
      <c r="S104" s="79"/>
      <c r="T104" s="77" t="n">
        <f aca="false">IFERROR(S104*D104,0)</f>
        <v>0</v>
      </c>
      <c r="U104" s="76" t="n">
        <f aca="false">IFERROR(T104/INDEX(账户总表!$B:$B,COUNTA(账户总表!$A:$A)),0)</f>
        <v>0</v>
      </c>
      <c r="V104" s="76" t="n">
        <f aca="false">IFERROR(INDEX(账户总表!$E:$E,COUNTA(账户总表!$A:$A))+U104,0)</f>
        <v>0.407056412146057</v>
      </c>
      <c r="W104" s="75" t="str">
        <f aca="false">IF($A104="","",IFERROR(IF(V104&lt;=INDEX(账户总表!$N:$N,COUNTA(账户总表!$A:$A)),"是","否"),"否"))</f>
        <v/>
      </c>
      <c r="X104" s="77" t="str">
        <f aca="false">IF($A104="","",MAX(F104*0.98,D104*0.92))</f>
        <v/>
      </c>
      <c r="Y104" s="72"/>
      <c r="Z104" s="75" t="str">
        <f aca="false">IF($A104="","",IFERROR(IF(AND(T104&gt;INDEX(账户总表!$C:$C,COUNTA(账户总表!$A:$A)),L104="是"),"是","否"),"否"))</f>
        <v/>
      </c>
      <c r="AA104" s="77" t="str">
        <f aca="false">IF($A104="","",IFERROR(IF(Z104="是",MAX(0,T104-INDEX(账户总表!$C:$C,COUNTA(账户总表!$A:$A)),IF(N104&gt;0,T104/N104-INDEX(账户总表!$B:$B,COUNTA(账户总表!$A:$A)),0)),0),0))</f>
        <v/>
      </c>
      <c r="AB104" s="77" t="str">
        <f aca="false">IF($A104="","",IF(AND(Z104="是",INDEX(账户总表!$U:$U,COUNTA(账户总表!$A:$A))="是"),IF(INDEX(账户总表!$L:$L,COUNTA(账户总表!$A:$A))&gt;=4,AA104*1.5,AA104),0))</f>
        <v/>
      </c>
      <c r="AC104" s="75" t="str">
        <f aca="false">IF($A104="","",IF(AND(L104="是",Q104&gt;=R104,S104&lt;=Q104,S104&gt;=R104,W104="是",X104&gt;0,M104="是",INDEX(账户总表!$M:$M,COUNTA(账户总表!$A:$A))&lt;=2,INDEX(账户总表!$V:$V,COUNTA(账户总表!$A:$A))="是",OR(T104&lt;=INDEX(账户总表!$C:$C,COUNTA(账户总表!$A:$A)),AND(Z104="是",INDEX(账户总表!$U:$U,COUNTA(账户总表!$A:$A))="是",AB104&gt;0))),"是","否"))</f>
        <v/>
      </c>
      <c r="AD104" s="75" t="str">
        <f aca="false">IF($A104="","",IF(L104&lt;&gt;"是","信号未确认",IF(X104&lt;=0,"止损价未定义",IF(Q104&lt;R104,"100股约束不满足",IF(S104&gt;Q104,"计划股数超单股上限",IF(S104&lt;R104,"计划股数低于最小门槛",IF(W104&lt;&gt;"是","总仓位超限",IF(M104&lt;&gt;"是","追价",IF(INDEX(账户总表!$M:$M,COUNTA(账户总表!$A:$A))&gt;2,"亏钱效应偏高",IF(INDEX(账户总表!$V:$V,COUNTA(账户总表!$A:$A))&lt;&gt;"是","账户不允许新开仓",IF(AND(T104&gt;INDEX(账户总表!$C:$C,COUNTA(账户总表!$A:$A)),INDEX(账户总表!$U:$U,COUNTA(账户总表!$A:$A))&lt;&gt;"是"),"现金不足且不允许转入",IF(AND(Z104="是",AB104&lt;=0),"转入金额未满足",""))))))))))))</f>
        <v/>
      </c>
      <c r="AE104" s="71"/>
      <c r="AF104" s="1" t="str">
        <f aca="false">IF($A104="","",D104*100)</f>
        <v/>
      </c>
      <c r="AG104" s="1" t="str">
        <f aca="false">IF($A104="","",IFERROR(AF104/INDEX(账户总表!$B:$B,COUNTA(账户总表!$A:$A)),0))</f>
        <v/>
      </c>
      <c r="AH104" s="1" t="str">
        <f aca="false">IF($A104="","",IFERROR(INDEX(账户总表!$B:$B,COUNTA(账户总表!$A:$A))*INDEX(账户总表!$O:$O,COUNTA(账户总表!$A:$A)),0))</f>
        <v/>
      </c>
      <c r="AI104" s="1" t="str">
        <f aca="false">IF($A104="","",IF(AF104&gt;AH104,"超限","合规"))</f>
        <v/>
      </c>
      <c r="AJ104" s="1" t="str">
        <f aca="false">IF($A104="","",IFERROR(AF104/INDEX(账户总表!$O:$O,COUNTA(账户总表!$A:$A)),0))</f>
        <v/>
      </c>
      <c r="AK104" s="1" t="str">
        <f aca="false">IF($A104="","",IFERROR(MAX(0,AJ104-INDEX(账户总表!$B:$B,COUNTA(账户总表!$A:$A)),AF104-INDEX(账户总表!$C:$C,COUNTA(账户总表!$A:$A))),0))</f>
        <v/>
      </c>
      <c r="AL104" s="1" t="str">
        <f aca="false">IF($A104="","",IF(COUNTIF(持仓表!$C$2:$C$201,C104)&gt;0,"已有","新标的"))</f>
        <v/>
      </c>
      <c r="AM104" s="1" t="str">
        <f aca="false">IF($A104="","",IFERROR(SUMIFS(持仓表!$N$2:$N$201,持仓表!$C$2:$C$201,C104,持仓表!$A$2:$A$201,$A104),0))</f>
        <v/>
      </c>
      <c r="AN104" s="1" t="str">
        <f aca="false">IF($A104="","",IFERROR(AM104+AF104/INDEX(账户总表!$B:$B,COUNTA(账户总表!$A:$A)),0))</f>
        <v/>
      </c>
      <c r="AO104" s="1" t="str">
        <f aca="false">IF($A104="","",IF(AN104&gt;INDEX(账户总表!$O:$O,COUNTA(账户总表!$A:$A)),"超限","合规"))</f>
        <v/>
      </c>
      <c r="AP104" s="1" t="str">
        <f aca="false">IF($A104="","",IF(AND(AL104="新标的",INDEX(账户总表!$R:$R,COUNTA(账户总表!$A:$A))&gt;=INDEX(账户总表!$S:$S,COUNTA(账户总表!$A:$A))),"新增受限","可通过"))</f>
        <v/>
      </c>
      <c r="AQ104" s="1" t="str">
        <f aca="false">IF($A104="","",IF(K104&lt;&gt;"核心池","非核心池",IF(OR(AI104="超限",AO104="超限",AP104="新增受限"),"不可加仓","可加仓")))</f>
        <v/>
      </c>
      <c r="AR104" s="1" t="str">
        <f aca="false">IF($A104="","",TRIM(IF(AI104="超限","1手超单股上限；","")&amp;IF(AO104="超限","买后仓位超限；","")&amp;IF(AP104="新增受限","有效持仓数超限；","")&amp;IF(AF104&gt;INDEX(账户总表!$C:$C,COUNTA(账户总表!$A:$A)),"现金不足；","")))</f>
        <v/>
      </c>
      <c r="AS104" s="1" t="str">
        <f aca="false">IF($A104="","",IFERROR(INDEX(候选池历史!$L:$L,MATCH(1,(候选池历史!$B:$B=C104)*(候选池历史!$A:$A=$A104),0)),0))</f>
        <v/>
      </c>
      <c r="AT104" s="1" t="str">
        <f aca="false">IF($A104="","",IF(AS104&gt;=3,"★信号强化",IF(K104="核心池","核心观察","")))</f>
        <v/>
      </c>
      <c r="AU104" s="1" t="str">
        <f aca="false">IF($A104="","",IF(AK104&gt;30000-INDEX(账户总表!$B:$B,COUNTA(账户总表!$A:$A)),"不适合婴儿阶段","可纳入幼儿路径"))</f>
        <v/>
      </c>
    </row>
    <row r="105" customFormat="false" ht="15" hidden="false" customHeight="true" outlineLevel="0" collapsed="false">
      <c r="A105" s="70"/>
      <c r="B105" s="71"/>
      <c r="C105" s="72"/>
      <c r="D105" s="73"/>
      <c r="E105" s="73"/>
      <c r="F105" s="73"/>
      <c r="G105" s="74"/>
      <c r="H105" s="72"/>
      <c r="I105" s="72"/>
      <c r="J105" s="71"/>
      <c r="K105" s="75" t="str">
        <f aca="false">IF($A105="","",IF(AND(G105&lt;45%,H105&gt;=0.9),"A",IF(AND(G105&lt;60%,H105&gt;0.8),"B","C")))</f>
        <v/>
      </c>
      <c r="L105" s="75" t="str">
        <f aca="false">IF($A105="","",IF(AND(G105&lt;60%,H105&gt;0.8,I105="True"),"是","否"))</f>
        <v/>
      </c>
      <c r="M105" s="75" t="str">
        <f aca="false">IF($A105="","",IF(AND(D105&gt;0,E105&gt;0,D105&lt;=E105*1.02),"是","否"))</f>
        <v/>
      </c>
      <c r="N105" s="76" t="n">
        <f aca="false">IFERROR(INDEX(账户总表!$O:$O,COUNTA(账户总表!$A:$A)),0)</f>
        <v>0.35</v>
      </c>
      <c r="O105" s="77" t="n">
        <f aca="false">IFERROR(INDEX(账户总表!$B:$B,COUNTA(账户总表!$A:$A))*N105,0)</f>
        <v>7294.812</v>
      </c>
      <c r="P105" s="78" t="n">
        <f aca="false">IFERROR(O105/D105,0)</f>
        <v>0</v>
      </c>
      <c r="Q105" s="78" t="n">
        <f aca="false">IFERROR(FLOOR(P105,100),0)</f>
        <v>0</v>
      </c>
      <c r="R105" s="78" t="n">
        <f aca="false">IFERROR(CEILING(800/(100*D105),1)*100,0)</f>
        <v>0</v>
      </c>
      <c r="S105" s="79"/>
      <c r="T105" s="77" t="n">
        <f aca="false">IFERROR(S105*D105,0)</f>
        <v>0</v>
      </c>
      <c r="U105" s="76" t="n">
        <f aca="false">IFERROR(T105/INDEX(账户总表!$B:$B,COUNTA(账户总表!$A:$A)),0)</f>
        <v>0</v>
      </c>
      <c r="V105" s="76" t="n">
        <f aca="false">IFERROR(INDEX(账户总表!$E:$E,COUNTA(账户总表!$A:$A))+U105,0)</f>
        <v>0.407056412146057</v>
      </c>
      <c r="W105" s="75" t="str">
        <f aca="false">IF($A105="","",IFERROR(IF(V105&lt;=INDEX(账户总表!$N:$N,COUNTA(账户总表!$A:$A)),"是","否"),"否"))</f>
        <v/>
      </c>
      <c r="X105" s="77" t="str">
        <f aca="false">IF($A105="","",MAX(F105*0.98,D105*0.92))</f>
        <v/>
      </c>
      <c r="Y105" s="72"/>
      <c r="Z105" s="75" t="str">
        <f aca="false">IF($A105="","",IFERROR(IF(AND(T105&gt;INDEX(账户总表!$C:$C,COUNTA(账户总表!$A:$A)),L105="是"),"是","否"),"否"))</f>
        <v/>
      </c>
      <c r="AA105" s="77" t="str">
        <f aca="false">IF($A105="","",IFERROR(IF(Z105="是",MAX(0,T105-INDEX(账户总表!$C:$C,COUNTA(账户总表!$A:$A)),IF(N105&gt;0,T105/N105-INDEX(账户总表!$B:$B,COUNTA(账户总表!$A:$A)),0)),0),0))</f>
        <v/>
      </c>
      <c r="AB105" s="77" t="str">
        <f aca="false">IF($A105="","",IF(AND(Z105="是",INDEX(账户总表!$U:$U,COUNTA(账户总表!$A:$A))="是"),IF(INDEX(账户总表!$L:$L,COUNTA(账户总表!$A:$A))&gt;=4,AA105*1.5,AA105),0))</f>
        <v/>
      </c>
      <c r="AC105" s="75" t="str">
        <f aca="false">IF($A105="","",IF(AND(L105="是",Q105&gt;=R105,S105&lt;=Q105,S105&gt;=R105,W105="是",X105&gt;0,M105="是",INDEX(账户总表!$M:$M,COUNTA(账户总表!$A:$A))&lt;=2,INDEX(账户总表!$V:$V,COUNTA(账户总表!$A:$A))="是",OR(T105&lt;=INDEX(账户总表!$C:$C,COUNTA(账户总表!$A:$A)),AND(Z105="是",INDEX(账户总表!$U:$U,COUNTA(账户总表!$A:$A))="是",AB105&gt;0))),"是","否"))</f>
        <v/>
      </c>
      <c r="AD105" s="75" t="str">
        <f aca="false">IF($A105="","",IF(L105&lt;&gt;"是","信号未确认",IF(X105&lt;=0,"止损价未定义",IF(Q105&lt;R105,"100股约束不满足",IF(S105&gt;Q105,"计划股数超单股上限",IF(S105&lt;R105,"计划股数低于最小门槛",IF(W105&lt;&gt;"是","总仓位超限",IF(M105&lt;&gt;"是","追价",IF(INDEX(账户总表!$M:$M,COUNTA(账户总表!$A:$A))&gt;2,"亏钱效应偏高",IF(INDEX(账户总表!$V:$V,COUNTA(账户总表!$A:$A))&lt;&gt;"是","账户不允许新开仓",IF(AND(T105&gt;INDEX(账户总表!$C:$C,COUNTA(账户总表!$A:$A)),INDEX(账户总表!$U:$U,COUNTA(账户总表!$A:$A))&lt;&gt;"是"),"现金不足且不允许转入",IF(AND(Z105="是",AB105&lt;=0),"转入金额未满足",""))))))))))))</f>
        <v/>
      </c>
      <c r="AE105" s="71"/>
      <c r="AF105" s="1" t="str">
        <f aca="false">IF($A105="","",D105*100)</f>
        <v/>
      </c>
      <c r="AG105" s="1" t="str">
        <f aca="false">IF($A105="","",IFERROR(AF105/INDEX(账户总表!$B:$B,COUNTA(账户总表!$A:$A)),0))</f>
        <v/>
      </c>
      <c r="AH105" s="1" t="str">
        <f aca="false">IF($A105="","",IFERROR(INDEX(账户总表!$B:$B,COUNTA(账户总表!$A:$A))*INDEX(账户总表!$O:$O,COUNTA(账户总表!$A:$A)),0))</f>
        <v/>
      </c>
      <c r="AI105" s="1" t="str">
        <f aca="false">IF($A105="","",IF(AF105&gt;AH105,"超限","合规"))</f>
        <v/>
      </c>
      <c r="AJ105" s="1" t="str">
        <f aca="false">IF($A105="","",IFERROR(AF105/INDEX(账户总表!$O:$O,COUNTA(账户总表!$A:$A)),0))</f>
        <v/>
      </c>
      <c r="AK105" s="1" t="str">
        <f aca="false">IF($A105="","",IFERROR(MAX(0,AJ105-INDEX(账户总表!$B:$B,COUNTA(账户总表!$A:$A)),AF105-INDEX(账户总表!$C:$C,COUNTA(账户总表!$A:$A))),0))</f>
        <v/>
      </c>
      <c r="AL105" s="1" t="str">
        <f aca="false">IF($A105="","",IF(COUNTIF(持仓表!$C$2:$C$201,C105)&gt;0,"已有","新标的"))</f>
        <v/>
      </c>
      <c r="AM105" s="1" t="str">
        <f aca="false">IF($A105="","",IFERROR(SUMIFS(持仓表!$N$2:$N$201,持仓表!$C$2:$C$201,C105,持仓表!$A$2:$A$201,$A105),0))</f>
        <v/>
      </c>
      <c r="AN105" s="1" t="str">
        <f aca="false">IF($A105="","",IFERROR(AM105+AF105/INDEX(账户总表!$B:$B,COUNTA(账户总表!$A:$A)),0))</f>
        <v/>
      </c>
      <c r="AO105" s="1" t="str">
        <f aca="false">IF($A105="","",IF(AN105&gt;INDEX(账户总表!$O:$O,COUNTA(账户总表!$A:$A)),"超限","合规"))</f>
        <v/>
      </c>
      <c r="AP105" s="1" t="str">
        <f aca="false">IF($A105="","",IF(AND(AL105="新标的",INDEX(账户总表!$R:$R,COUNTA(账户总表!$A:$A))&gt;=INDEX(账户总表!$S:$S,COUNTA(账户总表!$A:$A))),"新增受限","可通过"))</f>
        <v/>
      </c>
      <c r="AQ105" s="1" t="str">
        <f aca="false">IF($A105="","",IF(K105&lt;&gt;"核心池","非核心池",IF(OR(AI105="超限",AO105="超限",AP105="新增受限"),"不可加仓","可加仓")))</f>
        <v/>
      </c>
      <c r="AR105" s="1" t="str">
        <f aca="false">IF($A105="","",TRIM(IF(AI105="超限","1手超单股上限；","")&amp;IF(AO105="超限","买后仓位超限；","")&amp;IF(AP105="新增受限","有效持仓数超限；","")&amp;IF(AF105&gt;INDEX(账户总表!$C:$C,COUNTA(账户总表!$A:$A)),"现金不足；","")))</f>
        <v/>
      </c>
      <c r="AS105" s="1" t="str">
        <f aca="false">IF($A105="","",IFERROR(INDEX(候选池历史!$L:$L,MATCH(1,(候选池历史!$B:$B=C105)*(候选池历史!$A:$A=$A105),0)),0))</f>
        <v/>
      </c>
      <c r="AT105" s="1" t="str">
        <f aca="false">IF($A105="","",IF(AS105&gt;=3,"★信号强化",IF(K105="核心池","核心观察","")))</f>
        <v/>
      </c>
      <c r="AU105" s="1" t="str">
        <f aca="false">IF($A105="","",IF(AK105&gt;30000-INDEX(账户总表!$B:$B,COUNTA(账户总表!$A:$A)),"不适合婴儿阶段","可纳入幼儿路径"))</f>
        <v/>
      </c>
    </row>
    <row r="106" customFormat="false" ht="15" hidden="false" customHeight="true" outlineLevel="0" collapsed="false">
      <c r="A106" s="70"/>
      <c r="B106" s="71"/>
      <c r="C106" s="72"/>
      <c r="D106" s="73"/>
      <c r="E106" s="73"/>
      <c r="F106" s="73"/>
      <c r="G106" s="74"/>
      <c r="H106" s="72"/>
      <c r="I106" s="72"/>
      <c r="J106" s="71"/>
      <c r="K106" s="75" t="str">
        <f aca="false">IF($A106="","",IF(AND(G106&lt;45%,H106&gt;=0.9),"A",IF(AND(G106&lt;60%,H106&gt;0.8),"B","C")))</f>
        <v/>
      </c>
      <c r="L106" s="75" t="str">
        <f aca="false">IF($A106="","",IF(AND(G106&lt;60%,H106&gt;0.8,I106="True"),"是","否"))</f>
        <v/>
      </c>
      <c r="M106" s="75" t="str">
        <f aca="false">IF($A106="","",IF(AND(D106&gt;0,E106&gt;0,D106&lt;=E106*1.02),"是","否"))</f>
        <v/>
      </c>
      <c r="N106" s="76" t="n">
        <f aca="false">IFERROR(INDEX(账户总表!$O:$O,COUNTA(账户总表!$A:$A)),0)</f>
        <v>0.35</v>
      </c>
      <c r="O106" s="77" t="n">
        <f aca="false">IFERROR(INDEX(账户总表!$B:$B,COUNTA(账户总表!$A:$A))*N106,0)</f>
        <v>7294.812</v>
      </c>
      <c r="P106" s="78" t="n">
        <f aca="false">IFERROR(O106/D106,0)</f>
        <v>0</v>
      </c>
      <c r="Q106" s="78" t="n">
        <f aca="false">IFERROR(FLOOR(P106,100),0)</f>
        <v>0</v>
      </c>
      <c r="R106" s="78" t="n">
        <f aca="false">IFERROR(CEILING(800/(100*D106),1)*100,0)</f>
        <v>0</v>
      </c>
      <c r="S106" s="79"/>
      <c r="T106" s="77" t="n">
        <f aca="false">IFERROR(S106*D106,0)</f>
        <v>0</v>
      </c>
      <c r="U106" s="76" t="n">
        <f aca="false">IFERROR(T106/INDEX(账户总表!$B:$B,COUNTA(账户总表!$A:$A)),0)</f>
        <v>0</v>
      </c>
      <c r="V106" s="76" t="n">
        <f aca="false">IFERROR(INDEX(账户总表!$E:$E,COUNTA(账户总表!$A:$A))+U106,0)</f>
        <v>0.407056412146057</v>
      </c>
      <c r="W106" s="75" t="str">
        <f aca="false">IF($A106="","",IFERROR(IF(V106&lt;=INDEX(账户总表!$N:$N,COUNTA(账户总表!$A:$A)),"是","否"),"否"))</f>
        <v/>
      </c>
      <c r="X106" s="77" t="str">
        <f aca="false">IF($A106="","",MAX(F106*0.98,D106*0.92))</f>
        <v/>
      </c>
      <c r="Y106" s="72"/>
      <c r="Z106" s="75" t="str">
        <f aca="false">IF($A106="","",IFERROR(IF(AND(T106&gt;INDEX(账户总表!$C:$C,COUNTA(账户总表!$A:$A)),L106="是"),"是","否"),"否"))</f>
        <v/>
      </c>
      <c r="AA106" s="77" t="str">
        <f aca="false">IF($A106="","",IFERROR(IF(Z106="是",MAX(0,T106-INDEX(账户总表!$C:$C,COUNTA(账户总表!$A:$A)),IF(N106&gt;0,T106/N106-INDEX(账户总表!$B:$B,COUNTA(账户总表!$A:$A)),0)),0),0))</f>
        <v/>
      </c>
      <c r="AB106" s="77" t="str">
        <f aca="false">IF($A106="","",IF(AND(Z106="是",INDEX(账户总表!$U:$U,COUNTA(账户总表!$A:$A))="是"),IF(INDEX(账户总表!$L:$L,COUNTA(账户总表!$A:$A))&gt;=4,AA106*1.5,AA106),0))</f>
        <v/>
      </c>
      <c r="AC106" s="75" t="str">
        <f aca="false">IF($A106="","",IF(AND(L106="是",Q106&gt;=R106,S106&lt;=Q106,S106&gt;=R106,W106="是",X106&gt;0,M106="是",INDEX(账户总表!$M:$M,COUNTA(账户总表!$A:$A))&lt;=2,INDEX(账户总表!$V:$V,COUNTA(账户总表!$A:$A))="是",OR(T106&lt;=INDEX(账户总表!$C:$C,COUNTA(账户总表!$A:$A)),AND(Z106="是",INDEX(账户总表!$U:$U,COUNTA(账户总表!$A:$A))="是",AB106&gt;0))),"是","否"))</f>
        <v/>
      </c>
      <c r="AD106" s="75" t="str">
        <f aca="false">IF($A106="","",IF(L106&lt;&gt;"是","信号未确认",IF(X106&lt;=0,"止损价未定义",IF(Q106&lt;R106,"100股约束不满足",IF(S106&gt;Q106,"计划股数超单股上限",IF(S106&lt;R106,"计划股数低于最小门槛",IF(W106&lt;&gt;"是","总仓位超限",IF(M106&lt;&gt;"是","追价",IF(INDEX(账户总表!$M:$M,COUNTA(账户总表!$A:$A))&gt;2,"亏钱效应偏高",IF(INDEX(账户总表!$V:$V,COUNTA(账户总表!$A:$A))&lt;&gt;"是","账户不允许新开仓",IF(AND(T106&gt;INDEX(账户总表!$C:$C,COUNTA(账户总表!$A:$A)),INDEX(账户总表!$U:$U,COUNTA(账户总表!$A:$A))&lt;&gt;"是"),"现金不足且不允许转入",IF(AND(Z106="是",AB106&lt;=0),"转入金额未满足",""))))))))))))</f>
        <v/>
      </c>
      <c r="AE106" s="71"/>
      <c r="AF106" s="1" t="str">
        <f aca="false">IF($A106="","",D106*100)</f>
        <v/>
      </c>
      <c r="AG106" s="1" t="str">
        <f aca="false">IF($A106="","",IFERROR(AF106/INDEX(账户总表!$B:$B,COUNTA(账户总表!$A:$A)),0))</f>
        <v/>
      </c>
      <c r="AH106" s="1" t="str">
        <f aca="false">IF($A106="","",IFERROR(INDEX(账户总表!$B:$B,COUNTA(账户总表!$A:$A))*INDEX(账户总表!$O:$O,COUNTA(账户总表!$A:$A)),0))</f>
        <v/>
      </c>
      <c r="AI106" s="1" t="str">
        <f aca="false">IF($A106="","",IF(AF106&gt;AH106,"超限","合规"))</f>
        <v/>
      </c>
      <c r="AJ106" s="1" t="str">
        <f aca="false">IF($A106="","",IFERROR(AF106/INDEX(账户总表!$O:$O,COUNTA(账户总表!$A:$A)),0))</f>
        <v/>
      </c>
      <c r="AK106" s="1" t="str">
        <f aca="false">IF($A106="","",IFERROR(MAX(0,AJ106-INDEX(账户总表!$B:$B,COUNTA(账户总表!$A:$A)),AF106-INDEX(账户总表!$C:$C,COUNTA(账户总表!$A:$A))),0))</f>
        <v/>
      </c>
      <c r="AL106" s="1" t="str">
        <f aca="false">IF($A106="","",IF(COUNTIF(持仓表!$C$2:$C$201,C106)&gt;0,"已有","新标的"))</f>
        <v/>
      </c>
      <c r="AM106" s="1" t="str">
        <f aca="false">IF($A106="","",IFERROR(SUMIFS(持仓表!$N$2:$N$201,持仓表!$C$2:$C$201,C106,持仓表!$A$2:$A$201,$A106),0))</f>
        <v/>
      </c>
      <c r="AN106" s="1" t="str">
        <f aca="false">IF($A106="","",IFERROR(AM106+AF106/INDEX(账户总表!$B:$B,COUNTA(账户总表!$A:$A)),0))</f>
        <v/>
      </c>
      <c r="AO106" s="1" t="str">
        <f aca="false">IF($A106="","",IF(AN106&gt;INDEX(账户总表!$O:$O,COUNTA(账户总表!$A:$A)),"超限","合规"))</f>
        <v/>
      </c>
      <c r="AP106" s="1" t="str">
        <f aca="false">IF($A106="","",IF(AND(AL106="新标的",INDEX(账户总表!$R:$R,COUNTA(账户总表!$A:$A))&gt;=INDEX(账户总表!$S:$S,COUNTA(账户总表!$A:$A))),"新增受限","可通过"))</f>
        <v/>
      </c>
      <c r="AQ106" s="1" t="str">
        <f aca="false">IF($A106="","",IF(K106&lt;&gt;"核心池","非核心池",IF(OR(AI106="超限",AO106="超限",AP106="新增受限"),"不可加仓","可加仓")))</f>
        <v/>
      </c>
      <c r="AR106" s="1" t="str">
        <f aca="false">IF($A106="","",TRIM(IF(AI106="超限","1手超单股上限；","")&amp;IF(AO106="超限","买后仓位超限；","")&amp;IF(AP106="新增受限","有效持仓数超限；","")&amp;IF(AF106&gt;INDEX(账户总表!$C:$C,COUNTA(账户总表!$A:$A)),"现金不足；","")))</f>
        <v/>
      </c>
      <c r="AS106" s="1" t="str">
        <f aca="false">IF($A106="","",IFERROR(INDEX(候选池历史!$L:$L,MATCH(1,(候选池历史!$B:$B=C106)*(候选池历史!$A:$A=$A106),0)),0))</f>
        <v/>
      </c>
      <c r="AT106" s="1" t="str">
        <f aca="false">IF($A106="","",IF(AS106&gt;=3,"★信号强化",IF(K106="核心池","核心观察","")))</f>
        <v/>
      </c>
      <c r="AU106" s="1" t="str">
        <f aca="false">IF($A106="","",IF(AK106&gt;30000-INDEX(账户总表!$B:$B,COUNTA(账户总表!$A:$A)),"不适合婴儿阶段","可纳入幼儿路径"))</f>
        <v/>
      </c>
    </row>
    <row r="107" customFormat="false" ht="15" hidden="false" customHeight="true" outlineLevel="0" collapsed="false">
      <c r="A107" s="70"/>
      <c r="B107" s="71"/>
      <c r="C107" s="72"/>
      <c r="D107" s="73"/>
      <c r="E107" s="73"/>
      <c r="F107" s="73"/>
      <c r="G107" s="74"/>
      <c r="H107" s="72"/>
      <c r="I107" s="72"/>
      <c r="J107" s="71"/>
      <c r="K107" s="75" t="str">
        <f aca="false">IF($A107="","",IF(AND(G107&lt;45%,H107&gt;=0.9),"A",IF(AND(G107&lt;60%,H107&gt;0.8),"B","C")))</f>
        <v/>
      </c>
      <c r="L107" s="75" t="str">
        <f aca="false">IF($A107="","",IF(AND(G107&lt;60%,H107&gt;0.8,I107="True"),"是","否"))</f>
        <v/>
      </c>
      <c r="M107" s="75" t="str">
        <f aca="false">IF($A107="","",IF(AND(D107&gt;0,E107&gt;0,D107&lt;=E107*1.02),"是","否"))</f>
        <v/>
      </c>
      <c r="N107" s="76" t="n">
        <f aca="false">IFERROR(INDEX(账户总表!$O:$O,COUNTA(账户总表!$A:$A)),0)</f>
        <v>0.35</v>
      </c>
      <c r="O107" s="77" t="n">
        <f aca="false">IFERROR(INDEX(账户总表!$B:$B,COUNTA(账户总表!$A:$A))*N107,0)</f>
        <v>7294.812</v>
      </c>
      <c r="P107" s="78" t="n">
        <f aca="false">IFERROR(O107/D107,0)</f>
        <v>0</v>
      </c>
      <c r="Q107" s="78" t="n">
        <f aca="false">IFERROR(FLOOR(P107,100),0)</f>
        <v>0</v>
      </c>
      <c r="R107" s="78" t="n">
        <f aca="false">IFERROR(CEILING(800/(100*D107),1)*100,0)</f>
        <v>0</v>
      </c>
      <c r="S107" s="79"/>
      <c r="T107" s="77" t="n">
        <f aca="false">IFERROR(S107*D107,0)</f>
        <v>0</v>
      </c>
      <c r="U107" s="76" t="n">
        <f aca="false">IFERROR(T107/INDEX(账户总表!$B:$B,COUNTA(账户总表!$A:$A)),0)</f>
        <v>0</v>
      </c>
      <c r="V107" s="76" t="n">
        <f aca="false">IFERROR(INDEX(账户总表!$E:$E,COUNTA(账户总表!$A:$A))+U107,0)</f>
        <v>0.407056412146057</v>
      </c>
      <c r="W107" s="75" t="str">
        <f aca="false">IF($A107="","",IFERROR(IF(V107&lt;=INDEX(账户总表!$N:$N,COUNTA(账户总表!$A:$A)),"是","否"),"否"))</f>
        <v/>
      </c>
      <c r="X107" s="77" t="str">
        <f aca="false">IF($A107="","",MAX(F107*0.98,D107*0.92))</f>
        <v/>
      </c>
      <c r="Y107" s="72"/>
      <c r="Z107" s="75" t="str">
        <f aca="false">IF($A107="","",IFERROR(IF(AND(T107&gt;INDEX(账户总表!$C:$C,COUNTA(账户总表!$A:$A)),L107="是"),"是","否"),"否"))</f>
        <v/>
      </c>
      <c r="AA107" s="77" t="str">
        <f aca="false">IF($A107="","",IFERROR(IF(Z107="是",MAX(0,T107-INDEX(账户总表!$C:$C,COUNTA(账户总表!$A:$A)),IF(N107&gt;0,T107/N107-INDEX(账户总表!$B:$B,COUNTA(账户总表!$A:$A)),0)),0),0))</f>
        <v/>
      </c>
      <c r="AB107" s="77" t="str">
        <f aca="false">IF($A107="","",IF(AND(Z107="是",INDEX(账户总表!$U:$U,COUNTA(账户总表!$A:$A))="是"),IF(INDEX(账户总表!$L:$L,COUNTA(账户总表!$A:$A))&gt;=4,AA107*1.5,AA107),0))</f>
        <v/>
      </c>
      <c r="AC107" s="75" t="str">
        <f aca="false">IF($A107="","",IF(AND(L107="是",Q107&gt;=R107,S107&lt;=Q107,S107&gt;=R107,W107="是",X107&gt;0,M107="是",INDEX(账户总表!$M:$M,COUNTA(账户总表!$A:$A))&lt;=2,INDEX(账户总表!$V:$V,COUNTA(账户总表!$A:$A))="是",OR(T107&lt;=INDEX(账户总表!$C:$C,COUNTA(账户总表!$A:$A)),AND(Z107="是",INDEX(账户总表!$U:$U,COUNTA(账户总表!$A:$A))="是",AB107&gt;0))),"是","否"))</f>
        <v/>
      </c>
      <c r="AD107" s="75" t="str">
        <f aca="false">IF($A107="","",IF(L107&lt;&gt;"是","信号未确认",IF(X107&lt;=0,"止损价未定义",IF(Q107&lt;R107,"100股约束不满足",IF(S107&gt;Q107,"计划股数超单股上限",IF(S107&lt;R107,"计划股数低于最小门槛",IF(W107&lt;&gt;"是","总仓位超限",IF(M107&lt;&gt;"是","追价",IF(INDEX(账户总表!$M:$M,COUNTA(账户总表!$A:$A))&gt;2,"亏钱效应偏高",IF(INDEX(账户总表!$V:$V,COUNTA(账户总表!$A:$A))&lt;&gt;"是","账户不允许新开仓",IF(AND(T107&gt;INDEX(账户总表!$C:$C,COUNTA(账户总表!$A:$A)),INDEX(账户总表!$U:$U,COUNTA(账户总表!$A:$A))&lt;&gt;"是"),"现金不足且不允许转入",IF(AND(Z107="是",AB107&lt;=0),"转入金额未满足",""))))))))))))</f>
        <v/>
      </c>
      <c r="AE107" s="71"/>
      <c r="AF107" s="1" t="str">
        <f aca="false">IF($A107="","",D107*100)</f>
        <v/>
      </c>
      <c r="AG107" s="1" t="str">
        <f aca="false">IF($A107="","",IFERROR(AF107/INDEX(账户总表!$B:$B,COUNTA(账户总表!$A:$A)),0))</f>
        <v/>
      </c>
      <c r="AH107" s="1" t="str">
        <f aca="false">IF($A107="","",IFERROR(INDEX(账户总表!$B:$B,COUNTA(账户总表!$A:$A))*INDEX(账户总表!$O:$O,COUNTA(账户总表!$A:$A)),0))</f>
        <v/>
      </c>
      <c r="AI107" s="1" t="str">
        <f aca="false">IF($A107="","",IF(AF107&gt;AH107,"超限","合规"))</f>
        <v/>
      </c>
      <c r="AJ107" s="1" t="str">
        <f aca="false">IF($A107="","",IFERROR(AF107/INDEX(账户总表!$O:$O,COUNTA(账户总表!$A:$A)),0))</f>
        <v/>
      </c>
      <c r="AK107" s="1" t="str">
        <f aca="false">IF($A107="","",IFERROR(MAX(0,AJ107-INDEX(账户总表!$B:$B,COUNTA(账户总表!$A:$A)),AF107-INDEX(账户总表!$C:$C,COUNTA(账户总表!$A:$A))),0))</f>
        <v/>
      </c>
      <c r="AL107" s="1" t="str">
        <f aca="false">IF($A107="","",IF(COUNTIF(持仓表!$C$2:$C$201,C107)&gt;0,"已有","新标的"))</f>
        <v/>
      </c>
      <c r="AM107" s="1" t="str">
        <f aca="false">IF($A107="","",IFERROR(SUMIFS(持仓表!$N$2:$N$201,持仓表!$C$2:$C$201,C107,持仓表!$A$2:$A$201,$A107),0))</f>
        <v/>
      </c>
      <c r="AN107" s="1" t="str">
        <f aca="false">IF($A107="","",IFERROR(AM107+AF107/INDEX(账户总表!$B:$B,COUNTA(账户总表!$A:$A)),0))</f>
        <v/>
      </c>
      <c r="AO107" s="1" t="str">
        <f aca="false">IF($A107="","",IF(AN107&gt;INDEX(账户总表!$O:$O,COUNTA(账户总表!$A:$A)),"超限","合规"))</f>
        <v/>
      </c>
      <c r="AP107" s="1" t="str">
        <f aca="false">IF($A107="","",IF(AND(AL107="新标的",INDEX(账户总表!$R:$R,COUNTA(账户总表!$A:$A))&gt;=INDEX(账户总表!$S:$S,COUNTA(账户总表!$A:$A))),"新增受限","可通过"))</f>
        <v/>
      </c>
      <c r="AQ107" s="1" t="str">
        <f aca="false">IF($A107="","",IF(K107&lt;&gt;"核心池","非核心池",IF(OR(AI107="超限",AO107="超限",AP107="新增受限"),"不可加仓","可加仓")))</f>
        <v/>
      </c>
      <c r="AR107" s="1" t="str">
        <f aca="false">IF($A107="","",TRIM(IF(AI107="超限","1手超单股上限；","")&amp;IF(AO107="超限","买后仓位超限；","")&amp;IF(AP107="新增受限","有效持仓数超限；","")&amp;IF(AF107&gt;INDEX(账户总表!$C:$C,COUNTA(账户总表!$A:$A)),"现金不足；","")))</f>
        <v/>
      </c>
      <c r="AS107" s="1" t="str">
        <f aca="false">IF($A107="","",IFERROR(INDEX(候选池历史!$L:$L,MATCH(1,(候选池历史!$B:$B=C107)*(候选池历史!$A:$A=$A107),0)),0))</f>
        <v/>
      </c>
      <c r="AT107" s="1" t="str">
        <f aca="false">IF($A107="","",IF(AS107&gt;=3,"★信号强化",IF(K107="核心池","核心观察","")))</f>
        <v/>
      </c>
      <c r="AU107" s="1" t="str">
        <f aca="false">IF($A107="","",IF(AK107&gt;30000-INDEX(账户总表!$B:$B,COUNTA(账户总表!$A:$A)),"不适合婴儿阶段","可纳入幼儿路径"))</f>
        <v/>
      </c>
    </row>
    <row r="108" customFormat="false" ht="15" hidden="false" customHeight="true" outlineLevel="0" collapsed="false">
      <c r="A108" s="70"/>
      <c r="B108" s="71"/>
      <c r="C108" s="72"/>
      <c r="D108" s="73"/>
      <c r="E108" s="73"/>
      <c r="F108" s="73"/>
      <c r="G108" s="74"/>
      <c r="H108" s="72"/>
      <c r="I108" s="72"/>
      <c r="J108" s="71"/>
      <c r="K108" s="75" t="str">
        <f aca="false">IF($A108="","",IF(AND(G108&lt;45%,H108&gt;=0.9),"A",IF(AND(G108&lt;60%,H108&gt;0.8),"B","C")))</f>
        <v/>
      </c>
      <c r="L108" s="75" t="str">
        <f aca="false">IF($A108="","",IF(AND(G108&lt;60%,H108&gt;0.8,I108="True"),"是","否"))</f>
        <v/>
      </c>
      <c r="M108" s="75" t="str">
        <f aca="false">IF($A108="","",IF(AND(D108&gt;0,E108&gt;0,D108&lt;=E108*1.02),"是","否"))</f>
        <v/>
      </c>
      <c r="N108" s="76" t="n">
        <f aca="false">IFERROR(INDEX(账户总表!$O:$O,COUNTA(账户总表!$A:$A)),0)</f>
        <v>0.35</v>
      </c>
      <c r="O108" s="77" t="n">
        <f aca="false">IFERROR(INDEX(账户总表!$B:$B,COUNTA(账户总表!$A:$A))*N108,0)</f>
        <v>7294.812</v>
      </c>
      <c r="P108" s="78" t="n">
        <f aca="false">IFERROR(O108/D108,0)</f>
        <v>0</v>
      </c>
      <c r="Q108" s="78" t="n">
        <f aca="false">IFERROR(FLOOR(P108,100),0)</f>
        <v>0</v>
      </c>
      <c r="R108" s="78" t="n">
        <f aca="false">IFERROR(CEILING(800/(100*D108),1)*100,0)</f>
        <v>0</v>
      </c>
      <c r="S108" s="79"/>
      <c r="T108" s="77" t="n">
        <f aca="false">IFERROR(S108*D108,0)</f>
        <v>0</v>
      </c>
      <c r="U108" s="76" t="n">
        <f aca="false">IFERROR(T108/INDEX(账户总表!$B:$B,COUNTA(账户总表!$A:$A)),0)</f>
        <v>0</v>
      </c>
      <c r="V108" s="76" t="n">
        <f aca="false">IFERROR(INDEX(账户总表!$E:$E,COUNTA(账户总表!$A:$A))+U108,0)</f>
        <v>0.407056412146057</v>
      </c>
      <c r="W108" s="75" t="str">
        <f aca="false">IF($A108="","",IFERROR(IF(V108&lt;=INDEX(账户总表!$N:$N,COUNTA(账户总表!$A:$A)),"是","否"),"否"))</f>
        <v/>
      </c>
      <c r="X108" s="77" t="str">
        <f aca="false">IF($A108="","",MAX(F108*0.98,D108*0.92))</f>
        <v/>
      </c>
      <c r="Y108" s="72"/>
      <c r="Z108" s="75" t="str">
        <f aca="false">IF($A108="","",IFERROR(IF(AND(T108&gt;INDEX(账户总表!$C:$C,COUNTA(账户总表!$A:$A)),L108="是"),"是","否"),"否"))</f>
        <v/>
      </c>
      <c r="AA108" s="77" t="str">
        <f aca="false">IF($A108="","",IFERROR(IF(Z108="是",MAX(0,T108-INDEX(账户总表!$C:$C,COUNTA(账户总表!$A:$A)),IF(N108&gt;0,T108/N108-INDEX(账户总表!$B:$B,COUNTA(账户总表!$A:$A)),0)),0),0))</f>
        <v/>
      </c>
      <c r="AB108" s="77" t="str">
        <f aca="false">IF($A108="","",IF(AND(Z108="是",INDEX(账户总表!$U:$U,COUNTA(账户总表!$A:$A))="是"),IF(INDEX(账户总表!$L:$L,COUNTA(账户总表!$A:$A))&gt;=4,AA108*1.5,AA108),0))</f>
        <v/>
      </c>
      <c r="AC108" s="75" t="str">
        <f aca="false">IF($A108="","",IF(AND(L108="是",Q108&gt;=R108,S108&lt;=Q108,S108&gt;=R108,W108="是",X108&gt;0,M108="是",INDEX(账户总表!$M:$M,COUNTA(账户总表!$A:$A))&lt;=2,INDEX(账户总表!$V:$V,COUNTA(账户总表!$A:$A))="是",OR(T108&lt;=INDEX(账户总表!$C:$C,COUNTA(账户总表!$A:$A)),AND(Z108="是",INDEX(账户总表!$U:$U,COUNTA(账户总表!$A:$A))="是",AB108&gt;0))),"是","否"))</f>
        <v/>
      </c>
      <c r="AD108" s="75" t="str">
        <f aca="false">IF($A108="","",IF(L108&lt;&gt;"是","信号未确认",IF(X108&lt;=0,"止损价未定义",IF(Q108&lt;R108,"100股约束不满足",IF(S108&gt;Q108,"计划股数超单股上限",IF(S108&lt;R108,"计划股数低于最小门槛",IF(W108&lt;&gt;"是","总仓位超限",IF(M108&lt;&gt;"是","追价",IF(INDEX(账户总表!$M:$M,COUNTA(账户总表!$A:$A))&gt;2,"亏钱效应偏高",IF(INDEX(账户总表!$V:$V,COUNTA(账户总表!$A:$A))&lt;&gt;"是","账户不允许新开仓",IF(AND(T108&gt;INDEX(账户总表!$C:$C,COUNTA(账户总表!$A:$A)),INDEX(账户总表!$U:$U,COUNTA(账户总表!$A:$A))&lt;&gt;"是"),"现金不足且不允许转入",IF(AND(Z108="是",AB108&lt;=0),"转入金额未满足",""))))))))))))</f>
        <v/>
      </c>
      <c r="AE108" s="71"/>
      <c r="AF108" s="1" t="str">
        <f aca="false">IF($A108="","",D108*100)</f>
        <v/>
      </c>
      <c r="AG108" s="1" t="str">
        <f aca="false">IF($A108="","",IFERROR(AF108/INDEX(账户总表!$B:$B,COUNTA(账户总表!$A:$A)),0))</f>
        <v/>
      </c>
      <c r="AH108" s="1" t="str">
        <f aca="false">IF($A108="","",IFERROR(INDEX(账户总表!$B:$B,COUNTA(账户总表!$A:$A))*INDEX(账户总表!$O:$O,COUNTA(账户总表!$A:$A)),0))</f>
        <v/>
      </c>
      <c r="AI108" s="1" t="str">
        <f aca="false">IF($A108="","",IF(AF108&gt;AH108,"超限","合规"))</f>
        <v/>
      </c>
      <c r="AJ108" s="1" t="str">
        <f aca="false">IF($A108="","",IFERROR(AF108/INDEX(账户总表!$O:$O,COUNTA(账户总表!$A:$A)),0))</f>
        <v/>
      </c>
      <c r="AK108" s="1" t="str">
        <f aca="false">IF($A108="","",IFERROR(MAX(0,AJ108-INDEX(账户总表!$B:$B,COUNTA(账户总表!$A:$A)),AF108-INDEX(账户总表!$C:$C,COUNTA(账户总表!$A:$A))),0))</f>
        <v/>
      </c>
      <c r="AL108" s="1" t="str">
        <f aca="false">IF($A108="","",IF(COUNTIF(持仓表!$C$2:$C$201,C108)&gt;0,"已有","新标的"))</f>
        <v/>
      </c>
      <c r="AM108" s="1" t="str">
        <f aca="false">IF($A108="","",IFERROR(SUMIFS(持仓表!$N$2:$N$201,持仓表!$C$2:$C$201,C108,持仓表!$A$2:$A$201,$A108),0))</f>
        <v/>
      </c>
      <c r="AN108" s="1" t="str">
        <f aca="false">IF($A108="","",IFERROR(AM108+AF108/INDEX(账户总表!$B:$B,COUNTA(账户总表!$A:$A)),0))</f>
        <v/>
      </c>
      <c r="AO108" s="1" t="str">
        <f aca="false">IF($A108="","",IF(AN108&gt;INDEX(账户总表!$O:$O,COUNTA(账户总表!$A:$A)),"超限","合规"))</f>
        <v/>
      </c>
      <c r="AP108" s="1" t="str">
        <f aca="false">IF($A108="","",IF(AND(AL108="新标的",INDEX(账户总表!$R:$R,COUNTA(账户总表!$A:$A))&gt;=INDEX(账户总表!$S:$S,COUNTA(账户总表!$A:$A))),"新增受限","可通过"))</f>
        <v/>
      </c>
      <c r="AQ108" s="1" t="str">
        <f aca="false">IF($A108="","",IF(K108&lt;&gt;"核心池","非核心池",IF(OR(AI108="超限",AO108="超限",AP108="新增受限"),"不可加仓","可加仓")))</f>
        <v/>
      </c>
      <c r="AR108" s="1" t="str">
        <f aca="false">IF($A108="","",TRIM(IF(AI108="超限","1手超单股上限；","")&amp;IF(AO108="超限","买后仓位超限；","")&amp;IF(AP108="新增受限","有效持仓数超限；","")&amp;IF(AF108&gt;INDEX(账户总表!$C:$C,COUNTA(账户总表!$A:$A)),"现金不足；","")))</f>
        <v/>
      </c>
      <c r="AS108" s="1" t="str">
        <f aca="false">IF($A108="","",IFERROR(INDEX(候选池历史!$L:$L,MATCH(1,(候选池历史!$B:$B=C108)*(候选池历史!$A:$A=$A108),0)),0))</f>
        <v/>
      </c>
      <c r="AT108" s="1" t="str">
        <f aca="false">IF($A108="","",IF(AS108&gt;=3,"★信号强化",IF(K108="核心池","核心观察","")))</f>
        <v/>
      </c>
      <c r="AU108" s="1" t="str">
        <f aca="false">IF($A108="","",IF(AK108&gt;30000-INDEX(账户总表!$B:$B,COUNTA(账户总表!$A:$A)),"不适合婴儿阶段","可纳入幼儿路径"))</f>
        <v/>
      </c>
    </row>
    <row r="109" customFormat="false" ht="15" hidden="false" customHeight="true" outlineLevel="0" collapsed="false">
      <c r="A109" s="70"/>
      <c r="B109" s="71"/>
      <c r="C109" s="72"/>
      <c r="D109" s="73"/>
      <c r="E109" s="73"/>
      <c r="F109" s="73"/>
      <c r="G109" s="74"/>
      <c r="H109" s="72"/>
      <c r="I109" s="72"/>
      <c r="J109" s="71"/>
      <c r="K109" s="75" t="str">
        <f aca="false">IF($A109="","",IF(AND(G109&lt;45%,H109&gt;=0.9),"A",IF(AND(G109&lt;60%,H109&gt;0.8),"B","C")))</f>
        <v/>
      </c>
      <c r="L109" s="75" t="str">
        <f aca="false">IF($A109="","",IF(AND(G109&lt;60%,H109&gt;0.8,I109="True"),"是","否"))</f>
        <v/>
      </c>
      <c r="M109" s="75" t="str">
        <f aca="false">IF($A109="","",IF(AND(D109&gt;0,E109&gt;0,D109&lt;=E109*1.02),"是","否"))</f>
        <v/>
      </c>
      <c r="N109" s="76" t="n">
        <f aca="false">IFERROR(INDEX(账户总表!$O:$O,COUNTA(账户总表!$A:$A)),0)</f>
        <v>0.35</v>
      </c>
      <c r="O109" s="77" t="n">
        <f aca="false">IFERROR(INDEX(账户总表!$B:$B,COUNTA(账户总表!$A:$A))*N109,0)</f>
        <v>7294.812</v>
      </c>
      <c r="P109" s="78" t="n">
        <f aca="false">IFERROR(O109/D109,0)</f>
        <v>0</v>
      </c>
      <c r="Q109" s="78" t="n">
        <f aca="false">IFERROR(FLOOR(P109,100),0)</f>
        <v>0</v>
      </c>
      <c r="R109" s="78" t="n">
        <f aca="false">IFERROR(CEILING(800/(100*D109),1)*100,0)</f>
        <v>0</v>
      </c>
      <c r="S109" s="79"/>
      <c r="T109" s="77" t="n">
        <f aca="false">IFERROR(S109*D109,0)</f>
        <v>0</v>
      </c>
      <c r="U109" s="76" t="n">
        <f aca="false">IFERROR(T109/INDEX(账户总表!$B:$B,COUNTA(账户总表!$A:$A)),0)</f>
        <v>0</v>
      </c>
      <c r="V109" s="76" t="n">
        <f aca="false">IFERROR(INDEX(账户总表!$E:$E,COUNTA(账户总表!$A:$A))+U109,0)</f>
        <v>0.407056412146057</v>
      </c>
      <c r="W109" s="75" t="str">
        <f aca="false">IF($A109="","",IFERROR(IF(V109&lt;=INDEX(账户总表!$N:$N,COUNTA(账户总表!$A:$A)),"是","否"),"否"))</f>
        <v/>
      </c>
      <c r="X109" s="77" t="str">
        <f aca="false">IF($A109="","",MAX(F109*0.98,D109*0.92))</f>
        <v/>
      </c>
      <c r="Y109" s="72"/>
      <c r="Z109" s="75" t="str">
        <f aca="false">IF($A109="","",IFERROR(IF(AND(T109&gt;INDEX(账户总表!$C:$C,COUNTA(账户总表!$A:$A)),L109="是"),"是","否"),"否"))</f>
        <v/>
      </c>
      <c r="AA109" s="77" t="str">
        <f aca="false">IF($A109="","",IFERROR(IF(Z109="是",MAX(0,T109-INDEX(账户总表!$C:$C,COUNTA(账户总表!$A:$A)),IF(N109&gt;0,T109/N109-INDEX(账户总表!$B:$B,COUNTA(账户总表!$A:$A)),0)),0),0))</f>
        <v/>
      </c>
      <c r="AB109" s="77" t="str">
        <f aca="false">IF($A109="","",IF(AND(Z109="是",INDEX(账户总表!$U:$U,COUNTA(账户总表!$A:$A))="是"),IF(INDEX(账户总表!$L:$L,COUNTA(账户总表!$A:$A))&gt;=4,AA109*1.5,AA109),0))</f>
        <v/>
      </c>
      <c r="AC109" s="75" t="str">
        <f aca="false">IF($A109="","",IF(AND(L109="是",Q109&gt;=R109,S109&lt;=Q109,S109&gt;=R109,W109="是",X109&gt;0,M109="是",INDEX(账户总表!$M:$M,COUNTA(账户总表!$A:$A))&lt;=2,INDEX(账户总表!$V:$V,COUNTA(账户总表!$A:$A))="是",OR(T109&lt;=INDEX(账户总表!$C:$C,COUNTA(账户总表!$A:$A)),AND(Z109="是",INDEX(账户总表!$U:$U,COUNTA(账户总表!$A:$A))="是",AB109&gt;0))),"是","否"))</f>
        <v/>
      </c>
      <c r="AD109" s="75" t="str">
        <f aca="false">IF($A109="","",IF(L109&lt;&gt;"是","信号未确认",IF(X109&lt;=0,"止损价未定义",IF(Q109&lt;R109,"100股约束不满足",IF(S109&gt;Q109,"计划股数超单股上限",IF(S109&lt;R109,"计划股数低于最小门槛",IF(W109&lt;&gt;"是","总仓位超限",IF(M109&lt;&gt;"是","追价",IF(INDEX(账户总表!$M:$M,COUNTA(账户总表!$A:$A))&gt;2,"亏钱效应偏高",IF(INDEX(账户总表!$V:$V,COUNTA(账户总表!$A:$A))&lt;&gt;"是","账户不允许新开仓",IF(AND(T109&gt;INDEX(账户总表!$C:$C,COUNTA(账户总表!$A:$A)),INDEX(账户总表!$U:$U,COUNTA(账户总表!$A:$A))&lt;&gt;"是"),"现金不足且不允许转入",IF(AND(Z109="是",AB109&lt;=0),"转入金额未满足",""))))))))))))</f>
        <v/>
      </c>
      <c r="AE109" s="71"/>
      <c r="AF109" s="1" t="str">
        <f aca="false">IF($A109="","",D109*100)</f>
        <v/>
      </c>
      <c r="AG109" s="1" t="str">
        <f aca="false">IF($A109="","",IFERROR(AF109/INDEX(账户总表!$B:$B,COUNTA(账户总表!$A:$A)),0))</f>
        <v/>
      </c>
      <c r="AH109" s="1" t="str">
        <f aca="false">IF($A109="","",IFERROR(INDEX(账户总表!$B:$B,COUNTA(账户总表!$A:$A))*INDEX(账户总表!$O:$O,COUNTA(账户总表!$A:$A)),0))</f>
        <v/>
      </c>
      <c r="AI109" s="1" t="str">
        <f aca="false">IF($A109="","",IF(AF109&gt;AH109,"超限","合规"))</f>
        <v/>
      </c>
      <c r="AJ109" s="1" t="str">
        <f aca="false">IF($A109="","",IFERROR(AF109/INDEX(账户总表!$O:$O,COUNTA(账户总表!$A:$A)),0))</f>
        <v/>
      </c>
      <c r="AK109" s="1" t="str">
        <f aca="false">IF($A109="","",IFERROR(MAX(0,AJ109-INDEX(账户总表!$B:$B,COUNTA(账户总表!$A:$A)),AF109-INDEX(账户总表!$C:$C,COUNTA(账户总表!$A:$A))),0))</f>
        <v/>
      </c>
      <c r="AL109" s="1" t="str">
        <f aca="false">IF($A109="","",IF(COUNTIF(持仓表!$C$2:$C$201,C109)&gt;0,"已有","新标的"))</f>
        <v/>
      </c>
      <c r="AM109" s="1" t="str">
        <f aca="false">IF($A109="","",IFERROR(SUMIFS(持仓表!$N$2:$N$201,持仓表!$C$2:$C$201,C109,持仓表!$A$2:$A$201,$A109),0))</f>
        <v/>
      </c>
      <c r="AN109" s="1" t="str">
        <f aca="false">IF($A109="","",IFERROR(AM109+AF109/INDEX(账户总表!$B:$B,COUNTA(账户总表!$A:$A)),0))</f>
        <v/>
      </c>
      <c r="AO109" s="1" t="str">
        <f aca="false">IF($A109="","",IF(AN109&gt;INDEX(账户总表!$O:$O,COUNTA(账户总表!$A:$A)),"超限","合规"))</f>
        <v/>
      </c>
      <c r="AP109" s="1" t="str">
        <f aca="false">IF($A109="","",IF(AND(AL109="新标的",INDEX(账户总表!$R:$R,COUNTA(账户总表!$A:$A))&gt;=INDEX(账户总表!$S:$S,COUNTA(账户总表!$A:$A))),"新增受限","可通过"))</f>
        <v/>
      </c>
      <c r="AQ109" s="1" t="str">
        <f aca="false">IF($A109="","",IF(K109&lt;&gt;"核心池","非核心池",IF(OR(AI109="超限",AO109="超限",AP109="新增受限"),"不可加仓","可加仓")))</f>
        <v/>
      </c>
      <c r="AR109" s="1" t="str">
        <f aca="false">IF($A109="","",TRIM(IF(AI109="超限","1手超单股上限；","")&amp;IF(AO109="超限","买后仓位超限；","")&amp;IF(AP109="新增受限","有效持仓数超限；","")&amp;IF(AF109&gt;INDEX(账户总表!$C:$C,COUNTA(账户总表!$A:$A)),"现金不足；","")))</f>
        <v/>
      </c>
      <c r="AS109" s="1" t="str">
        <f aca="false">IF($A109="","",IFERROR(INDEX(候选池历史!$L:$L,MATCH(1,(候选池历史!$B:$B=C109)*(候选池历史!$A:$A=$A109),0)),0))</f>
        <v/>
      </c>
      <c r="AT109" s="1" t="str">
        <f aca="false">IF($A109="","",IF(AS109&gt;=3,"★信号强化",IF(K109="核心池","核心观察","")))</f>
        <v/>
      </c>
      <c r="AU109" s="1" t="str">
        <f aca="false">IF($A109="","",IF(AK109&gt;30000-INDEX(账户总表!$B:$B,COUNTA(账户总表!$A:$A)),"不适合婴儿阶段","可纳入幼儿路径"))</f>
        <v/>
      </c>
    </row>
    <row r="110" customFormat="false" ht="15" hidden="false" customHeight="true" outlineLevel="0" collapsed="false">
      <c r="A110" s="70"/>
      <c r="B110" s="71"/>
      <c r="C110" s="72"/>
      <c r="D110" s="73"/>
      <c r="E110" s="73"/>
      <c r="F110" s="73"/>
      <c r="G110" s="74"/>
      <c r="H110" s="72"/>
      <c r="I110" s="72"/>
      <c r="J110" s="71"/>
      <c r="K110" s="75" t="str">
        <f aca="false">IF($A110="","",IF(AND(G110&lt;45%,H110&gt;=0.9),"A",IF(AND(G110&lt;60%,H110&gt;0.8),"B","C")))</f>
        <v/>
      </c>
      <c r="L110" s="75" t="str">
        <f aca="false">IF($A110="","",IF(AND(G110&lt;60%,H110&gt;0.8,I110="True"),"是","否"))</f>
        <v/>
      </c>
      <c r="M110" s="75" t="str">
        <f aca="false">IF($A110="","",IF(AND(D110&gt;0,E110&gt;0,D110&lt;=E110*1.02),"是","否"))</f>
        <v/>
      </c>
      <c r="N110" s="76" t="n">
        <f aca="false">IFERROR(INDEX(账户总表!$O:$O,COUNTA(账户总表!$A:$A)),0)</f>
        <v>0.35</v>
      </c>
      <c r="O110" s="77" t="n">
        <f aca="false">IFERROR(INDEX(账户总表!$B:$B,COUNTA(账户总表!$A:$A))*N110,0)</f>
        <v>7294.812</v>
      </c>
      <c r="P110" s="78" t="n">
        <f aca="false">IFERROR(O110/D110,0)</f>
        <v>0</v>
      </c>
      <c r="Q110" s="78" t="n">
        <f aca="false">IFERROR(FLOOR(P110,100),0)</f>
        <v>0</v>
      </c>
      <c r="R110" s="78" t="n">
        <f aca="false">IFERROR(CEILING(800/(100*D110),1)*100,0)</f>
        <v>0</v>
      </c>
      <c r="S110" s="79"/>
      <c r="T110" s="77" t="n">
        <f aca="false">IFERROR(S110*D110,0)</f>
        <v>0</v>
      </c>
      <c r="U110" s="76" t="n">
        <f aca="false">IFERROR(T110/INDEX(账户总表!$B:$B,COUNTA(账户总表!$A:$A)),0)</f>
        <v>0</v>
      </c>
      <c r="V110" s="76" t="n">
        <f aca="false">IFERROR(INDEX(账户总表!$E:$E,COUNTA(账户总表!$A:$A))+U110,0)</f>
        <v>0.407056412146057</v>
      </c>
      <c r="W110" s="75" t="str">
        <f aca="false">IF($A110="","",IFERROR(IF(V110&lt;=INDEX(账户总表!$N:$N,COUNTA(账户总表!$A:$A)),"是","否"),"否"))</f>
        <v/>
      </c>
      <c r="X110" s="77" t="str">
        <f aca="false">IF($A110="","",MAX(F110*0.98,D110*0.92))</f>
        <v/>
      </c>
      <c r="Y110" s="72"/>
      <c r="Z110" s="75" t="str">
        <f aca="false">IF($A110="","",IFERROR(IF(AND(T110&gt;INDEX(账户总表!$C:$C,COUNTA(账户总表!$A:$A)),L110="是"),"是","否"),"否"))</f>
        <v/>
      </c>
      <c r="AA110" s="77" t="str">
        <f aca="false">IF($A110="","",IFERROR(IF(Z110="是",MAX(0,T110-INDEX(账户总表!$C:$C,COUNTA(账户总表!$A:$A)),IF(N110&gt;0,T110/N110-INDEX(账户总表!$B:$B,COUNTA(账户总表!$A:$A)),0)),0),0))</f>
        <v/>
      </c>
      <c r="AB110" s="77" t="str">
        <f aca="false">IF($A110="","",IF(AND(Z110="是",INDEX(账户总表!$U:$U,COUNTA(账户总表!$A:$A))="是"),IF(INDEX(账户总表!$L:$L,COUNTA(账户总表!$A:$A))&gt;=4,AA110*1.5,AA110),0))</f>
        <v/>
      </c>
      <c r="AC110" s="75" t="str">
        <f aca="false">IF($A110="","",IF(AND(L110="是",Q110&gt;=R110,S110&lt;=Q110,S110&gt;=R110,W110="是",X110&gt;0,M110="是",INDEX(账户总表!$M:$M,COUNTA(账户总表!$A:$A))&lt;=2,INDEX(账户总表!$V:$V,COUNTA(账户总表!$A:$A))="是",OR(T110&lt;=INDEX(账户总表!$C:$C,COUNTA(账户总表!$A:$A)),AND(Z110="是",INDEX(账户总表!$U:$U,COUNTA(账户总表!$A:$A))="是",AB110&gt;0))),"是","否"))</f>
        <v/>
      </c>
      <c r="AD110" s="75" t="str">
        <f aca="false">IF($A110="","",IF(L110&lt;&gt;"是","信号未确认",IF(X110&lt;=0,"止损价未定义",IF(Q110&lt;R110,"100股约束不满足",IF(S110&gt;Q110,"计划股数超单股上限",IF(S110&lt;R110,"计划股数低于最小门槛",IF(W110&lt;&gt;"是","总仓位超限",IF(M110&lt;&gt;"是","追价",IF(INDEX(账户总表!$M:$M,COUNTA(账户总表!$A:$A))&gt;2,"亏钱效应偏高",IF(INDEX(账户总表!$V:$V,COUNTA(账户总表!$A:$A))&lt;&gt;"是","账户不允许新开仓",IF(AND(T110&gt;INDEX(账户总表!$C:$C,COUNTA(账户总表!$A:$A)),INDEX(账户总表!$U:$U,COUNTA(账户总表!$A:$A))&lt;&gt;"是"),"现金不足且不允许转入",IF(AND(Z110="是",AB110&lt;=0),"转入金额未满足",""))))))))))))</f>
        <v/>
      </c>
      <c r="AE110" s="71"/>
      <c r="AF110" s="1" t="str">
        <f aca="false">IF($A110="","",D110*100)</f>
        <v/>
      </c>
      <c r="AG110" s="1" t="str">
        <f aca="false">IF($A110="","",IFERROR(AF110/INDEX(账户总表!$B:$B,COUNTA(账户总表!$A:$A)),0))</f>
        <v/>
      </c>
      <c r="AH110" s="1" t="str">
        <f aca="false">IF($A110="","",IFERROR(INDEX(账户总表!$B:$B,COUNTA(账户总表!$A:$A))*INDEX(账户总表!$O:$O,COUNTA(账户总表!$A:$A)),0))</f>
        <v/>
      </c>
      <c r="AI110" s="1" t="str">
        <f aca="false">IF($A110="","",IF(AF110&gt;AH110,"超限","合规"))</f>
        <v/>
      </c>
      <c r="AJ110" s="1" t="str">
        <f aca="false">IF($A110="","",IFERROR(AF110/INDEX(账户总表!$O:$O,COUNTA(账户总表!$A:$A)),0))</f>
        <v/>
      </c>
      <c r="AK110" s="1" t="str">
        <f aca="false">IF($A110="","",IFERROR(MAX(0,AJ110-INDEX(账户总表!$B:$B,COUNTA(账户总表!$A:$A)),AF110-INDEX(账户总表!$C:$C,COUNTA(账户总表!$A:$A))),0))</f>
        <v/>
      </c>
      <c r="AL110" s="1" t="str">
        <f aca="false">IF($A110="","",IF(COUNTIF(持仓表!$C$2:$C$201,C110)&gt;0,"已有","新标的"))</f>
        <v/>
      </c>
      <c r="AM110" s="1" t="str">
        <f aca="false">IF($A110="","",IFERROR(SUMIFS(持仓表!$N$2:$N$201,持仓表!$C$2:$C$201,C110,持仓表!$A$2:$A$201,$A110),0))</f>
        <v/>
      </c>
      <c r="AN110" s="1" t="str">
        <f aca="false">IF($A110="","",IFERROR(AM110+AF110/INDEX(账户总表!$B:$B,COUNTA(账户总表!$A:$A)),0))</f>
        <v/>
      </c>
      <c r="AO110" s="1" t="str">
        <f aca="false">IF($A110="","",IF(AN110&gt;INDEX(账户总表!$O:$O,COUNTA(账户总表!$A:$A)),"超限","合规"))</f>
        <v/>
      </c>
      <c r="AP110" s="1" t="str">
        <f aca="false">IF($A110="","",IF(AND(AL110="新标的",INDEX(账户总表!$R:$R,COUNTA(账户总表!$A:$A))&gt;=INDEX(账户总表!$S:$S,COUNTA(账户总表!$A:$A))),"新增受限","可通过"))</f>
        <v/>
      </c>
      <c r="AQ110" s="1" t="str">
        <f aca="false">IF($A110="","",IF(K110&lt;&gt;"核心池","非核心池",IF(OR(AI110="超限",AO110="超限",AP110="新增受限"),"不可加仓","可加仓")))</f>
        <v/>
      </c>
      <c r="AR110" s="1" t="str">
        <f aca="false">IF($A110="","",TRIM(IF(AI110="超限","1手超单股上限；","")&amp;IF(AO110="超限","买后仓位超限；","")&amp;IF(AP110="新增受限","有效持仓数超限；","")&amp;IF(AF110&gt;INDEX(账户总表!$C:$C,COUNTA(账户总表!$A:$A)),"现金不足；","")))</f>
        <v/>
      </c>
      <c r="AS110" s="1" t="str">
        <f aca="false">IF($A110="","",IFERROR(INDEX(候选池历史!$L:$L,MATCH(1,(候选池历史!$B:$B=C110)*(候选池历史!$A:$A=$A110),0)),0))</f>
        <v/>
      </c>
      <c r="AT110" s="1" t="str">
        <f aca="false">IF($A110="","",IF(AS110&gt;=3,"★信号强化",IF(K110="核心池","核心观察","")))</f>
        <v/>
      </c>
      <c r="AU110" s="1" t="str">
        <f aca="false">IF($A110="","",IF(AK110&gt;30000-INDEX(账户总表!$B:$B,COUNTA(账户总表!$A:$A)),"不适合婴儿阶段","可纳入幼儿路径"))</f>
        <v/>
      </c>
    </row>
    <row r="111" customFormat="false" ht="15" hidden="false" customHeight="true" outlineLevel="0" collapsed="false">
      <c r="A111" s="70"/>
      <c r="B111" s="71"/>
      <c r="C111" s="72"/>
      <c r="D111" s="73"/>
      <c r="E111" s="73"/>
      <c r="F111" s="73"/>
      <c r="G111" s="74"/>
      <c r="H111" s="72"/>
      <c r="I111" s="72"/>
      <c r="J111" s="71"/>
      <c r="K111" s="75" t="str">
        <f aca="false">IF($A111="","",IF(AND(G111&lt;45%,H111&gt;=0.9),"A",IF(AND(G111&lt;60%,H111&gt;0.8),"B","C")))</f>
        <v/>
      </c>
      <c r="L111" s="75" t="str">
        <f aca="false">IF($A111="","",IF(AND(G111&lt;60%,H111&gt;0.8,I111="True"),"是","否"))</f>
        <v/>
      </c>
      <c r="M111" s="75" t="str">
        <f aca="false">IF($A111="","",IF(AND(D111&gt;0,E111&gt;0,D111&lt;=E111*1.02),"是","否"))</f>
        <v/>
      </c>
      <c r="N111" s="76" t="n">
        <f aca="false">IFERROR(INDEX(账户总表!$O:$O,COUNTA(账户总表!$A:$A)),0)</f>
        <v>0.35</v>
      </c>
      <c r="O111" s="77" t="n">
        <f aca="false">IFERROR(INDEX(账户总表!$B:$B,COUNTA(账户总表!$A:$A))*N111,0)</f>
        <v>7294.812</v>
      </c>
      <c r="P111" s="78" t="n">
        <f aca="false">IFERROR(O111/D111,0)</f>
        <v>0</v>
      </c>
      <c r="Q111" s="78" t="n">
        <f aca="false">IFERROR(FLOOR(P111,100),0)</f>
        <v>0</v>
      </c>
      <c r="R111" s="78" t="n">
        <f aca="false">IFERROR(CEILING(800/(100*D111),1)*100,0)</f>
        <v>0</v>
      </c>
      <c r="S111" s="79"/>
      <c r="T111" s="77" t="n">
        <f aca="false">IFERROR(S111*D111,0)</f>
        <v>0</v>
      </c>
      <c r="U111" s="76" t="n">
        <f aca="false">IFERROR(T111/INDEX(账户总表!$B:$B,COUNTA(账户总表!$A:$A)),0)</f>
        <v>0</v>
      </c>
      <c r="V111" s="76" t="n">
        <f aca="false">IFERROR(INDEX(账户总表!$E:$E,COUNTA(账户总表!$A:$A))+U111,0)</f>
        <v>0.407056412146057</v>
      </c>
      <c r="W111" s="75" t="str">
        <f aca="false">IF($A111="","",IFERROR(IF(V111&lt;=INDEX(账户总表!$N:$N,COUNTA(账户总表!$A:$A)),"是","否"),"否"))</f>
        <v/>
      </c>
      <c r="X111" s="77" t="str">
        <f aca="false">IF($A111="","",MAX(F111*0.98,D111*0.92))</f>
        <v/>
      </c>
      <c r="Y111" s="72"/>
      <c r="Z111" s="75" t="str">
        <f aca="false">IF($A111="","",IFERROR(IF(AND(T111&gt;INDEX(账户总表!$C:$C,COUNTA(账户总表!$A:$A)),L111="是"),"是","否"),"否"))</f>
        <v/>
      </c>
      <c r="AA111" s="77" t="str">
        <f aca="false">IF($A111="","",IFERROR(IF(Z111="是",MAX(0,T111-INDEX(账户总表!$C:$C,COUNTA(账户总表!$A:$A)),IF(N111&gt;0,T111/N111-INDEX(账户总表!$B:$B,COUNTA(账户总表!$A:$A)),0)),0),0))</f>
        <v/>
      </c>
      <c r="AB111" s="77" t="str">
        <f aca="false">IF($A111="","",IF(AND(Z111="是",INDEX(账户总表!$U:$U,COUNTA(账户总表!$A:$A))="是"),IF(INDEX(账户总表!$L:$L,COUNTA(账户总表!$A:$A))&gt;=4,AA111*1.5,AA111),0))</f>
        <v/>
      </c>
      <c r="AC111" s="75" t="str">
        <f aca="false">IF($A111="","",IF(AND(L111="是",Q111&gt;=R111,S111&lt;=Q111,S111&gt;=R111,W111="是",X111&gt;0,M111="是",INDEX(账户总表!$M:$M,COUNTA(账户总表!$A:$A))&lt;=2,INDEX(账户总表!$V:$V,COUNTA(账户总表!$A:$A))="是",OR(T111&lt;=INDEX(账户总表!$C:$C,COUNTA(账户总表!$A:$A)),AND(Z111="是",INDEX(账户总表!$U:$U,COUNTA(账户总表!$A:$A))="是",AB111&gt;0))),"是","否"))</f>
        <v/>
      </c>
      <c r="AD111" s="75" t="str">
        <f aca="false">IF($A111="","",IF(L111&lt;&gt;"是","信号未确认",IF(X111&lt;=0,"止损价未定义",IF(Q111&lt;R111,"100股约束不满足",IF(S111&gt;Q111,"计划股数超单股上限",IF(S111&lt;R111,"计划股数低于最小门槛",IF(W111&lt;&gt;"是","总仓位超限",IF(M111&lt;&gt;"是","追价",IF(INDEX(账户总表!$M:$M,COUNTA(账户总表!$A:$A))&gt;2,"亏钱效应偏高",IF(INDEX(账户总表!$V:$V,COUNTA(账户总表!$A:$A))&lt;&gt;"是","账户不允许新开仓",IF(AND(T111&gt;INDEX(账户总表!$C:$C,COUNTA(账户总表!$A:$A)),INDEX(账户总表!$U:$U,COUNTA(账户总表!$A:$A))&lt;&gt;"是"),"现金不足且不允许转入",IF(AND(Z111="是",AB111&lt;=0),"转入金额未满足",""))))))))))))</f>
        <v/>
      </c>
      <c r="AE111" s="71"/>
      <c r="AF111" s="1" t="str">
        <f aca="false">IF($A111="","",D111*100)</f>
        <v/>
      </c>
      <c r="AG111" s="1" t="str">
        <f aca="false">IF($A111="","",IFERROR(AF111/INDEX(账户总表!$B:$B,COUNTA(账户总表!$A:$A)),0))</f>
        <v/>
      </c>
      <c r="AH111" s="1" t="str">
        <f aca="false">IF($A111="","",IFERROR(INDEX(账户总表!$B:$B,COUNTA(账户总表!$A:$A))*INDEX(账户总表!$O:$O,COUNTA(账户总表!$A:$A)),0))</f>
        <v/>
      </c>
      <c r="AI111" s="1" t="str">
        <f aca="false">IF($A111="","",IF(AF111&gt;AH111,"超限","合规"))</f>
        <v/>
      </c>
      <c r="AJ111" s="1" t="str">
        <f aca="false">IF($A111="","",IFERROR(AF111/INDEX(账户总表!$O:$O,COUNTA(账户总表!$A:$A)),0))</f>
        <v/>
      </c>
      <c r="AK111" s="1" t="str">
        <f aca="false">IF($A111="","",IFERROR(MAX(0,AJ111-INDEX(账户总表!$B:$B,COUNTA(账户总表!$A:$A)),AF111-INDEX(账户总表!$C:$C,COUNTA(账户总表!$A:$A))),0))</f>
        <v/>
      </c>
      <c r="AL111" s="1" t="str">
        <f aca="false">IF($A111="","",IF(COUNTIF(持仓表!$C$2:$C$201,C111)&gt;0,"已有","新标的"))</f>
        <v/>
      </c>
      <c r="AM111" s="1" t="str">
        <f aca="false">IF($A111="","",IFERROR(SUMIFS(持仓表!$N$2:$N$201,持仓表!$C$2:$C$201,C111,持仓表!$A$2:$A$201,$A111),0))</f>
        <v/>
      </c>
      <c r="AN111" s="1" t="str">
        <f aca="false">IF($A111="","",IFERROR(AM111+AF111/INDEX(账户总表!$B:$B,COUNTA(账户总表!$A:$A)),0))</f>
        <v/>
      </c>
      <c r="AO111" s="1" t="str">
        <f aca="false">IF($A111="","",IF(AN111&gt;INDEX(账户总表!$O:$O,COUNTA(账户总表!$A:$A)),"超限","合规"))</f>
        <v/>
      </c>
      <c r="AP111" s="1" t="str">
        <f aca="false">IF($A111="","",IF(AND(AL111="新标的",INDEX(账户总表!$R:$R,COUNTA(账户总表!$A:$A))&gt;=INDEX(账户总表!$S:$S,COUNTA(账户总表!$A:$A))),"新增受限","可通过"))</f>
        <v/>
      </c>
      <c r="AQ111" s="1" t="str">
        <f aca="false">IF($A111="","",IF(K111&lt;&gt;"核心池","非核心池",IF(OR(AI111="超限",AO111="超限",AP111="新增受限"),"不可加仓","可加仓")))</f>
        <v/>
      </c>
      <c r="AR111" s="1" t="str">
        <f aca="false">IF($A111="","",TRIM(IF(AI111="超限","1手超单股上限；","")&amp;IF(AO111="超限","买后仓位超限；","")&amp;IF(AP111="新增受限","有效持仓数超限；","")&amp;IF(AF111&gt;INDEX(账户总表!$C:$C,COUNTA(账户总表!$A:$A)),"现金不足；","")))</f>
        <v/>
      </c>
      <c r="AS111" s="1" t="str">
        <f aca="false">IF($A111="","",IFERROR(INDEX(候选池历史!$L:$L,MATCH(1,(候选池历史!$B:$B=C111)*(候选池历史!$A:$A=$A111),0)),0))</f>
        <v/>
      </c>
      <c r="AT111" s="1" t="str">
        <f aca="false">IF($A111="","",IF(AS111&gt;=3,"★信号强化",IF(K111="核心池","核心观察","")))</f>
        <v/>
      </c>
      <c r="AU111" s="1" t="str">
        <f aca="false">IF($A111="","",IF(AK111&gt;30000-INDEX(账户总表!$B:$B,COUNTA(账户总表!$A:$A)),"不适合婴儿阶段","可纳入幼儿路径"))</f>
        <v/>
      </c>
    </row>
    <row r="112" customFormat="false" ht="15" hidden="false" customHeight="true" outlineLevel="0" collapsed="false">
      <c r="A112" s="70"/>
      <c r="B112" s="71"/>
      <c r="C112" s="72"/>
      <c r="D112" s="73"/>
      <c r="E112" s="73"/>
      <c r="F112" s="73"/>
      <c r="G112" s="74"/>
      <c r="H112" s="72"/>
      <c r="I112" s="72"/>
      <c r="J112" s="71"/>
      <c r="K112" s="75" t="str">
        <f aca="false">IF($A112="","",IF(AND(G112&lt;45%,H112&gt;=0.9),"A",IF(AND(G112&lt;60%,H112&gt;0.8),"B","C")))</f>
        <v/>
      </c>
      <c r="L112" s="75" t="str">
        <f aca="false">IF($A112="","",IF(AND(G112&lt;60%,H112&gt;0.8,I112="True"),"是","否"))</f>
        <v/>
      </c>
      <c r="M112" s="75" t="str">
        <f aca="false">IF($A112="","",IF(AND(D112&gt;0,E112&gt;0,D112&lt;=E112*1.02),"是","否"))</f>
        <v/>
      </c>
      <c r="N112" s="76" t="n">
        <f aca="false">IFERROR(INDEX(账户总表!$O:$O,COUNTA(账户总表!$A:$A)),0)</f>
        <v>0.35</v>
      </c>
      <c r="O112" s="77" t="n">
        <f aca="false">IFERROR(INDEX(账户总表!$B:$B,COUNTA(账户总表!$A:$A))*N112,0)</f>
        <v>7294.812</v>
      </c>
      <c r="P112" s="78" t="n">
        <f aca="false">IFERROR(O112/D112,0)</f>
        <v>0</v>
      </c>
      <c r="Q112" s="78" t="n">
        <f aca="false">IFERROR(FLOOR(P112,100),0)</f>
        <v>0</v>
      </c>
      <c r="R112" s="78" t="n">
        <f aca="false">IFERROR(CEILING(800/(100*D112),1)*100,0)</f>
        <v>0</v>
      </c>
      <c r="S112" s="79"/>
      <c r="T112" s="77" t="n">
        <f aca="false">IFERROR(S112*D112,0)</f>
        <v>0</v>
      </c>
      <c r="U112" s="76" t="n">
        <f aca="false">IFERROR(T112/INDEX(账户总表!$B:$B,COUNTA(账户总表!$A:$A)),0)</f>
        <v>0</v>
      </c>
      <c r="V112" s="76" t="n">
        <f aca="false">IFERROR(INDEX(账户总表!$E:$E,COUNTA(账户总表!$A:$A))+U112,0)</f>
        <v>0.407056412146057</v>
      </c>
      <c r="W112" s="75" t="str">
        <f aca="false">IF($A112="","",IFERROR(IF(V112&lt;=INDEX(账户总表!$N:$N,COUNTA(账户总表!$A:$A)),"是","否"),"否"))</f>
        <v/>
      </c>
      <c r="X112" s="77" t="str">
        <f aca="false">IF($A112="","",MAX(F112*0.98,D112*0.92))</f>
        <v/>
      </c>
      <c r="Y112" s="72"/>
      <c r="Z112" s="75" t="str">
        <f aca="false">IF($A112="","",IFERROR(IF(AND(T112&gt;INDEX(账户总表!$C:$C,COUNTA(账户总表!$A:$A)),L112="是"),"是","否"),"否"))</f>
        <v/>
      </c>
      <c r="AA112" s="77" t="str">
        <f aca="false">IF($A112="","",IFERROR(IF(Z112="是",MAX(0,T112-INDEX(账户总表!$C:$C,COUNTA(账户总表!$A:$A)),IF(N112&gt;0,T112/N112-INDEX(账户总表!$B:$B,COUNTA(账户总表!$A:$A)),0)),0),0))</f>
        <v/>
      </c>
      <c r="AB112" s="77" t="str">
        <f aca="false">IF($A112="","",IF(AND(Z112="是",INDEX(账户总表!$U:$U,COUNTA(账户总表!$A:$A))="是"),IF(INDEX(账户总表!$L:$L,COUNTA(账户总表!$A:$A))&gt;=4,AA112*1.5,AA112),0))</f>
        <v/>
      </c>
      <c r="AC112" s="75" t="str">
        <f aca="false">IF($A112="","",IF(AND(L112="是",Q112&gt;=R112,S112&lt;=Q112,S112&gt;=R112,W112="是",X112&gt;0,M112="是",INDEX(账户总表!$M:$M,COUNTA(账户总表!$A:$A))&lt;=2,INDEX(账户总表!$V:$V,COUNTA(账户总表!$A:$A))="是",OR(T112&lt;=INDEX(账户总表!$C:$C,COUNTA(账户总表!$A:$A)),AND(Z112="是",INDEX(账户总表!$U:$U,COUNTA(账户总表!$A:$A))="是",AB112&gt;0))),"是","否"))</f>
        <v/>
      </c>
      <c r="AD112" s="75" t="str">
        <f aca="false">IF($A112="","",IF(L112&lt;&gt;"是","信号未确认",IF(X112&lt;=0,"止损价未定义",IF(Q112&lt;R112,"100股约束不满足",IF(S112&gt;Q112,"计划股数超单股上限",IF(S112&lt;R112,"计划股数低于最小门槛",IF(W112&lt;&gt;"是","总仓位超限",IF(M112&lt;&gt;"是","追价",IF(INDEX(账户总表!$M:$M,COUNTA(账户总表!$A:$A))&gt;2,"亏钱效应偏高",IF(INDEX(账户总表!$V:$V,COUNTA(账户总表!$A:$A))&lt;&gt;"是","账户不允许新开仓",IF(AND(T112&gt;INDEX(账户总表!$C:$C,COUNTA(账户总表!$A:$A)),INDEX(账户总表!$U:$U,COUNTA(账户总表!$A:$A))&lt;&gt;"是"),"现金不足且不允许转入",IF(AND(Z112="是",AB112&lt;=0),"转入金额未满足",""))))))))))))</f>
        <v/>
      </c>
      <c r="AE112" s="71"/>
      <c r="AF112" s="1" t="str">
        <f aca="false">IF($A112="","",D112*100)</f>
        <v/>
      </c>
      <c r="AG112" s="1" t="str">
        <f aca="false">IF($A112="","",IFERROR(AF112/INDEX(账户总表!$B:$B,COUNTA(账户总表!$A:$A)),0))</f>
        <v/>
      </c>
      <c r="AH112" s="1" t="str">
        <f aca="false">IF($A112="","",IFERROR(INDEX(账户总表!$B:$B,COUNTA(账户总表!$A:$A))*INDEX(账户总表!$O:$O,COUNTA(账户总表!$A:$A)),0))</f>
        <v/>
      </c>
      <c r="AI112" s="1" t="str">
        <f aca="false">IF($A112="","",IF(AF112&gt;AH112,"超限","合规"))</f>
        <v/>
      </c>
      <c r="AJ112" s="1" t="str">
        <f aca="false">IF($A112="","",IFERROR(AF112/INDEX(账户总表!$O:$O,COUNTA(账户总表!$A:$A)),0))</f>
        <v/>
      </c>
      <c r="AK112" s="1" t="str">
        <f aca="false">IF($A112="","",IFERROR(MAX(0,AJ112-INDEX(账户总表!$B:$B,COUNTA(账户总表!$A:$A)),AF112-INDEX(账户总表!$C:$C,COUNTA(账户总表!$A:$A))),0))</f>
        <v/>
      </c>
      <c r="AL112" s="1" t="str">
        <f aca="false">IF($A112="","",IF(COUNTIF(持仓表!$C$2:$C$201,C112)&gt;0,"已有","新标的"))</f>
        <v/>
      </c>
      <c r="AM112" s="1" t="str">
        <f aca="false">IF($A112="","",IFERROR(SUMIFS(持仓表!$N$2:$N$201,持仓表!$C$2:$C$201,C112,持仓表!$A$2:$A$201,$A112),0))</f>
        <v/>
      </c>
      <c r="AN112" s="1" t="str">
        <f aca="false">IF($A112="","",IFERROR(AM112+AF112/INDEX(账户总表!$B:$B,COUNTA(账户总表!$A:$A)),0))</f>
        <v/>
      </c>
      <c r="AO112" s="1" t="str">
        <f aca="false">IF($A112="","",IF(AN112&gt;INDEX(账户总表!$O:$O,COUNTA(账户总表!$A:$A)),"超限","合规"))</f>
        <v/>
      </c>
      <c r="AP112" s="1" t="str">
        <f aca="false">IF($A112="","",IF(AND(AL112="新标的",INDEX(账户总表!$R:$R,COUNTA(账户总表!$A:$A))&gt;=INDEX(账户总表!$S:$S,COUNTA(账户总表!$A:$A))),"新增受限","可通过"))</f>
        <v/>
      </c>
      <c r="AQ112" s="1" t="str">
        <f aca="false">IF($A112="","",IF(K112&lt;&gt;"核心池","非核心池",IF(OR(AI112="超限",AO112="超限",AP112="新增受限"),"不可加仓","可加仓")))</f>
        <v/>
      </c>
      <c r="AR112" s="1" t="str">
        <f aca="false">IF($A112="","",TRIM(IF(AI112="超限","1手超单股上限；","")&amp;IF(AO112="超限","买后仓位超限；","")&amp;IF(AP112="新增受限","有效持仓数超限；","")&amp;IF(AF112&gt;INDEX(账户总表!$C:$C,COUNTA(账户总表!$A:$A)),"现金不足；","")))</f>
        <v/>
      </c>
      <c r="AS112" s="1" t="str">
        <f aca="false">IF($A112="","",IFERROR(INDEX(候选池历史!$L:$L,MATCH(1,(候选池历史!$B:$B=C112)*(候选池历史!$A:$A=$A112),0)),0))</f>
        <v/>
      </c>
      <c r="AT112" s="1" t="str">
        <f aca="false">IF($A112="","",IF(AS112&gt;=3,"★信号强化",IF(K112="核心池","核心观察","")))</f>
        <v/>
      </c>
      <c r="AU112" s="1" t="str">
        <f aca="false">IF($A112="","",IF(AK112&gt;30000-INDEX(账户总表!$B:$B,COUNTA(账户总表!$A:$A)),"不适合婴儿阶段","可纳入幼儿路径"))</f>
        <v/>
      </c>
    </row>
    <row r="113" customFormat="false" ht="15" hidden="false" customHeight="true" outlineLevel="0" collapsed="false">
      <c r="A113" s="70"/>
      <c r="B113" s="71"/>
      <c r="C113" s="72"/>
      <c r="D113" s="73"/>
      <c r="E113" s="73"/>
      <c r="F113" s="73"/>
      <c r="G113" s="74"/>
      <c r="H113" s="72"/>
      <c r="I113" s="72"/>
      <c r="J113" s="71"/>
      <c r="K113" s="75" t="str">
        <f aca="false">IF($A113="","",IF(AND(G113&lt;45%,H113&gt;=0.9),"A",IF(AND(G113&lt;60%,H113&gt;0.8),"B","C")))</f>
        <v/>
      </c>
      <c r="L113" s="75" t="str">
        <f aca="false">IF($A113="","",IF(AND(G113&lt;60%,H113&gt;0.8,I113="True"),"是","否"))</f>
        <v/>
      </c>
      <c r="M113" s="75" t="str">
        <f aca="false">IF($A113="","",IF(AND(D113&gt;0,E113&gt;0,D113&lt;=E113*1.02),"是","否"))</f>
        <v/>
      </c>
      <c r="N113" s="76" t="n">
        <f aca="false">IFERROR(INDEX(账户总表!$O:$O,COUNTA(账户总表!$A:$A)),0)</f>
        <v>0.35</v>
      </c>
      <c r="O113" s="77" t="n">
        <f aca="false">IFERROR(INDEX(账户总表!$B:$B,COUNTA(账户总表!$A:$A))*N113,0)</f>
        <v>7294.812</v>
      </c>
      <c r="P113" s="78" t="n">
        <f aca="false">IFERROR(O113/D113,0)</f>
        <v>0</v>
      </c>
      <c r="Q113" s="78" t="n">
        <f aca="false">IFERROR(FLOOR(P113,100),0)</f>
        <v>0</v>
      </c>
      <c r="R113" s="78" t="n">
        <f aca="false">IFERROR(CEILING(800/(100*D113),1)*100,0)</f>
        <v>0</v>
      </c>
      <c r="S113" s="79"/>
      <c r="T113" s="77" t="n">
        <f aca="false">IFERROR(S113*D113,0)</f>
        <v>0</v>
      </c>
      <c r="U113" s="76" t="n">
        <f aca="false">IFERROR(T113/INDEX(账户总表!$B:$B,COUNTA(账户总表!$A:$A)),0)</f>
        <v>0</v>
      </c>
      <c r="V113" s="76" t="n">
        <f aca="false">IFERROR(INDEX(账户总表!$E:$E,COUNTA(账户总表!$A:$A))+U113,0)</f>
        <v>0.407056412146057</v>
      </c>
      <c r="W113" s="75" t="str">
        <f aca="false">IF($A113="","",IFERROR(IF(V113&lt;=INDEX(账户总表!$N:$N,COUNTA(账户总表!$A:$A)),"是","否"),"否"))</f>
        <v/>
      </c>
      <c r="X113" s="77" t="str">
        <f aca="false">IF($A113="","",MAX(F113*0.98,D113*0.92))</f>
        <v/>
      </c>
      <c r="Y113" s="72"/>
      <c r="Z113" s="75" t="str">
        <f aca="false">IF($A113="","",IFERROR(IF(AND(T113&gt;INDEX(账户总表!$C:$C,COUNTA(账户总表!$A:$A)),L113="是"),"是","否"),"否"))</f>
        <v/>
      </c>
      <c r="AA113" s="77" t="str">
        <f aca="false">IF($A113="","",IFERROR(IF(Z113="是",MAX(0,T113-INDEX(账户总表!$C:$C,COUNTA(账户总表!$A:$A)),IF(N113&gt;0,T113/N113-INDEX(账户总表!$B:$B,COUNTA(账户总表!$A:$A)),0)),0),0))</f>
        <v/>
      </c>
      <c r="AB113" s="77" t="str">
        <f aca="false">IF($A113="","",IF(AND(Z113="是",INDEX(账户总表!$U:$U,COUNTA(账户总表!$A:$A))="是"),IF(INDEX(账户总表!$L:$L,COUNTA(账户总表!$A:$A))&gt;=4,AA113*1.5,AA113),0))</f>
        <v/>
      </c>
      <c r="AC113" s="75" t="str">
        <f aca="false">IF($A113="","",IF(AND(L113="是",Q113&gt;=R113,S113&lt;=Q113,S113&gt;=R113,W113="是",X113&gt;0,M113="是",INDEX(账户总表!$M:$M,COUNTA(账户总表!$A:$A))&lt;=2,INDEX(账户总表!$V:$V,COUNTA(账户总表!$A:$A))="是",OR(T113&lt;=INDEX(账户总表!$C:$C,COUNTA(账户总表!$A:$A)),AND(Z113="是",INDEX(账户总表!$U:$U,COUNTA(账户总表!$A:$A))="是",AB113&gt;0))),"是","否"))</f>
        <v/>
      </c>
      <c r="AD113" s="75" t="str">
        <f aca="false">IF($A113="","",IF(L113&lt;&gt;"是","信号未确认",IF(X113&lt;=0,"止损价未定义",IF(Q113&lt;R113,"100股约束不满足",IF(S113&gt;Q113,"计划股数超单股上限",IF(S113&lt;R113,"计划股数低于最小门槛",IF(W113&lt;&gt;"是","总仓位超限",IF(M113&lt;&gt;"是","追价",IF(INDEX(账户总表!$M:$M,COUNTA(账户总表!$A:$A))&gt;2,"亏钱效应偏高",IF(INDEX(账户总表!$V:$V,COUNTA(账户总表!$A:$A))&lt;&gt;"是","账户不允许新开仓",IF(AND(T113&gt;INDEX(账户总表!$C:$C,COUNTA(账户总表!$A:$A)),INDEX(账户总表!$U:$U,COUNTA(账户总表!$A:$A))&lt;&gt;"是"),"现金不足且不允许转入",IF(AND(Z113="是",AB113&lt;=0),"转入金额未满足",""))))))))))))</f>
        <v/>
      </c>
      <c r="AE113" s="71"/>
      <c r="AF113" s="1" t="str">
        <f aca="false">IF($A113="","",D113*100)</f>
        <v/>
      </c>
      <c r="AG113" s="1" t="str">
        <f aca="false">IF($A113="","",IFERROR(AF113/INDEX(账户总表!$B:$B,COUNTA(账户总表!$A:$A)),0))</f>
        <v/>
      </c>
      <c r="AH113" s="1" t="str">
        <f aca="false">IF($A113="","",IFERROR(INDEX(账户总表!$B:$B,COUNTA(账户总表!$A:$A))*INDEX(账户总表!$O:$O,COUNTA(账户总表!$A:$A)),0))</f>
        <v/>
      </c>
      <c r="AI113" s="1" t="str">
        <f aca="false">IF($A113="","",IF(AF113&gt;AH113,"超限","合规"))</f>
        <v/>
      </c>
      <c r="AJ113" s="1" t="str">
        <f aca="false">IF($A113="","",IFERROR(AF113/INDEX(账户总表!$O:$O,COUNTA(账户总表!$A:$A)),0))</f>
        <v/>
      </c>
      <c r="AK113" s="1" t="str">
        <f aca="false">IF($A113="","",IFERROR(MAX(0,AJ113-INDEX(账户总表!$B:$B,COUNTA(账户总表!$A:$A)),AF113-INDEX(账户总表!$C:$C,COUNTA(账户总表!$A:$A))),0))</f>
        <v/>
      </c>
      <c r="AL113" s="1" t="str">
        <f aca="false">IF($A113="","",IF(COUNTIF(持仓表!$C$2:$C$201,C113)&gt;0,"已有","新标的"))</f>
        <v/>
      </c>
      <c r="AM113" s="1" t="str">
        <f aca="false">IF($A113="","",IFERROR(SUMIFS(持仓表!$N$2:$N$201,持仓表!$C$2:$C$201,C113,持仓表!$A$2:$A$201,$A113),0))</f>
        <v/>
      </c>
      <c r="AN113" s="1" t="str">
        <f aca="false">IF($A113="","",IFERROR(AM113+AF113/INDEX(账户总表!$B:$B,COUNTA(账户总表!$A:$A)),0))</f>
        <v/>
      </c>
      <c r="AO113" s="1" t="str">
        <f aca="false">IF($A113="","",IF(AN113&gt;INDEX(账户总表!$O:$O,COUNTA(账户总表!$A:$A)),"超限","合规"))</f>
        <v/>
      </c>
      <c r="AP113" s="1" t="str">
        <f aca="false">IF($A113="","",IF(AND(AL113="新标的",INDEX(账户总表!$R:$R,COUNTA(账户总表!$A:$A))&gt;=INDEX(账户总表!$S:$S,COUNTA(账户总表!$A:$A))),"新增受限","可通过"))</f>
        <v/>
      </c>
      <c r="AQ113" s="1" t="str">
        <f aca="false">IF($A113="","",IF(K113&lt;&gt;"核心池","非核心池",IF(OR(AI113="超限",AO113="超限",AP113="新增受限"),"不可加仓","可加仓")))</f>
        <v/>
      </c>
      <c r="AR113" s="1" t="str">
        <f aca="false">IF($A113="","",TRIM(IF(AI113="超限","1手超单股上限；","")&amp;IF(AO113="超限","买后仓位超限；","")&amp;IF(AP113="新增受限","有效持仓数超限；","")&amp;IF(AF113&gt;INDEX(账户总表!$C:$C,COUNTA(账户总表!$A:$A)),"现金不足；","")))</f>
        <v/>
      </c>
      <c r="AS113" s="1" t="str">
        <f aca="false">IF($A113="","",IFERROR(INDEX(候选池历史!$L:$L,MATCH(1,(候选池历史!$B:$B=C113)*(候选池历史!$A:$A=$A113),0)),0))</f>
        <v/>
      </c>
      <c r="AT113" s="1" t="str">
        <f aca="false">IF($A113="","",IF(AS113&gt;=3,"★信号强化",IF(K113="核心池","核心观察","")))</f>
        <v/>
      </c>
      <c r="AU113" s="1" t="str">
        <f aca="false">IF($A113="","",IF(AK113&gt;30000-INDEX(账户总表!$B:$B,COUNTA(账户总表!$A:$A)),"不适合婴儿阶段","可纳入幼儿路径"))</f>
        <v/>
      </c>
    </row>
    <row r="114" customFormat="false" ht="15" hidden="false" customHeight="true" outlineLevel="0" collapsed="false">
      <c r="A114" s="70"/>
      <c r="B114" s="71"/>
      <c r="C114" s="72"/>
      <c r="D114" s="73"/>
      <c r="E114" s="73"/>
      <c r="F114" s="73"/>
      <c r="G114" s="74"/>
      <c r="H114" s="72"/>
      <c r="I114" s="72"/>
      <c r="J114" s="71"/>
      <c r="K114" s="75" t="str">
        <f aca="false">IF($A114="","",IF(AND(G114&lt;45%,H114&gt;=0.9),"A",IF(AND(G114&lt;60%,H114&gt;0.8),"B","C")))</f>
        <v/>
      </c>
      <c r="L114" s="75" t="str">
        <f aca="false">IF($A114="","",IF(AND(G114&lt;60%,H114&gt;0.8,I114="True"),"是","否"))</f>
        <v/>
      </c>
      <c r="M114" s="75" t="str">
        <f aca="false">IF($A114="","",IF(AND(D114&gt;0,E114&gt;0,D114&lt;=E114*1.02),"是","否"))</f>
        <v/>
      </c>
      <c r="N114" s="76" t="n">
        <f aca="false">IFERROR(INDEX(账户总表!$O:$O,COUNTA(账户总表!$A:$A)),0)</f>
        <v>0.35</v>
      </c>
      <c r="O114" s="77" t="n">
        <f aca="false">IFERROR(INDEX(账户总表!$B:$B,COUNTA(账户总表!$A:$A))*N114,0)</f>
        <v>7294.812</v>
      </c>
      <c r="P114" s="78" t="n">
        <f aca="false">IFERROR(O114/D114,0)</f>
        <v>0</v>
      </c>
      <c r="Q114" s="78" t="n">
        <f aca="false">IFERROR(FLOOR(P114,100),0)</f>
        <v>0</v>
      </c>
      <c r="R114" s="78" t="n">
        <f aca="false">IFERROR(CEILING(800/(100*D114),1)*100,0)</f>
        <v>0</v>
      </c>
      <c r="S114" s="79"/>
      <c r="T114" s="77" t="n">
        <f aca="false">IFERROR(S114*D114,0)</f>
        <v>0</v>
      </c>
      <c r="U114" s="76" t="n">
        <f aca="false">IFERROR(T114/INDEX(账户总表!$B:$B,COUNTA(账户总表!$A:$A)),0)</f>
        <v>0</v>
      </c>
      <c r="V114" s="76" t="n">
        <f aca="false">IFERROR(INDEX(账户总表!$E:$E,COUNTA(账户总表!$A:$A))+U114,0)</f>
        <v>0.407056412146057</v>
      </c>
      <c r="W114" s="75" t="str">
        <f aca="false">IF($A114="","",IFERROR(IF(V114&lt;=INDEX(账户总表!$N:$N,COUNTA(账户总表!$A:$A)),"是","否"),"否"))</f>
        <v/>
      </c>
      <c r="X114" s="77" t="str">
        <f aca="false">IF($A114="","",MAX(F114*0.98,D114*0.92))</f>
        <v/>
      </c>
      <c r="Y114" s="72"/>
      <c r="Z114" s="75" t="str">
        <f aca="false">IF($A114="","",IFERROR(IF(AND(T114&gt;INDEX(账户总表!$C:$C,COUNTA(账户总表!$A:$A)),L114="是"),"是","否"),"否"))</f>
        <v/>
      </c>
      <c r="AA114" s="77" t="str">
        <f aca="false">IF($A114="","",IFERROR(IF(Z114="是",MAX(0,T114-INDEX(账户总表!$C:$C,COUNTA(账户总表!$A:$A)),IF(N114&gt;0,T114/N114-INDEX(账户总表!$B:$B,COUNTA(账户总表!$A:$A)),0)),0),0))</f>
        <v/>
      </c>
      <c r="AB114" s="77" t="str">
        <f aca="false">IF($A114="","",IF(AND(Z114="是",INDEX(账户总表!$U:$U,COUNTA(账户总表!$A:$A))="是"),IF(INDEX(账户总表!$L:$L,COUNTA(账户总表!$A:$A))&gt;=4,AA114*1.5,AA114),0))</f>
        <v/>
      </c>
      <c r="AC114" s="75" t="str">
        <f aca="false">IF($A114="","",IF(AND(L114="是",Q114&gt;=R114,S114&lt;=Q114,S114&gt;=R114,W114="是",X114&gt;0,M114="是",INDEX(账户总表!$M:$M,COUNTA(账户总表!$A:$A))&lt;=2,INDEX(账户总表!$V:$V,COUNTA(账户总表!$A:$A))="是",OR(T114&lt;=INDEX(账户总表!$C:$C,COUNTA(账户总表!$A:$A)),AND(Z114="是",INDEX(账户总表!$U:$U,COUNTA(账户总表!$A:$A))="是",AB114&gt;0))),"是","否"))</f>
        <v/>
      </c>
      <c r="AD114" s="75" t="str">
        <f aca="false">IF($A114="","",IF(L114&lt;&gt;"是","信号未确认",IF(X114&lt;=0,"止损价未定义",IF(Q114&lt;R114,"100股约束不满足",IF(S114&gt;Q114,"计划股数超单股上限",IF(S114&lt;R114,"计划股数低于最小门槛",IF(W114&lt;&gt;"是","总仓位超限",IF(M114&lt;&gt;"是","追价",IF(INDEX(账户总表!$M:$M,COUNTA(账户总表!$A:$A))&gt;2,"亏钱效应偏高",IF(INDEX(账户总表!$V:$V,COUNTA(账户总表!$A:$A))&lt;&gt;"是","账户不允许新开仓",IF(AND(T114&gt;INDEX(账户总表!$C:$C,COUNTA(账户总表!$A:$A)),INDEX(账户总表!$U:$U,COUNTA(账户总表!$A:$A))&lt;&gt;"是"),"现金不足且不允许转入",IF(AND(Z114="是",AB114&lt;=0),"转入金额未满足",""))))))))))))</f>
        <v/>
      </c>
      <c r="AE114" s="71"/>
      <c r="AF114" s="1" t="str">
        <f aca="false">IF($A114="","",D114*100)</f>
        <v/>
      </c>
      <c r="AG114" s="1" t="str">
        <f aca="false">IF($A114="","",IFERROR(AF114/INDEX(账户总表!$B:$B,COUNTA(账户总表!$A:$A)),0))</f>
        <v/>
      </c>
      <c r="AH114" s="1" t="str">
        <f aca="false">IF($A114="","",IFERROR(INDEX(账户总表!$B:$B,COUNTA(账户总表!$A:$A))*INDEX(账户总表!$O:$O,COUNTA(账户总表!$A:$A)),0))</f>
        <v/>
      </c>
      <c r="AI114" s="1" t="str">
        <f aca="false">IF($A114="","",IF(AF114&gt;AH114,"超限","合规"))</f>
        <v/>
      </c>
      <c r="AJ114" s="1" t="str">
        <f aca="false">IF($A114="","",IFERROR(AF114/INDEX(账户总表!$O:$O,COUNTA(账户总表!$A:$A)),0))</f>
        <v/>
      </c>
      <c r="AK114" s="1" t="str">
        <f aca="false">IF($A114="","",IFERROR(MAX(0,AJ114-INDEX(账户总表!$B:$B,COUNTA(账户总表!$A:$A)),AF114-INDEX(账户总表!$C:$C,COUNTA(账户总表!$A:$A))),0))</f>
        <v/>
      </c>
      <c r="AL114" s="1" t="str">
        <f aca="false">IF($A114="","",IF(COUNTIF(持仓表!$C$2:$C$201,C114)&gt;0,"已有","新标的"))</f>
        <v/>
      </c>
      <c r="AM114" s="1" t="str">
        <f aca="false">IF($A114="","",IFERROR(SUMIFS(持仓表!$N$2:$N$201,持仓表!$C$2:$C$201,C114,持仓表!$A$2:$A$201,$A114),0))</f>
        <v/>
      </c>
      <c r="AN114" s="1" t="str">
        <f aca="false">IF($A114="","",IFERROR(AM114+AF114/INDEX(账户总表!$B:$B,COUNTA(账户总表!$A:$A)),0))</f>
        <v/>
      </c>
      <c r="AO114" s="1" t="str">
        <f aca="false">IF($A114="","",IF(AN114&gt;INDEX(账户总表!$O:$O,COUNTA(账户总表!$A:$A)),"超限","合规"))</f>
        <v/>
      </c>
      <c r="AP114" s="1" t="str">
        <f aca="false">IF($A114="","",IF(AND(AL114="新标的",INDEX(账户总表!$R:$R,COUNTA(账户总表!$A:$A))&gt;=INDEX(账户总表!$S:$S,COUNTA(账户总表!$A:$A))),"新增受限","可通过"))</f>
        <v/>
      </c>
      <c r="AQ114" s="1" t="str">
        <f aca="false">IF($A114="","",IF(K114&lt;&gt;"核心池","非核心池",IF(OR(AI114="超限",AO114="超限",AP114="新增受限"),"不可加仓","可加仓")))</f>
        <v/>
      </c>
      <c r="AR114" s="1" t="str">
        <f aca="false">IF($A114="","",TRIM(IF(AI114="超限","1手超单股上限；","")&amp;IF(AO114="超限","买后仓位超限；","")&amp;IF(AP114="新增受限","有效持仓数超限；","")&amp;IF(AF114&gt;INDEX(账户总表!$C:$C,COUNTA(账户总表!$A:$A)),"现金不足；","")))</f>
        <v/>
      </c>
      <c r="AS114" s="1" t="str">
        <f aca="false">IF($A114="","",IFERROR(INDEX(候选池历史!$L:$L,MATCH(1,(候选池历史!$B:$B=C114)*(候选池历史!$A:$A=$A114),0)),0))</f>
        <v/>
      </c>
      <c r="AT114" s="1" t="str">
        <f aca="false">IF($A114="","",IF(AS114&gt;=3,"★信号强化",IF(K114="核心池","核心观察","")))</f>
        <v/>
      </c>
      <c r="AU114" s="1" t="str">
        <f aca="false">IF($A114="","",IF(AK114&gt;30000-INDEX(账户总表!$B:$B,COUNTA(账户总表!$A:$A)),"不适合婴儿阶段","可纳入幼儿路径"))</f>
        <v/>
      </c>
    </row>
    <row r="115" customFormat="false" ht="15" hidden="false" customHeight="true" outlineLevel="0" collapsed="false">
      <c r="A115" s="70"/>
      <c r="B115" s="71"/>
      <c r="C115" s="72"/>
      <c r="D115" s="73"/>
      <c r="E115" s="73"/>
      <c r="F115" s="73"/>
      <c r="G115" s="74"/>
      <c r="H115" s="72"/>
      <c r="I115" s="72"/>
      <c r="J115" s="71"/>
      <c r="K115" s="75" t="str">
        <f aca="false">IF($A115="","",IF(AND(G115&lt;45%,H115&gt;=0.9),"A",IF(AND(G115&lt;60%,H115&gt;0.8),"B","C")))</f>
        <v/>
      </c>
      <c r="L115" s="75" t="str">
        <f aca="false">IF($A115="","",IF(AND(G115&lt;60%,H115&gt;0.8,I115="True"),"是","否"))</f>
        <v/>
      </c>
      <c r="M115" s="75" t="str">
        <f aca="false">IF($A115="","",IF(AND(D115&gt;0,E115&gt;0,D115&lt;=E115*1.02),"是","否"))</f>
        <v/>
      </c>
      <c r="N115" s="76" t="n">
        <f aca="false">IFERROR(INDEX(账户总表!$O:$O,COUNTA(账户总表!$A:$A)),0)</f>
        <v>0.35</v>
      </c>
      <c r="O115" s="77" t="n">
        <f aca="false">IFERROR(INDEX(账户总表!$B:$B,COUNTA(账户总表!$A:$A))*N115,0)</f>
        <v>7294.812</v>
      </c>
      <c r="P115" s="78" t="n">
        <f aca="false">IFERROR(O115/D115,0)</f>
        <v>0</v>
      </c>
      <c r="Q115" s="78" t="n">
        <f aca="false">IFERROR(FLOOR(P115,100),0)</f>
        <v>0</v>
      </c>
      <c r="R115" s="78" t="n">
        <f aca="false">IFERROR(CEILING(800/(100*D115),1)*100,0)</f>
        <v>0</v>
      </c>
      <c r="S115" s="79"/>
      <c r="T115" s="77" t="n">
        <f aca="false">IFERROR(S115*D115,0)</f>
        <v>0</v>
      </c>
      <c r="U115" s="76" t="n">
        <f aca="false">IFERROR(T115/INDEX(账户总表!$B:$B,COUNTA(账户总表!$A:$A)),0)</f>
        <v>0</v>
      </c>
      <c r="V115" s="76" t="n">
        <f aca="false">IFERROR(INDEX(账户总表!$E:$E,COUNTA(账户总表!$A:$A))+U115,0)</f>
        <v>0.407056412146057</v>
      </c>
      <c r="W115" s="75" t="str">
        <f aca="false">IF($A115="","",IFERROR(IF(V115&lt;=INDEX(账户总表!$N:$N,COUNTA(账户总表!$A:$A)),"是","否"),"否"))</f>
        <v/>
      </c>
      <c r="X115" s="77" t="str">
        <f aca="false">IF($A115="","",MAX(F115*0.98,D115*0.92))</f>
        <v/>
      </c>
      <c r="Y115" s="72"/>
      <c r="Z115" s="75" t="str">
        <f aca="false">IF($A115="","",IFERROR(IF(AND(T115&gt;INDEX(账户总表!$C:$C,COUNTA(账户总表!$A:$A)),L115="是"),"是","否"),"否"))</f>
        <v/>
      </c>
      <c r="AA115" s="77" t="str">
        <f aca="false">IF($A115="","",IFERROR(IF(Z115="是",MAX(0,T115-INDEX(账户总表!$C:$C,COUNTA(账户总表!$A:$A)),IF(N115&gt;0,T115/N115-INDEX(账户总表!$B:$B,COUNTA(账户总表!$A:$A)),0)),0),0))</f>
        <v/>
      </c>
      <c r="AB115" s="77" t="str">
        <f aca="false">IF($A115="","",IF(AND(Z115="是",INDEX(账户总表!$U:$U,COUNTA(账户总表!$A:$A))="是"),IF(INDEX(账户总表!$L:$L,COUNTA(账户总表!$A:$A))&gt;=4,AA115*1.5,AA115),0))</f>
        <v/>
      </c>
      <c r="AC115" s="75" t="str">
        <f aca="false">IF($A115="","",IF(AND(L115="是",Q115&gt;=R115,S115&lt;=Q115,S115&gt;=R115,W115="是",X115&gt;0,M115="是",INDEX(账户总表!$M:$M,COUNTA(账户总表!$A:$A))&lt;=2,INDEX(账户总表!$V:$V,COUNTA(账户总表!$A:$A))="是",OR(T115&lt;=INDEX(账户总表!$C:$C,COUNTA(账户总表!$A:$A)),AND(Z115="是",INDEX(账户总表!$U:$U,COUNTA(账户总表!$A:$A))="是",AB115&gt;0))),"是","否"))</f>
        <v/>
      </c>
      <c r="AD115" s="75" t="str">
        <f aca="false">IF($A115="","",IF(L115&lt;&gt;"是","信号未确认",IF(X115&lt;=0,"止损价未定义",IF(Q115&lt;R115,"100股约束不满足",IF(S115&gt;Q115,"计划股数超单股上限",IF(S115&lt;R115,"计划股数低于最小门槛",IF(W115&lt;&gt;"是","总仓位超限",IF(M115&lt;&gt;"是","追价",IF(INDEX(账户总表!$M:$M,COUNTA(账户总表!$A:$A))&gt;2,"亏钱效应偏高",IF(INDEX(账户总表!$V:$V,COUNTA(账户总表!$A:$A))&lt;&gt;"是","账户不允许新开仓",IF(AND(T115&gt;INDEX(账户总表!$C:$C,COUNTA(账户总表!$A:$A)),INDEX(账户总表!$U:$U,COUNTA(账户总表!$A:$A))&lt;&gt;"是"),"现金不足且不允许转入",IF(AND(Z115="是",AB115&lt;=0),"转入金额未满足",""))))))))))))</f>
        <v/>
      </c>
      <c r="AE115" s="71"/>
      <c r="AF115" s="1" t="str">
        <f aca="false">IF($A115="","",D115*100)</f>
        <v/>
      </c>
      <c r="AG115" s="1" t="str">
        <f aca="false">IF($A115="","",IFERROR(AF115/INDEX(账户总表!$B:$B,COUNTA(账户总表!$A:$A)),0))</f>
        <v/>
      </c>
      <c r="AH115" s="1" t="str">
        <f aca="false">IF($A115="","",IFERROR(INDEX(账户总表!$B:$B,COUNTA(账户总表!$A:$A))*INDEX(账户总表!$O:$O,COUNTA(账户总表!$A:$A)),0))</f>
        <v/>
      </c>
      <c r="AI115" s="1" t="str">
        <f aca="false">IF($A115="","",IF(AF115&gt;AH115,"超限","合规"))</f>
        <v/>
      </c>
      <c r="AJ115" s="1" t="str">
        <f aca="false">IF($A115="","",IFERROR(AF115/INDEX(账户总表!$O:$O,COUNTA(账户总表!$A:$A)),0))</f>
        <v/>
      </c>
      <c r="AK115" s="1" t="str">
        <f aca="false">IF($A115="","",IFERROR(MAX(0,AJ115-INDEX(账户总表!$B:$B,COUNTA(账户总表!$A:$A)),AF115-INDEX(账户总表!$C:$C,COUNTA(账户总表!$A:$A))),0))</f>
        <v/>
      </c>
      <c r="AL115" s="1" t="str">
        <f aca="false">IF($A115="","",IF(COUNTIF(持仓表!$C$2:$C$201,C115)&gt;0,"已有","新标的"))</f>
        <v/>
      </c>
      <c r="AM115" s="1" t="str">
        <f aca="false">IF($A115="","",IFERROR(SUMIFS(持仓表!$N$2:$N$201,持仓表!$C$2:$C$201,C115,持仓表!$A$2:$A$201,$A115),0))</f>
        <v/>
      </c>
      <c r="AN115" s="1" t="str">
        <f aca="false">IF($A115="","",IFERROR(AM115+AF115/INDEX(账户总表!$B:$B,COUNTA(账户总表!$A:$A)),0))</f>
        <v/>
      </c>
      <c r="AO115" s="1" t="str">
        <f aca="false">IF($A115="","",IF(AN115&gt;INDEX(账户总表!$O:$O,COUNTA(账户总表!$A:$A)),"超限","合规"))</f>
        <v/>
      </c>
      <c r="AP115" s="1" t="str">
        <f aca="false">IF($A115="","",IF(AND(AL115="新标的",INDEX(账户总表!$R:$R,COUNTA(账户总表!$A:$A))&gt;=INDEX(账户总表!$S:$S,COUNTA(账户总表!$A:$A))),"新增受限","可通过"))</f>
        <v/>
      </c>
      <c r="AQ115" s="1" t="str">
        <f aca="false">IF($A115="","",IF(K115&lt;&gt;"核心池","非核心池",IF(OR(AI115="超限",AO115="超限",AP115="新增受限"),"不可加仓","可加仓")))</f>
        <v/>
      </c>
      <c r="AR115" s="1" t="str">
        <f aca="false">IF($A115="","",TRIM(IF(AI115="超限","1手超单股上限；","")&amp;IF(AO115="超限","买后仓位超限；","")&amp;IF(AP115="新增受限","有效持仓数超限；","")&amp;IF(AF115&gt;INDEX(账户总表!$C:$C,COUNTA(账户总表!$A:$A)),"现金不足；","")))</f>
        <v/>
      </c>
      <c r="AS115" s="1" t="str">
        <f aca="false">IF($A115="","",IFERROR(INDEX(候选池历史!$L:$L,MATCH(1,(候选池历史!$B:$B=C115)*(候选池历史!$A:$A=$A115),0)),0))</f>
        <v/>
      </c>
      <c r="AT115" s="1" t="str">
        <f aca="false">IF($A115="","",IF(AS115&gt;=3,"★信号强化",IF(K115="核心池","核心观察","")))</f>
        <v/>
      </c>
      <c r="AU115" s="1" t="str">
        <f aca="false">IF($A115="","",IF(AK115&gt;30000-INDEX(账户总表!$B:$B,COUNTA(账户总表!$A:$A)),"不适合婴儿阶段","可纳入幼儿路径"))</f>
        <v/>
      </c>
    </row>
    <row r="116" customFormat="false" ht="15" hidden="false" customHeight="true" outlineLevel="0" collapsed="false">
      <c r="A116" s="70"/>
      <c r="B116" s="71"/>
      <c r="C116" s="72"/>
      <c r="D116" s="73"/>
      <c r="E116" s="73"/>
      <c r="F116" s="73"/>
      <c r="G116" s="74"/>
      <c r="H116" s="72"/>
      <c r="I116" s="72"/>
      <c r="J116" s="71"/>
      <c r="K116" s="75" t="str">
        <f aca="false">IF($A116="","",IF(AND(G116&lt;45%,H116&gt;=0.9),"A",IF(AND(G116&lt;60%,H116&gt;0.8),"B","C")))</f>
        <v/>
      </c>
      <c r="L116" s="75" t="str">
        <f aca="false">IF($A116="","",IF(AND(G116&lt;60%,H116&gt;0.8,I116="True"),"是","否"))</f>
        <v/>
      </c>
      <c r="M116" s="75" t="str">
        <f aca="false">IF($A116="","",IF(AND(D116&gt;0,E116&gt;0,D116&lt;=E116*1.02),"是","否"))</f>
        <v/>
      </c>
      <c r="N116" s="76" t="n">
        <f aca="false">IFERROR(INDEX(账户总表!$O:$O,COUNTA(账户总表!$A:$A)),0)</f>
        <v>0.35</v>
      </c>
      <c r="O116" s="77" t="n">
        <f aca="false">IFERROR(INDEX(账户总表!$B:$B,COUNTA(账户总表!$A:$A))*N116,0)</f>
        <v>7294.812</v>
      </c>
      <c r="P116" s="78" t="n">
        <f aca="false">IFERROR(O116/D116,0)</f>
        <v>0</v>
      </c>
      <c r="Q116" s="78" t="n">
        <f aca="false">IFERROR(FLOOR(P116,100),0)</f>
        <v>0</v>
      </c>
      <c r="R116" s="78" t="n">
        <f aca="false">IFERROR(CEILING(800/(100*D116),1)*100,0)</f>
        <v>0</v>
      </c>
      <c r="S116" s="79"/>
      <c r="T116" s="77" t="n">
        <f aca="false">IFERROR(S116*D116,0)</f>
        <v>0</v>
      </c>
      <c r="U116" s="76" t="n">
        <f aca="false">IFERROR(T116/INDEX(账户总表!$B:$B,COUNTA(账户总表!$A:$A)),0)</f>
        <v>0</v>
      </c>
      <c r="V116" s="76" t="n">
        <f aca="false">IFERROR(INDEX(账户总表!$E:$E,COUNTA(账户总表!$A:$A))+U116,0)</f>
        <v>0.407056412146057</v>
      </c>
      <c r="W116" s="75" t="str">
        <f aca="false">IF($A116="","",IFERROR(IF(V116&lt;=INDEX(账户总表!$N:$N,COUNTA(账户总表!$A:$A)),"是","否"),"否"))</f>
        <v/>
      </c>
      <c r="X116" s="77" t="str">
        <f aca="false">IF($A116="","",MAX(F116*0.98,D116*0.92))</f>
        <v/>
      </c>
      <c r="Y116" s="72"/>
      <c r="Z116" s="75" t="str">
        <f aca="false">IF($A116="","",IFERROR(IF(AND(T116&gt;INDEX(账户总表!$C:$C,COUNTA(账户总表!$A:$A)),L116="是"),"是","否"),"否"))</f>
        <v/>
      </c>
      <c r="AA116" s="77" t="str">
        <f aca="false">IF($A116="","",IFERROR(IF(Z116="是",MAX(0,T116-INDEX(账户总表!$C:$C,COUNTA(账户总表!$A:$A)),IF(N116&gt;0,T116/N116-INDEX(账户总表!$B:$B,COUNTA(账户总表!$A:$A)),0)),0),0))</f>
        <v/>
      </c>
      <c r="AB116" s="77" t="str">
        <f aca="false">IF($A116="","",IF(AND(Z116="是",INDEX(账户总表!$U:$U,COUNTA(账户总表!$A:$A))="是"),IF(INDEX(账户总表!$L:$L,COUNTA(账户总表!$A:$A))&gt;=4,AA116*1.5,AA116),0))</f>
        <v/>
      </c>
      <c r="AC116" s="75" t="str">
        <f aca="false">IF($A116="","",IF(AND(L116="是",Q116&gt;=R116,S116&lt;=Q116,S116&gt;=R116,W116="是",X116&gt;0,M116="是",INDEX(账户总表!$M:$M,COUNTA(账户总表!$A:$A))&lt;=2,INDEX(账户总表!$V:$V,COUNTA(账户总表!$A:$A))="是",OR(T116&lt;=INDEX(账户总表!$C:$C,COUNTA(账户总表!$A:$A)),AND(Z116="是",INDEX(账户总表!$U:$U,COUNTA(账户总表!$A:$A))="是",AB116&gt;0))),"是","否"))</f>
        <v/>
      </c>
      <c r="AD116" s="75" t="str">
        <f aca="false">IF($A116="","",IF(L116&lt;&gt;"是","信号未确认",IF(X116&lt;=0,"止损价未定义",IF(Q116&lt;R116,"100股约束不满足",IF(S116&gt;Q116,"计划股数超单股上限",IF(S116&lt;R116,"计划股数低于最小门槛",IF(W116&lt;&gt;"是","总仓位超限",IF(M116&lt;&gt;"是","追价",IF(INDEX(账户总表!$M:$M,COUNTA(账户总表!$A:$A))&gt;2,"亏钱效应偏高",IF(INDEX(账户总表!$V:$V,COUNTA(账户总表!$A:$A))&lt;&gt;"是","账户不允许新开仓",IF(AND(T116&gt;INDEX(账户总表!$C:$C,COUNTA(账户总表!$A:$A)),INDEX(账户总表!$U:$U,COUNTA(账户总表!$A:$A))&lt;&gt;"是"),"现金不足且不允许转入",IF(AND(Z116="是",AB116&lt;=0),"转入金额未满足",""))))))))))))</f>
        <v/>
      </c>
      <c r="AE116" s="71"/>
      <c r="AF116" s="1" t="str">
        <f aca="false">IF($A116="","",D116*100)</f>
        <v/>
      </c>
      <c r="AG116" s="1" t="str">
        <f aca="false">IF($A116="","",IFERROR(AF116/INDEX(账户总表!$B:$B,COUNTA(账户总表!$A:$A)),0))</f>
        <v/>
      </c>
      <c r="AH116" s="1" t="str">
        <f aca="false">IF($A116="","",IFERROR(INDEX(账户总表!$B:$B,COUNTA(账户总表!$A:$A))*INDEX(账户总表!$O:$O,COUNTA(账户总表!$A:$A)),0))</f>
        <v/>
      </c>
      <c r="AI116" s="1" t="str">
        <f aca="false">IF($A116="","",IF(AF116&gt;AH116,"超限","合规"))</f>
        <v/>
      </c>
      <c r="AJ116" s="1" t="str">
        <f aca="false">IF($A116="","",IFERROR(AF116/INDEX(账户总表!$O:$O,COUNTA(账户总表!$A:$A)),0))</f>
        <v/>
      </c>
      <c r="AK116" s="1" t="str">
        <f aca="false">IF($A116="","",IFERROR(MAX(0,AJ116-INDEX(账户总表!$B:$B,COUNTA(账户总表!$A:$A)),AF116-INDEX(账户总表!$C:$C,COUNTA(账户总表!$A:$A))),0))</f>
        <v/>
      </c>
      <c r="AL116" s="1" t="str">
        <f aca="false">IF($A116="","",IF(COUNTIF(持仓表!$C$2:$C$201,C116)&gt;0,"已有","新标的"))</f>
        <v/>
      </c>
      <c r="AM116" s="1" t="str">
        <f aca="false">IF($A116="","",IFERROR(SUMIFS(持仓表!$N$2:$N$201,持仓表!$C$2:$C$201,C116,持仓表!$A$2:$A$201,$A116),0))</f>
        <v/>
      </c>
      <c r="AN116" s="1" t="str">
        <f aca="false">IF($A116="","",IFERROR(AM116+AF116/INDEX(账户总表!$B:$B,COUNTA(账户总表!$A:$A)),0))</f>
        <v/>
      </c>
      <c r="AO116" s="1" t="str">
        <f aca="false">IF($A116="","",IF(AN116&gt;INDEX(账户总表!$O:$O,COUNTA(账户总表!$A:$A)),"超限","合规"))</f>
        <v/>
      </c>
      <c r="AP116" s="1" t="str">
        <f aca="false">IF($A116="","",IF(AND(AL116="新标的",INDEX(账户总表!$R:$R,COUNTA(账户总表!$A:$A))&gt;=INDEX(账户总表!$S:$S,COUNTA(账户总表!$A:$A))),"新增受限","可通过"))</f>
        <v/>
      </c>
      <c r="AQ116" s="1" t="str">
        <f aca="false">IF($A116="","",IF(K116&lt;&gt;"核心池","非核心池",IF(OR(AI116="超限",AO116="超限",AP116="新增受限"),"不可加仓","可加仓")))</f>
        <v/>
      </c>
      <c r="AR116" s="1" t="str">
        <f aca="false">IF($A116="","",TRIM(IF(AI116="超限","1手超单股上限；","")&amp;IF(AO116="超限","买后仓位超限；","")&amp;IF(AP116="新增受限","有效持仓数超限；","")&amp;IF(AF116&gt;INDEX(账户总表!$C:$C,COUNTA(账户总表!$A:$A)),"现金不足；","")))</f>
        <v/>
      </c>
      <c r="AS116" s="1" t="str">
        <f aca="false">IF($A116="","",IFERROR(INDEX(候选池历史!$L:$L,MATCH(1,(候选池历史!$B:$B=C116)*(候选池历史!$A:$A=$A116),0)),0))</f>
        <v/>
      </c>
      <c r="AT116" s="1" t="str">
        <f aca="false">IF($A116="","",IF(AS116&gt;=3,"★信号强化",IF(K116="核心池","核心观察","")))</f>
        <v/>
      </c>
      <c r="AU116" s="1" t="str">
        <f aca="false">IF($A116="","",IF(AK116&gt;30000-INDEX(账户总表!$B:$B,COUNTA(账户总表!$A:$A)),"不适合婴儿阶段","可纳入幼儿路径"))</f>
        <v/>
      </c>
    </row>
    <row r="117" customFormat="false" ht="15" hidden="false" customHeight="true" outlineLevel="0" collapsed="false">
      <c r="A117" s="70"/>
      <c r="B117" s="71"/>
      <c r="C117" s="72"/>
      <c r="D117" s="73"/>
      <c r="E117" s="73"/>
      <c r="F117" s="73"/>
      <c r="G117" s="74"/>
      <c r="H117" s="72"/>
      <c r="I117" s="72"/>
      <c r="J117" s="71"/>
      <c r="K117" s="75" t="str">
        <f aca="false">IF($A117="","",IF(AND(G117&lt;45%,H117&gt;=0.9),"A",IF(AND(G117&lt;60%,H117&gt;0.8),"B","C")))</f>
        <v/>
      </c>
      <c r="L117" s="75" t="str">
        <f aca="false">IF($A117="","",IF(AND(G117&lt;60%,H117&gt;0.8,I117="True"),"是","否"))</f>
        <v/>
      </c>
      <c r="M117" s="75" t="str">
        <f aca="false">IF($A117="","",IF(AND(D117&gt;0,E117&gt;0,D117&lt;=E117*1.02),"是","否"))</f>
        <v/>
      </c>
      <c r="N117" s="76" t="n">
        <f aca="false">IFERROR(INDEX(账户总表!$O:$O,COUNTA(账户总表!$A:$A)),0)</f>
        <v>0.35</v>
      </c>
      <c r="O117" s="77" t="n">
        <f aca="false">IFERROR(INDEX(账户总表!$B:$B,COUNTA(账户总表!$A:$A))*N117,0)</f>
        <v>7294.812</v>
      </c>
      <c r="P117" s="78" t="n">
        <f aca="false">IFERROR(O117/D117,0)</f>
        <v>0</v>
      </c>
      <c r="Q117" s="78" t="n">
        <f aca="false">IFERROR(FLOOR(P117,100),0)</f>
        <v>0</v>
      </c>
      <c r="R117" s="78" t="n">
        <f aca="false">IFERROR(CEILING(800/(100*D117),1)*100,0)</f>
        <v>0</v>
      </c>
      <c r="S117" s="79"/>
      <c r="T117" s="77" t="n">
        <f aca="false">IFERROR(S117*D117,0)</f>
        <v>0</v>
      </c>
      <c r="U117" s="76" t="n">
        <f aca="false">IFERROR(T117/INDEX(账户总表!$B:$B,COUNTA(账户总表!$A:$A)),0)</f>
        <v>0</v>
      </c>
      <c r="V117" s="76" t="n">
        <f aca="false">IFERROR(INDEX(账户总表!$E:$E,COUNTA(账户总表!$A:$A))+U117,0)</f>
        <v>0.407056412146057</v>
      </c>
      <c r="W117" s="75" t="str">
        <f aca="false">IF($A117="","",IFERROR(IF(V117&lt;=INDEX(账户总表!$N:$N,COUNTA(账户总表!$A:$A)),"是","否"),"否"))</f>
        <v/>
      </c>
      <c r="X117" s="77" t="str">
        <f aca="false">IF($A117="","",MAX(F117*0.98,D117*0.92))</f>
        <v/>
      </c>
      <c r="Y117" s="72"/>
      <c r="Z117" s="75" t="str">
        <f aca="false">IF($A117="","",IFERROR(IF(AND(T117&gt;INDEX(账户总表!$C:$C,COUNTA(账户总表!$A:$A)),L117="是"),"是","否"),"否"))</f>
        <v/>
      </c>
      <c r="AA117" s="77" t="str">
        <f aca="false">IF($A117="","",IFERROR(IF(Z117="是",MAX(0,T117-INDEX(账户总表!$C:$C,COUNTA(账户总表!$A:$A)),IF(N117&gt;0,T117/N117-INDEX(账户总表!$B:$B,COUNTA(账户总表!$A:$A)),0)),0),0))</f>
        <v/>
      </c>
      <c r="AB117" s="77" t="str">
        <f aca="false">IF($A117="","",IF(AND(Z117="是",INDEX(账户总表!$U:$U,COUNTA(账户总表!$A:$A))="是"),IF(INDEX(账户总表!$L:$L,COUNTA(账户总表!$A:$A))&gt;=4,AA117*1.5,AA117),0))</f>
        <v/>
      </c>
      <c r="AC117" s="75" t="str">
        <f aca="false">IF($A117="","",IF(AND(L117="是",Q117&gt;=R117,S117&lt;=Q117,S117&gt;=R117,W117="是",X117&gt;0,M117="是",INDEX(账户总表!$M:$M,COUNTA(账户总表!$A:$A))&lt;=2,INDEX(账户总表!$V:$V,COUNTA(账户总表!$A:$A))="是",OR(T117&lt;=INDEX(账户总表!$C:$C,COUNTA(账户总表!$A:$A)),AND(Z117="是",INDEX(账户总表!$U:$U,COUNTA(账户总表!$A:$A))="是",AB117&gt;0))),"是","否"))</f>
        <v/>
      </c>
      <c r="AD117" s="75" t="str">
        <f aca="false">IF($A117="","",IF(L117&lt;&gt;"是","信号未确认",IF(X117&lt;=0,"止损价未定义",IF(Q117&lt;R117,"100股约束不满足",IF(S117&gt;Q117,"计划股数超单股上限",IF(S117&lt;R117,"计划股数低于最小门槛",IF(W117&lt;&gt;"是","总仓位超限",IF(M117&lt;&gt;"是","追价",IF(INDEX(账户总表!$M:$M,COUNTA(账户总表!$A:$A))&gt;2,"亏钱效应偏高",IF(INDEX(账户总表!$V:$V,COUNTA(账户总表!$A:$A))&lt;&gt;"是","账户不允许新开仓",IF(AND(T117&gt;INDEX(账户总表!$C:$C,COUNTA(账户总表!$A:$A)),INDEX(账户总表!$U:$U,COUNTA(账户总表!$A:$A))&lt;&gt;"是"),"现金不足且不允许转入",IF(AND(Z117="是",AB117&lt;=0),"转入金额未满足",""))))))))))))</f>
        <v/>
      </c>
      <c r="AE117" s="71"/>
      <c r="AF117" s="1" t="str">
        <f aca="false">IF($A117="","",D117*100)</f>
        <v/>
      </c>
      <c r="AG117" s="1" t="str">
        <f aca="false">IF($A117="","",IFERROR(AF117/INDEX(账户总表!$B:$B,COUNTA(账户总表!$A:$A)),0))</f>
        <v/>
      </c>
      <c r="AH117" s="1" t="str">
        <f aca="false">IF($A117="","",IFERROR(INDEX(账户总表!$B:$B,COUNTA(账户总表!$A:$A))*INDEX(账户总表!$O:$O,COUNTA(账户总表!$A:$A)),0))</f>
        <v/>
      </c>
      <c r="AI117" s="1" t="str">
        <f aca="false">IF($A117="","",IF(AF117&gt;AH117,"超限","合规"))</f>
        <v/>
      </c>
      <c r="AJ117" s="1" t="str">
        <f aca="false">IF($A117="","",IFERROR(AF117/INDEX(账户总表!$O:$O,COUNTA(账户总表!$A:$A)),0))</f>
        <v/>
      </c>
      <c r="AK117" s="1" t="str">
        <f aca="false">IF($A117="","",IFERROR(MAX(0,AJ117-INDEX(账户总表!$B:$B,COUNTA(账户总表!$A:$A)),AF117-INDEX(账户总表!$C:$C,COUNTA(账户总表!$A:$A))),0))</f>
        <v/>
      </c>
      <c r="AL117" s="1" t="str">
        <f aca="false">IF($A117="","",IF(COUNTIF(持仓表!$C$2:$C$201,C117)&gt;0,"已有","新标的"))</f>
        <v/>
      </c>
      <c r="AM117" s="1" t="str">
        <f aca="false">IF($A117="","",IFERROR(SUMIFS(持仓表!$N$2:$N$201,持仓表!$C$2:$C$201,C117,持仓表!$A$2:$A$201,$A117),0))</f>
        <v/>
      </c>
      <c r="AN117" s="1" t="str">
        <f aca="false">IF($A117="","",IFERROR(AM117+AF117/INDEX(账户总表!$B:$B,COUNTA(账户总表!$A:$A)),0))</f>
        <v/>
      </c>
      <c r="AO117" s="1" t="str">
        <f aca="false">IF($A117="","",IF(AN117&gt;INDEX(账户总表!$O:$O,COUNTA(账户总表!$A:$A)),"超限","合规"))</f>
        <v/>
      </c>
      <c r="AP117" s="1" t="str">
        <f aca="false">IF($A117="","",IF(AND(AL117="新标的",INDEX(账户总表!$R:$R,COUNTA(账户总表!$A:$A))&gt;=INDEX(账户总表!$S:$S,COUNTA(账户总表!$A:$A))),"新增受限","可通过"))</f>
        <v/>
      </c>
      <c r="AQ117" s="1" t="str">
        <f aca="false">IF($A117="","",IF(K117&lt;&gt;"核心池","非核心池",IF(OR(AI117="超限",AO117="超限",AP117="新增受限"),"不可加仓","可加仓")))</f>
        <v/>
      </c>
      <c r="AR117" s="1" t="str">
        <f aca="false">IF($A117="","",TRIM(IF(AI117="超限","1手超单股上限；","")&amp;IF(AO117="超限","买后仓位超限；","")&amp;IF(AP117="新增受限","有效持仓数超限；","")&amp;IF(AF117&gt;INDEX(账户总表!$C:$C,COUNTA(账户总表!$A:$A)),"现金不足；","")))</f>
        <v/>
      </c>
      <c r="AS117" s="1" t="str">
        <f aca="false">IF($A117="","",IFERROR(INDEX(候选池历史!$L:$L,MATCH(1,(候选池历史!$B:$B=C117)*(候选池历史!$A:$A=$A117),0)),0))</f>
        <v/>
      </c>
      <c r="AT117" s="1" t="str">
        <f aca="false">IF($A117="","",IF(AS117&gt;=3,"★信号强化",IF(K117="核心池","核心观察","")))</f>
        <v/>
      </c>
      <c r="AU117" s="1" t="str">
        <f aca="false">IF($A117="","",IF(AK117&gt;30000-INDEX(账户总表!$B:$B,COUNTA(账户总表!$A:$A)),"不适合婴儿阶段","可纳入幼儿路径"))</f>
        <v/>
      </c>
    </row>
    <row r="118" customFormat="false" ht="15" hidden="false" customHeight="true" outlineLevel="0" collapsed="false">
      <c r="A118" s="70"/>
      <c r="B118" s="71"/>
      <c r="C118" s="72"/>
      <c r="D118" s="73"/>
      <c r="E118" s="73"/>
      <c r="F118" s="73"/>
      <c r="G118" s="74"/>
      <c r="H118" s="72"/>
      <c r="I118" s="72"/>
      <c r="J118" s="71"/>
      <c r="K118" s="75" t="str">
        <f aca="false">IF($A118="","",IF(AND(G118&lt;45%,H118&gt;=0.9),"A",IF(AND(G118&lt;60%,H118&gt;0.8),"B","C")))</f>
        <v/>
      </c>
      <c r="L118" s="75" t="str">
        <f aca="false">IF($A118="","",IF(AND(G118&lt;60%,H118&gt;0.8,I118="True"),"是","否"))</f>
        <v/>
      </c>
      <c r="M118" s="75" t="str">
        <f aca="false">IF($A118="","",IF(AND(D118&gt;0,E118&gt;0,D118&lt;=E118*1.02),"是","否"))</f>
        <v/>
      </c>
      <c r="N118" s="76" t="n">
        <f aca="false">IFERROR(INDEX(账户总表!$O:$O,COUNTA(账户总表!$A:$A)),0)</f>
        <v>0.35</v>
      </c>
      <c r="O118" s="77" t="n">
        <f aca="false">IFERROR(INDEX(账户总表!$B:$B,COUNTA(账户总表!$A:$A))*N118,0)</f>
        <v>7294.812</v>
      </c>
      <c r="P118" s="78" t="n">
        <f aca="false">IFERROR(O118/D118,0)</f>
        <v>0</v>
      </c>
      <c r="Q118" s="78" t="n">
        <f aca="false">IFERROR(FLOOR(P118,100),0)</f>
        <v>0</v>
      </c>
      <c r="R118" s="78" t="n">
        <f aca="false">IFERROR(CEILING(800/(100*D118),1)*100,0)</f>
        <v>0</v>
      </c>
      <c r="S118" s="79"/>
      <c r="T118" s="77" t="n">
        <f aca="false">IFERROR(S118*D118,0)</f>
        <v>0</v>
      </c>
      <c r="U118" s="76" t="n">
        <f aca="false">IFERROR(T118/INDEX(账户总表!$B:$B,COUNTA(账户总表!$A:$A)),0)</f>
        <v>0</v>
      </c>
      <c r="V118" s="76" t="n">
        <f aca="false">IFERROR(INDEX(账户总表!$E:$E,COUNTA(账户总表!$A:$A))+U118,0)</f>
        <v>0.407056412146057</v>
      </c>
      <c r="W118" s="75" t="str">
        <f aca="false">IF($A118="","",IFERROR(IF(V118&lt;=INDEX(账户总表!$N:$N,COUNTA(账户总表!$A:$A)),"是","否"),"否"))</f>
        <v/>
      </c>
      <c r="X118" s="77" t="str">
        <f aca="false">IF($A118="","",MAX(F118*0.98,D118*0.92))</f>
        <v/>
      </c>
      <c r="Y118" s="72"/>
      <c r="Z118" s="75" t="str">
        <f aca="false">IF($A118="","",IFERROR(IF(AND(T118&gt;INDEX(账户总表!$C:$C,COUNTA(账户总表!$A:$A)),L118="是"),"是","否"),"否"))</f>
        <v/>
      </c>
      <c r="AA118" s="77" t="str">
        <f aca="false">IF($A118="","",IFERROR(IF(Z118="是",MAX(0,T118-INDEX(账户总表!$C:$C,COUNTA(账户总表!$A:$A)),IF(N118&gt;0,T118/N118-INDEX(账户总表!$B:$B,COUNTA(账户总表!$A:$A)),0)),0),0))</f>
        <v/>
      </c>
      <c r="AB118" s="77" t="str">
        <f aca="false">IF($A118="","",IF(AND(Z118="是",INDEX(账户总表!$U:$U,COUNTA(账户总表!$A:$A))="是"),IF(INDEX(账户总表!$L:$L,COUNTA(账户总表!$A:$A))&gt;=4,AA118*1.5,AA118),0))</f>
        <v/>
      </c>
      <c r="AC118" s="75" t="str">
        <f aca="false">IF($A118="","",IF(AND(L118="是",Q118&gt;=R118,S118&lt;=Q118,S118&gt;=R118,W118="是",X118&gt;0,M118="是",INDEX(账户总表!$M:$M,COUNTA(账户总表!$A:$A))&lt;=2,INDEX(账户总表!$V:$V,COUNTA(账户总表!$A:$A))="是",OR(T118&lt;=INDEX(账户总表!$C:$C,COUNTA(账户总表!$A:$A)),AND(Z118="是",INDEX(账户总表!$U:$U,COUNTA(账户总表!$A:$A))="是",AB118&gt;0))),"是","否"))</f>
        <v/>
      </c>
      <c r="AD118" s="75" t="str">
        <f aca="false">IF($A118="","",IF(L118&lt;&gt;"是","信号未确认",IF(X118&lt;=0,"止损价未定义",IF(Q118&lt;R118,"100股约束不满足",IF(S118&gt;Q118,"计划股数超单股上限",IF(S118&lt;R118,"计划股数低于最小门槛",IF(W118&lt;&gt;"是","总仓位超限",IF(M118&lt;&gt;"是","追价",IF(INDEX(账户总表!$M:$M,COUNTA(账户总表!$A:$A))&gt;2,"亏钱效应偏高",IF(INDEX(账户总表!$V:$V,COUNTA(账户总表!$A:$A))&lt;&gt;"是","账户不允许新开仓",IF(AND(T118&gt;INDEX(账户总表!$C:$C,COUNTA(账户总表!$A:$A)),INDEX(账户总表!$U:$U,COUNTA(账户总表!$A:$A))&lt;&gt;"是"),"现金不足且不允许转入",IF(AND(Z118="是",AB118&lt;=0),"转入金额未满足",""))))))))))))</f>
        <v/>
      </c>
      <c r="AE118" s="71"/>
      <c r="AF118" s="1" t="str">
        <f aca="false">IF($A118="","",D118*100)</f>
        <v/>
      </c>
      <c r="AG118" s="1" t="str">
        <f aca="false">IF($A118="","",IFERROR(AF118/INDEX(账户总表!$B:$B,COUNTA(账户总表!$A:$A)),0))</f>
        <v/>
      </c>
      <c r="AH118" s="1" t="str">
        <f aca="false">IF($A118="","",IFERROR(INDEX(账户总表!$B:$B,COUNTA(账户总表!$A:$A))*INDEX(账户总表!$O:$O,COUNTA(账户总表!$A:$A)),0))</f>
        <v/>
      </c>
      <c r="AI118" s="1" t="str">
        <f aca="false">IF($A118="","",IF(AF118&gt;AH118,"超限","合规"))</f>
        <v/>
      </c>
      <c r="AJ118" s="1" t="str">
        <f aca="false">IF($A118="","",IFERROR(AF118/INDEX(账户总表!$O:$O,COUNTA(账户总表!$A:$A)),0))</f>
        <v/>
      </c>
      <c r="AK118" s="1" t="str">
        <f aca="false">IF($A118="","",IFERROR(MAX(0,AJ118-INDEX(账户总表!$B:$B,COUNTA(账户总表!$A:$A)),AF118-INDEX(账户总表!$C:$C,COUNTA(账户总表!$A:$A))),0))</f>
        <v/>
      </c>
      <c r="AL118" s="1" t="str">
        <f aca="false">IF($A118="","",IF(COUNTIF(持仓表!$C$2:$C$201,C118)&gt;0,"已有","新标的"))</f>
        <v/>
      </c>
      <c r="AM118" s="1" t="str">
        <f aca="false">IF($A118="","",IFERROR(SUMIFS(持仓表!$N$2:$N$201,持仓表!$C$2:$C$201,C118,持仓表!$A$2:$A$201,$A118),0))</f>
        <v/>
      </c>
      <c r="AN118" s="1" t="str">
        <f aca="false">IF($A118="","",IFERROR(AM118+AF118/INDEX(账户总表!$B:$B,COUNTA(账户总表!$A:$A)),0))</f>
        <v/>
      </c>
      <c r="AO118" s="1" t="str">
        <f aca="false">IF($A118="","",IF(AN118&gt;INDEX(账户总表!$O:$O,COUNTA(账户总表!$A:$A)),"超限","合规"))</f>
        <v/>
      </c>
      <c r="AP118" s="1" t="str">
        <f aca="false">IF($A118="","",IF(AND(AL118="新标的",INDEX(账户总表!$R:$R,COUNTA(账户总表!$A:$A))&gt;=INDEX(账户总表!$S:$S,COUNTA(账户总表!$A:$A))),"新增受限","可通过"))</f>
        <v/>
      </c>
      <c r="AQ118" s="1" t="str">
        <f aca="false">IF($A118="","",IF(K118&lt;&gt;"核心池","非核心池",IF(OR(AI118="超限",AO118="超限",AP118="新增受限"),"不可加仓","可加仓")))</f>
        <v/>
      </c>
      <c r="AR118" s="1" t="str">
        <f aca="false">IF($A118="","",TRIM(IF(AI118="超限","1手超单股上限；","")&amp;IF(AO118="超限","买后仓位超限；","")&amp;IF(AP118="新增受限","有效持仓数超限；","")&amp;IF(AF118&gt;INDEX(账户总表!$C:$C,COUNTA(账户总表!$A:$A)),"现金不足；","")))</f>
        <v/>
      </c>
      <c r="AS118" s="1" t="str">
        <f aca="false">IF($A118="","",IFERROR(INDEX(候选池历史!$L:$L,MATCH(1,(候选池历史!$B:$B=C118)*(候选池历史!$A:$A=$A118),0)),0))</f>
        <v/>
      </c>
      <c r="AT118" s="1" t="str">
        <f aca="false">IF($A118="","",IF(AS118&gt;=3,"★信号强化",IF(K118="核心池","核心观察","")))</f>
        <v/>
      </c>
      <c r="AU118" s="1" t="str">
        <f aca="false">IF($A118="","",IF(AK118&gt;30000-INDEX(账户总表!$B:$B,COUNTA(账户总表!$A:$A)),"不适合婴儿阶段","可纳入幼儿路径"))</f>
        <v/>
      </c>
    </row>
    <row r="119" customFormat="false" ht="15" hidden="false" customHeight="true" outlineLevel="0" collapsed="false">
      <c r="A119" s="70"/>
      <c r="B119" s="71"/>
      <c r="C119" s="72"/>
      <c r="D119" s="73"/>
      <c r="E119" s="73"/>
      <c r="F119" s="73"/>
      <c r="G119" s="74"/>
      <c r="H119" s="72"/>
      <c r="I119" s="72"/>
      <c r="J119" s="71"/>
      <c r="K119" s="75" t="str">
        <f aca="false">IF($A119="","",IF(AND(G119&lt;45%,H119&gt;=0.9),"A",IF(AND(G119&lt;60%,H119&gt;0.8),"B","C")))</f>
        <v/>
      </c>
      <c r="L119" s="75" t="str">
        <f aca="false">IF($A119="","",IF(AND(G119&lt;60%,H119&gt;0.8,I119="True"),"是","否"))</f>
        <v/>
      </c>
      <c r="M119" s="75" t="str">
        <f aca="false">IF($A119="","",IF(AND(D119&gt;0,E119&gt;0,D119&lt;=E119*1.02),"是","否"))</f>
        <v/>
      </c>
      <c r="N119" s="76" t="n">
        <f aca="false">IFERROR(INDEX(账户总表!$O:$O,COUNTA(账户总表!$A:$A)),0)</f>
        <v>0.35</v>
      </c>
      <c r="O119" s="77" t="n">
        <f aca="false">IFERROR(INDEX(账户总表!$B:$B,COUNTA(账户总表!$A:$A))*N119,0)</f>
        <v>7294.812</v>
      </c>
      <c r="P119" s="78" t="n">
        <f aca="false">IFERROR(O119/D119,0)</f>
        <v>0</v>
      </c>
      <c r="Q119" s="78" t="n">
        <f aca="false">IFERROR(FLOOR(P119,100),0)</f>
        <v>0</v>
      </c>
      <c r="R119" s="78" t="n">
        <f aca="false">IFERROR(CEILING(800/(100*D119),1)*100,0)</f>
        <v>0</v>
      </c>
      <c r="S119" s="79"/>
      <c r="T119" s="77" t="n">
        <f aca="false">IFERROR(S119*D119,0)</f>
        <v>0</v>
      </c>
      <c r="U119" s="76" t="n">
        <f aca="false">IFERROR(T119/INDEX(账户总表!$B:$B,COUNTA(账户总表!$A:$A)),0)</f>
        <v>0</v>
      </c>
      <c r="V119" s="76" t="n">
        <f aca="false">IFERROR(INDEX(账户总表!$E:$E,COUNTA(账户总表!$A:$A))+U119,0)</f>
        <v>0.407056412146057</v>
      </c>
      <c r="W119" s="75" t="str">
        <f aca="false">IF($A119="","",IFERROR(IF(V119&lt;=INDEX(账户总表!$N:$N,COUNTA(账户总表!$A:$A)),"是","否"),"否"))</f>
        <v/>
      </c>
      <c r="X119" s="77" t="str">
        <f aca="false">IF($A119="","",MAX(F119*0.98,D119*0.92))</f>
        <v/>
      </c>
      <c r="Y119" s="72"/>
      <c r="Z119" s="75" t="str">
        <f aca="false">IF($A119="","",IFERROR(IF(AND(T119&gt;INDEX(账户总表!$C:$C,COUNTA(账户总表!$A:$A)),L119="是"),"是","否"),"否"))</f>
        <v/>
      </c>
      <c r="AA119" s="77" t="str">
        <f aca="false">IF($A119="","",IFERROR(IF(Z119="是",MAX(0,T119-INDEX(账户总表!$C:$C,COUNTA(账户总表!$A:$A)),IF(N119&gt;0,T119/N119-INDEX(账户总表!$B:$B,COUNTA(账户总表!$A:$A)),0)),0),0))</f>
        <v/>
      </c>
      <c r="AB119" s="77" t="str">
        <f aca="false">IF($A119="","",IF(AND(Z119="是",INDEX(账户总表!$U:$U,COUNTA(账户总表!$A:$A))="是"),IF(INDEX(账户总表!$L:$L,COUNTA(账户总表!$A:$A))&gt;=4,AA119*1.5,AA119),0))</f>
        <v/>
      </c>
      <c r="AC119" s="75" t="str">
        <f aca="false">IF($A119="","",IF(AND(L119="是",Q119&gt;=R119,S119&lt;=Q119,S119&gt;=R119,W119="是",X119&gt;0,M119="是",INDEX(账户总表!$M:$M,COUNTA(账户总表!$A:$A))&lt;=2,INDEX(账户总表!$V:$V,COUNTA(账户总表!$A:$A))="是",OR(T119&lt;=INDEX(账户总表!$C:$C,COUNTA(账户总表!$A:$A)),AND(Z119="是",INDEX(账户总表!$U:$U,COUNTA(账户总表!$A:$A))="是",AB119&gt;0))),"是","否"))</f>
        <v/>
      </c>
      <c r="AD119" s="75" t="str">
        <f aca="false">IF($A119="","",IF(L119&lt;&gt;"是","信号未确认",IF(X119&lt;=0,"止损价未定义",IF(Q119&lt;R119,"100股约束不满足",IF(S119&gt;Q119,"计划股数超单股上限",IF(S119&lt;R119,"计划股数低于最小门槛",IF(W119&lt;&gt;"是","总仓位超限",IF(M119&lt;&gt;"是","追价",IF(INDEX(账户总表!$M:$M,COUNTA(账户总表!$A:$A))&gt;2,"亏钱效应偏高",IF(INDEX(账户总表!$V:$V,COUNTA(账户总表!$A:$A))&lt;&gt;"是","账户不允许新开仓",IF(AND(T119&gt;INDEX(账户总表!$C:$C,COUNTA(账户总表!$A:$A)),INDEX(账户总表!$U:$U,COUNTA(账户总表!$A:$A))&lt;&gt;"是"),"现金不足且不允许转入",IF(AND(Z119="是",AB119&lt;=0),"转入金额未满足",""))))))))))))</f>
        <v/>
      </c>
      <c r="AE119" s="71"/>
      <c r="AF119" s="1" t="str">
        <f aca="false">IF($A119="","",D119*100)</f>
        <v/>
      </c>
      <c r="AG119" s="1" t="str">
        <f aca="false">IF($A119="","",IFERROR(AF119/INDEX(账户总表!$B:$B,COUNTA(账户总表!$A:$A)),0))</f>
        <v/>
      </c>
      <c r="AH119" s="1" t="str">
        <f aca="false">IF($A119="","",IFERROR(INDEX(账户总表!$B:$B,COUNTA(账户总表!$A:$A))*INDEX(账户总表!$O:$O,COUNTA(账户总表!$A:$A)),0))</f>
        <v/>
      </c>
      <c r="AI119" s="1" t="str">
        <f aca="false">IF($A119="","",IF(AF119&gt;AH119,"超限","合规"))</f>
        <v/>
      </c>
      <c r="AJ119" s="1" t="str">
        <f aca="false">IF($A119="","",IFERROR(AF119/INDEX(账户总表!$O:$O,COUNTA(账户总表!$A:$A)),0))</f>
        <v/>
      </c>
      <c r="AK119" s="1" t="str">
        <f aca="false">IF($A119="","",IFERROR(MAX(0,AJ119-INDEX(账户总表!$B:$B,COUNTA(账户总表!$A:$A)),AF119-INDEX(账户总表!$C:$C,COUNTA(账户总表!$A:$A))),0))</f>
        <v/>
      </c>
      <c r="AL119" s="1" t="str">
        <f aca="false">IF($A119="","",IF(COUNTIF(持仓表!$C$2:$C$201,C119)&gt;0,"已有","新标的"))</f>
        <v/>
      </c>
      <c r="AM119" s="1" t="str">
        <f aca="false">IF($A119="","",IFERROR(SUMIFS(持仓表!$N$2:$N$201,持仓表!$C$2:$C$201,C119,持仓表!$A$2:$A$201,$A119),0))</f>
        <v/>
      </c>
      <c r="AN119" s="1" t="str">
        <f aca="false">IF($A119="","",IFERROR(AM119+AF119/INDEX(账户总表!$B:$B,COUNTA(账户总表!$A:$A)),0))</f>
        <v/>
      </c>
      <c r="AO119" s="1" t="str">
        <f aca="false">IF($A119="","",IF(AN119&gt;INDEX(账户总表!$O:$O,COUNTA(账户总表!$A:$A)),"超限","合规"))</f>
        <v/>
      </c>
      <c r="AP119" s="1" t="str">
        <f aca="false">IF($A119="","",IF(AND(AL119="新标的",INDEX(账户总表!$R:$R,COUNTA(账户总表!$A:$A))&gt;=INDEX(账户总表!$S:$S,COUNTA(账户总表!$A:$A))),"新增受限","可通过"))</f>
        <v/>
      </c>
      <c r="AQ119" s="1" t="str">
        <f aca="false">IF($A119="","",IF(K119&lt;&gt;"核心池","非核心池",IF(OR(AI119="超限",AO119="超限",AP119="新增受限"),"不可加仓","可加仓")))</f>
        <v/>
      </c>
      <c r="AR119" s="1" t="str">
        <f aca="false">IF($A119="","",TRIM(IF(AI119="超限","1手超单股上限；","")&amp;IF(AO119="超限","买后仓位超限；","")&amp;IF(AP119="新增受限","有效持仓数超限；","")&amp;IF(AF119&gt;INDEX(账户总表!$C:$C,COUNTA(账户总表!$A:$A)),"现金不足；","")))</f>
        <v/>
      </c>
      <c r="AS119" s="1" t="str">
        <f aca="false">IF($A119="","",IFERROR(INDEX(候选池历史!$L:$L,MATCH(1,(候选池历史!$B:$B=C119)*(候选池历史!$A:$A=$A119),0)),0))</f>
        <v/>
      </c>
      <c r="AT119" s="1" t="str">
        <f aca="false">IF($A119="","",IF(AS119&gt;=3,"★信号强化",IF(K119="核心池","核心观察","")))</f>
        <v/>
      </c>
      <c r="AU119" s="1" t="str">
        <f aca="false">IF($A119="","",IF(AK119&gt;30000-INDEX(账户总表!$B:$B,COUNTA(账户总表!$A:$A)),"不适合婴儿阶段","可纳入幼儿路径"))</f>
        <v/>
      </c>
    </row>
    <row r="120" customFormat="false" ht="15" hidden="false" customHeight="true" outlineLevel="0" collapsed="false">
      <c r="A120" s="70"/>
      <c r="B120" s="71"/>
      <c r="C120" s="72"/>
      <c r="D120" s="73"/>
      <c r="E120" s="73"/>
      <c r="F120" s="73"/>
      <c r="G120" s="74"/>
      <c r="H120" s="72"/>
      <c r="I120" s="72"/>
      <c r="J120" s="71"/>
      <c r="K120" s="75" t="str">
        <f aca="false">IF($A120="","",IF(AND(G120&lt;45%,H120&gt;=0.9),"A",IF(AND(G120&lt;60%,H120&gt;0.8),"B","C")))</f>
        <v/>
      </c>
      <c r="L120" s="75" t="str">
        <f aca="false">IF($A120="","",IF(AND(G120&lt;60%,H120&gt;0.8,I120="True"),"是","否"))</f>
        <v/>
      </c>
      <c r="M120" s="75" t="str">
        <f aca="false">IF($A120="","",IF(AND(D120&gt;0,E120&gt;0,D120&lt;=E120*1.02),"是","否"))</f>
        <v/>
      </c>
      <c r="N120" s="76" t="n">
        <f aca="false">IFERROR(INDEX(账户总表!$O:$O,COUNTA(账户总表!$A:$A)),0)</f>
        <v>0.35</v>
      </c>
      <c r="O120" s="77" t="n">
        <f aca="false">IFERROR(INDEX(账户总表!$B:$B,COUNTA(账户总表!$A:$A))*N120,0)</f>
        <v>7294.812</v>
      </c>
      <c r="P120" s="78" t="n">
        <f aca="false">IFERROR(O120/D120,0)</f>
        <v>0</v>
      </c>
      <c r="Q120" s="78" t="n">
        <f aca="false">IFERROR(FLOOR(P120,100),0)</f>
        <v>0</v>
      </c>
      <c r="R120" s="78" t="n">
        <f aca="false">IFERROR(CEILING(800/(100*D120),1)*100,0)</f>
        <v>0</v>
      </c>
      <c r="S120" s="79"/>
      <c r="T120" s="77" t="n">
        <f aca="false">IFERROR(S120*D120,0)</f>
        <v>0</v>
      </c>
      <c r="U120" s="76" t="n">
        <f aca="false">IFERROR(T120/INDEX(账户总表!$B:$B,COUNTA(账户总表!$A:$A)),0)</f>
        <v>0</v>
      </c>
      <c r="V120" s="76" t="n">
        <f aca="false">IFERROR(INDEX(账户总表!$E:$E,COUNTA(账户总表!$A:$A))+U120,0)</f>
        <v>0.407056412146057</v>
      </c>
      <c r="W120" s="75" t="str">
        <f aca="false">IF($A120="","",IFERROR(IF(V120&lt;=INDEX(账户总表!$N:$N,COUNTA(账户总表!$A:$A)),"是","否"),"否"))</f>
        <v/>
      </c>
      <c r="X120" s="77" t="str">
        <f aca="false">IF($A120="","",MAX(F120*0.98,D120*0.92))</f>
        <v/>
      </c>
      <c r="Y120" s="72"/>
      <c r="Z120" s="75" t="str">
        <f aca="false">IF($A120="","",IFERROR(IF(AND(T120&gt;INDEX(账户总表!$C:$C,COUNTA(账户总表!$A:$A)),L120="是"),"是","否"),"否"))</f>
        <v/>
      </c>
      <c r="AA120" s="77" t="str">
        <f aca="false">IF($A120="","",IFERROR(IF(Z120="是",MAX(0,T120-INDEX(账户总表!$C:$C,COUNTA(账户总表!$A:$A)),IF(N120&gt;0,T120/N120-INDEX(账户总表!$B:$B,COUNTA(账户总表!$A:$A)),0)),0),0))</f>
        <v/>
      </c>
      <c r="AB120" s="77" t="str">
        <f aca="false">IF($A120="","",IF(AND(Z120="是",INDEX(账户总表!$U:$U,COUNTA(账户总表!$A:$A))="是"),IF(INDEX(账户总表!$L:$L,COUNTA(账户总表!$A:$A))&gt;=4,AA120*1.5,AA120),0))</f>
        <v/>
      </c>
      <c r="AC120" s="75" t="str">
        <f aca="false">IF($A120="","",IF(AND(L120="是",Q120&gt;=R120,S120&lt;=Q120,S120&gt;=R120,W120="是",X120&gt;0,M120="是",INDEX(账户总表!$M:$M,COUNTA(账户总表!$A:$A))&lt;=2,INDEX(账户总表!$V:$V,COUNTA(账户总表!$A:$A))="是",OR(T120&lt;=INDEX(账户总表!$C:$C,COUNTA(账户总表!$A:$A)),AND(Z120="是",INDEX(账户总表!$U:$U,COUNTA(账户总表!$A:$A))="是",AB120&gt;0))),"是","否"))</f>
        <v/>
      </c>
      <c r="AD120" s="75" t="str">
        <f aca="false">IF($A120="","",IF(L120&lt;&gt;"是","信号未确认",IF(X120&lt;=0,"止损价未定义",IF(Q120&lt;R120,"100股约束不满足",IF(S120&gt;Q120,"计划股数超单股上限",IF(S120&lt;R120,"计划股数低于最小门槛",IF(W120&lt;&gt;"是","总仓位超限",IF(M120&lt;&gt;"是","追价",IF(INDEX(账户总表!$M:$M,COUNTA(账户总表!$A:$A))&gt;2,"亏钱效应偏高",IF(INDEX(账户总表!$V:$V,COUNTA(账户总表!$A:$A))&lt;&gt;"是","账户不允许新开仓",IF(AND(T120&gt;INDEX(账户总表!$C:$C,COUNTA(账户总表!$A:$A)),INDEX(账户总表!$U:$U,COUNTA(账户总表!$A:$A))&lt;&gt;"是"),"现金不足且不允许转入",IF(AND(Z120="是",AB120&lt;=0),"转入金额未满足",""))))))))))))</f>
        <v/>
      </c>
      <c r="AE120" s="71"/>
      <c r="AF120" s="1" t="str">
        <f aca="false">IF($A120="","",D120*100)</f>
        <v/>
      </c>
      <c r="AG120" s="1" t="str">
        <f aca="false">IF($A120="","",IFERROR(AF120/INDEX(账户总表!$B:$B,COUNTA(账户总表!$A:$A)),0))</f>
        <v/>
      </c>
      <c r="AH120" s="1" t="str">
        <f aca="false">IF($A120="","",IFERROR(INDEX(账户总表!$B:$B,COUNTA(账户总表!$A:$A))*INDEX(账户总表!$O:$O,COUNTA(账户总表!$A:$A)),0))</f>
        <v/>
      </c>
      <c r="AI120" s="1" t="str">
        <f aca="false">IF($A120="","",IF(AF120&gt;AH120,"超限","合规"))</f>
        <v/>
      </c>
      <c r="AJ120" s="1" t="str">
        <f aca="false">IF($A120="","",IFERROR(AF120/INDEX(账户总表!$O:$O,COUNTA(账户总表!$A:$A)),0))</f>
        <v/>
      </c>
      <c r="AK120" s="1" t="str">
        <f aca="false">IF($A120="","",IFERROR(MAX(0,AJ120-INDEX(账户总表!$B:$B,COUNTA(账户总表!$A:$A)),AF120-INDEX(账户总表!$C:$C,COUNTA(账户总表!$A:$A))),0))</f>
        <v/>
      </c>
      <c r="AL120" s="1" t="str">
        <f aca="false">IF($A120="","",IF(COUNTIF(持仓表!$C$2:$C$201,C120)&gt;0,"已有","新标的"))</f>
        <v/>
      </c>
      <c r="AM120" s="1" t="str">
        <f aca="false">IF($A120="","",IFERROR(SUMIFS(持仓表!$N$2:$N$201,持仓表!$C$2:$C$201,C120,持仓表!$A$2:$A$201,$A120),0))</f>
        <v/>
      </c>
      <c r="AN120" s="1" t="str">
        <f aca="false">IF($A120="","",IFERROR(AM120+AF120/INDEX(账户总表!$B:$B,COUNTA(账户总表!$A:$A)),0))</f>
        <v/>
      </c>
      <c r="AO120" s="1" t="str">
        <f aca="false">IF($A120="","",IF(AN120&gt;INDEX(账户总表!$O:$O,COUNTA(账户总表!$A:$A)),"超限","合规"))</f>
        <v/>
      </c>
      <c r="AP120" s="1" t="str">
        <f aca="false">IF($A120="","",IF(AND(AL120="新标的",INDEX(账户总表!$R:$R,COUNTA(账户总表!$A:$A))&gt;=INDEX(账户总表!$S:$S,COUNTA(账户总表!$A:$A))),"新增受限","可通过"))</f>
        <v/>
      </c>
      <c r="AQ120" s="1" t="str">
        <f aca="false">IF($A120="","",IF(K120&lt;&gt;"核心池","非核心池",IF(OR(AI120="超限",AO120="超限",AP120="新增受限"),"不可加仓","可加仓")))</f>
        <v/>
      </c>
      <c r="AR120" s="1" t="str">
        <f aca="false">IF($A120="","",TRIM(IF(AI120="超限","1手超单股上限；","")&amp;IF(AO120="超限","买后仓位超限；","")&amp;IF(AP120="新增受限","有效持仓数超限；","")&amp;IF(AF120&gt;INDEX(账户总表!$C:$C,COUNTA(账户总表!$A:$A)),"现金不足；","")))</f>
        <v/>
      </c>
      <c r="AS120" s="1" t="str">
        <f aca="false">IF($A120="","",IFERROR(INDEX(候选池历史!$L:$L,MATCH(1,(候选池历史!$B:$B=C120)*(候选池历史!$A:$A=$A120),0)),0))</f>
        <v/>
      </c>
      <c r="AT120" s="1" t="str">
        <f aca="false">IF($A120="","",IF(AS120&gt;=3,"★信号强化",IF(K120="核心池","核心观察","")))</f>
        <v/>
      </c>
      <c r="AU120" s="1" t="str">
        <f aca="false">IF($A120="","",IF(AK120&gt;30000-INDEX(账户总表!$B:$B,COUNTA(账户总表!$A:$A)),"不适合婴儿阶段","可纳入幼儿路径"))</f>
        <v/>
      </c>
    </row>
    <row r="121" customFormat="false" ht="15" hidden="false" customHeight="true" outlineLevel="0" collapsed="false">
      <c r="A121" s="70"/>
      <c r="B121" s="71"/>
      <c r="C121" s="72"/>
      <c r="D121" s="73"/>
      <c r="E121" s="73"/>
      <c r="F121" s="73"/>
      <c r="G121" s="74"/>
      <c r="H121" s="72"/>
      <c r="I121" s="72"/>
      <c r="J121" s="71"/>
      <c r="K121" s="75" t="str">
        <f aca="false">IF($A121="","",IF(AND(G121&lt;45%,H121&gt;=0.9),"A",IF(AND(G121&lt;60%,H121&gt;0.8),"B","C")))</f>
        <v/>
      </c>
      <c r="L121" s="75" t="str">
        <f aca="false">IF($A121="","",IF(AND(G121&lt;60%,H121&gt;0.8,I121="True"),"是","否"))</f>
        <v/>
      </c>
      <c r="M121" s="75" t="str">
        <f aca="false">IF($A121="","",IF(AND(D121&gt;0,E121&gt;0,D121&lt;=E121*1.02),"是","否"))</f>
        <v/>
      </c>
      <c r="N121" s="76" t="n">
        <f aca="false">IFERROR(INDEX(账户总表!$O:$O,COUNTA(账户总表!$A:$A)),0)</f>
        <v>0.35</v>
      </c>
      <c r="O121" s="77" t="n">
        <f aca="false">IFERROR(INDEX(账户总表!$B:$B,COUNTA(账户总表!$A:$A))*N121,0)</f>
        <v>7294.812</v>
      </c>
      <c r="P121" s="78" t="n">
        <f aca="false">IFERROR(O121/D121,0)</f>
        <v>0</v>
      </c>
      <c r="Q121" s="78" t="n">
        <f aca="false">IFERROR(FLOOR(P121,100),0)</f>
        <v>0</v>
      </c>
      <c r="R121" s="78" t="n">
        <f aca="false">IFERROR(CEILING(800/(100*D121),1)*100,0)</f>
        <v>0</v>
      </c>
      <c r="S121" s="79"/>
      <c r="T121" s="77" t="n">
        <f aca="false">IFERROR(S121*D121,0)</f>
        <v>0</v>
      </c>
      <c r="U121" s="76" t="n">
        <f aca="false">IFERROR(T121/INDEX(账户总表!$B:$B,COUNTA(账户总表!$A:$A)),0)</f>
        <v>0</v>
      </c>
      <c r="V121" s="76" t="n">
        <f aca="false">IFERROR(INDEX(账户总表!$E:$E,COUNTA(账户总表!$A:$A))+U121,0)</f>
        <v>0.407056412146057</v>
      </c>
      <c r="W121" s="75" t="str">
        <f aca="false">IF($A121="","",IFERROR(IF(V121&lt;=INDEX(账户总表!$N:$N,COUNTA(账户总表!$A:$A)),"是","否"),"否"))</f>
        <v/>
      </c>
      <c r="X121" s="77" t="str">
        <f aca="false">IF($A121="","",MAX(F121*0.98,D121*0.92))</f>
        <v/>
      </c>
      <c r="Y121" s="72"/>
      <c r="Z121" s="75" t="str">
        <f aca="false">IF($A121="","",IFERROR(IF(AND(T121&gt;INDEX(账户总表!$C:$C,COUNTA(账户总表!$A:$A)),L121="是"),"是","否"),"否"))</f>
        <v/>
      </c>
      <c r="AA121" s="77" t="str">
        <f aca="false">IF($A121="","",IFERROR(IF(Z121="是",MAX(0,T121-INDEX(账户总表!$C:$C,COUNTA(账户总表!$A:$A)),IF(N121&gt;0,T121/N121-INDEX(账户总表!$B:$B,COUNTA(账户总表!$A:$A)),0)),0),0))</f>
        <v/>
      </c>
      <c r="AB121" s="77" t="str">
        <f aca="false">IF($A121="","",IF(AND(Z121="是",INDEX(账户总表!$U:$U,COUNTA(账户总表!$A:$A))="是"),IF(INDEX(账户总表!$L:$L,COUNTA(账户总表!$A:$A))&gt;=4,AA121*1.5,AA121),0))</f>
        <v/>
      </c>
      <c r="AC121" s="75" t="str">
        <f aca="false">IF($A121="","",IF(AND(L121="是",Q121&gt;=R121,S121&lt;=Q121,S121&gt;=R121,W121="是",X121&gt;0,M121="是",INDEX(账户总表!$M:$M,COUNTA(账户总表!$A:$A))&lt;=2,INDEX(账户总表!$V:$V,COUNTA(账户总表!$A:$A))="是",OR(T121&lt;=INDEX(账户总表!$C:$C,COUNTA(账户总表!$A:$A)),AND(Z121="是",INDEX(账户总表!$U:$U,COUNTA(账户总表!$A:$A))="是",AB121&gt;0))),"是","否"))</f>
        <v/>
      </c>
      <c r="AD121" s="75" t="str">
        <f aca="false">IF($A121="","",IF(L121&lt;&gt;"是","信号未确认",IF(X121&lt;=0,"止损价未定义",IF(Q121&lt;R121,"100股约束不满足",IF(S121&gt;Q121,"计划股数超单股上限",IF(S121&lt;R121,"计划股数低于最小门槛",IF(W121&lt;&gt;"是","总仓位超限",IF(M121&lt;&gt;"是","追价",IF(INDEX(账户总表!$M:$M,COUNTA(账户总表!$A:$A))&gt;2,"亏钱效应偏高",IF(INDEX(账户总表!$V:$V,COUNTA(账户总表!$A:$A))&lt;&gt;"是","账户不允许新开仓",IF(AND(T121&gt;INDEX(账户总表!$C:$C,COUNTA(账户总表!$A:$A)),INDEX(账户总表!$U:$U,COUNTA(账户总表!$A:$A))&lt;&gt;"是"),"现金不足且不允许转入",IF(AND(Z121="是",AB121&lt;=0),"转入金额未满足",""))))))))))))</f>
        <v/>
      </c>
      <c r="AE121" s="71"/>
      <c r="AF121" s="1" t="str">
        <f aca="false">IF($A121="","",D121*100)</f>
        <v/>
      </c>
      <c r="AG121" s="1" t="str">
        <f aca="false">IF($A121="","",IFERROR(AF121/INDEX(账户总表!$B:$B,COUNTA(账户总表!$A:$A)),0))</f>
        <v/>
      </c>
      <c r="AH121" s="1" t="str">
        <f aca="false">IF($A121="","",IFERROR(INDEX(账户总表!$B:$B,COUNTA(账户总表!$A:$A))*INDEX(账户总表!$O:$O,COUNTA(账户总表!$A:$A)),0))</f>
        <v/>
      </c>
      <c r="AI121" s="1" t="str">
        <f aca="false">IF($A121="","",IF(AF121&gt;AH121,"超限","合规"))</f>
        <v/>
      </c>
      <c r="AJ121" s="1" t="str">
        <f aca="false">IF($A121="","",IFERROR(AF121/INDEX(账户总表!$O:$O,COUNTA(账户总表!$A:$A)),0))</f>
        <v/>
      </c>
      <c r="AK121" s="1" t="str">
        <f aca="false">IF($A121="","",IFERROR(MAX(0,AJ121-INDEX(账户总表!$B:$B,COUNTA(账户总表!$A:$A)),AF121-INDEX(账户总表!$C:$C,COUNTA(账户总表!$A:$A))),0))</f>
        <v/>
      </c>
      <c r="AL121" s="1" t="str">
        <f aca="false">IF($A121="","",IF(COUNTIF(持仓表!$C$2:$C$201,C121)&gt;0,"已有","新标的"))</f>
        <v/>
      </c>
      <c r="AM121" s="1" t="str">
        <f aca="false">IF($A121="","",IFERROR(SUMIFS(持仓表!$N$2:$N$201,持仓表!$C$2:$C$201,C121,持仓表!$A$2:$A$201,$A121),0))</f>
        <v/>
      </c>
      <c r="AN121" s="1" t="str">
        <f aca="false">IF($A121="","",IFERROR(AM121+AF121/INDEX(账户总表!$B:$B,COUNTA(账户总表!$A:$A)),0))</f>
        <v/>
      </c>
      <c r="AO121" s="1" t="str">
        <f aca="false">IF($A121="","",IF(AN121&gt;INDEX(账户总表!$O:$O,COUNTA(账户总表!$A:$A)),"超限","合规"))</f>
        <v/>
      </c>
      <c r="AP121" s="1" t="str">
        <f aca="false">IF($A121="","",IF(AND(AL121="新标的",INDEX(账户总表!$R:$R,COUNTA(账户总表!$A:$A))&gt;=INDEX(账户总表!$S:$S,COUNTA(账户总表!$A:$A))),"新增受限","可通过"))</f>
        <v/>
      </c>
      <c r="AQ121" s="1" t="str">
        <f aca="false">IF($A121="","",IF(K121&lt;&gt;"核心池","非核心池",IF(OR(AI121="超限",AO121="超限",AP121="新增受限"),"不可加仓","可加仓")))</f>
        <v/>
      </c>
      <c r="AR121" s="1" t="str">
        <f aca="false">IF($A121="","",TRIM(IF(AI121="超限","1手超单股上限；","")&amp;IF(AO121="超限","买后仓位超限；","")&amp;IF(AP121="新增受限","有效持仓数超限；","")&amp;IF(AF121&gt;INDEX(账户总表!$C:$C,COUNTA(账户总表!$A:$A)),"现金不足；","")))</f>
        <v/>
      </c>
      <c r="AS121" s="1" t="str">
        <f aca="false">IF($A121="","",IFERROR(INDEX(候选池历史!$L:$L,MATCH(1,(候选池历史!$B:$B=C121)*(候选池历史!$A:$A=$A121),0)),0))</f>
        <v/>
      </c>
      <c r="AT121" s="1" t="str">
        <f aca="false">IF($A121="","",IF(AS121&gt;=3,"★信号强化",IF(K121="核心池","核心观察","")))</f>
        <v/>
      </c>
      <c r="AU121" s="1" t="str">
        <f aca="false">IF($A121="","",IF(AK121&gt;30000-INDEX(账户总表!$B:$B,COUNTA(账户总表!$A:$A)),"不适合婴儿阶段","可纳入幼儿路径"))</f>
        <v/>
      </c>
    </row>
    <row r="122" customFormat="false" ht="15" hidden="false" customHeight="true" outlineLevel="0" collapsed="false">
      <c r="A122" s="70"/>
      <c r="B122" s="71"/>
      <c r="C122" s="72"/>
      <c r="D122" s="73"/>
      <c r="E122" s="73"/>
      <c r="F122" s="73"/>
      <c r="G122" s="74"/>
      <c r="H122" s="72"/>
      <c r="I122" s="72"/>
      <c r="J122" s="71"/>
      <c r="K122" s="75" t="str">
        <f aca="false">IF($A122="","",IF(AND(G122&lt;45%,H122&gt;=0.9),"A",IF(AND(G122&lt;60%,H122&gt;0.8),"B","C")))</f>
        <v/>
      </c>
      <c r="L122" s="75" t="str">
        <f aca="false">IF($A122="","",IF(AND(G122&lt;60%,H122&gt;0.8,I122="True"),"是","否"))</f>
        <v/>
      </c>
      <c r="M122" s="75" t="str">
        <f aca="false">IF($A122="","",IF(AND(D122&gt;0,E122&gt;0,D122&lt;=E122*1.02),"是","否"))</f>
        <v/>
      </c>
      <c r="N122" s="76" t="n">
        <f aca="false">IFERROR(INDEX(账户总表!$O:$O,COUNTA(账户总表!$A:$A)),0)</f>
        <v>0.35</v>
      </c>
      <c r="O122" s="77" t="n">
        <f aca="false">IFERROR(INDEX(账户总表!$B:$B,COUNTA(账户总表!$A:$A))*N122,0)</f>
        <v>7294.812</v>
      </c>
      <c r="P122" s="78" t="n">
        <f aca="false">IFERROR(O122/D122,0)</f>
        <v>0</v>
      </c>
      <c r="Q122" s="78" t="n">
        <f aca="false">IFERROR(FLOOR(P122,100),0)</f>
        <v>0</v>
      </c>
      <c r="R122" s="78" t="n">
        <f aca="false">IFERROR(CEILING(800/(100*D122),1)*100,0)</f>
        <v>0</v>
      </c>
      <c r="S122" s="79"/>
      <c r="T122" s="77" t="n">
        <f aca="false">IFERROR(S122*D122,0)</f>
        <v>0</v>
      </c>
      <c r="U122" s="76" t="n">
        <f aca="false">IFERROR(T122/INDEX(账户总表!$B:$B,COUNTA(账户总表!$A:$A)),0)</f>
        <v>0</v>
      </c>
      <c r="V122" s="76" t="n">
        <f aca="false">IFERROR(INDEX(账户总表!$E:$E,COUNTA(账户总表!$A:$A))+U122,0)</f>
        <v>0.407056412146057</v>
      </c>
      <c r="W122" s="75" t="str">
        <f aca="false">IF($A122="","",IFERROR(IF(V122&lt;=INDEX(账户总表!$N:$N,COUNTA(账户总表!$A:$A)),"是","否"),"否"))</f>
        <v/>
      </c>
      <c r="X122" s="77" t="str">
        <f aca="false">IF($A122="","",MAX(F122*0.98,D122*0.92))</f>
        <v/>
      </c>
      <c r="Y122" s="72"/>
      <c r="Z122" s="75" t="str">
        <f aca="false">IF($A122="","",IFERROR(IF(AND(T122&gt;INDEX(账户总表!$C:$C,COUNTA(账户总表!$A:$A)),L122="是"),"是","否"),"否"))</f>
        <v/>
      </c>
      <c r="AA122" s="77" t="str">
        <f aca="false">IF($A122="","",IFERROR(IF(Z122="是",MAX(0,T122-INDEX(账户总表!$C:$C,COUNTA(账户总表!$A:$A)),IF(N122&gt;0,T122/N122-INDEX(账户总表!$B:$B,COUNTA(账户总表!$A:$A)),0)),0),0))</f>
        <v/>
      </c>
      <c r="AB122" s="77" t="str">
        <f aca="false">IF($A122="","",IF(AND(Z122="是",INDEX(账户总表!$U:$U,COUNTA(账户总表!$A:$A))="是"),IF(INDEX(账户总表!$L:$L,COUNTA(账户总表!$A:$A))&gt;=4,AA122*1.5,AA122),0))</f>
        <v/>
      </c>
      <c r="AC122" s="75" t="str">
        <f aca="false">IF($A122="","",IF(AND(L122="是",Q122&gt;=R122,S122&lt;=Q122,S122&gt;=R122,W122="是",X122&gt;0,M122="是",INDEX(账户总表!$M:$M,COUNTA(账户总表!$A:$A))&lt;=2,INDEX(账户总表!$V:$V,COUNTA(账户总表!$A:$A))="是",OR(T122&lt;=INDEX(账户总表!$C:$C,COUNTA(账户总表!$A:$A)),AND(Z122="是",INDEX(账户总表!$U:$U,COUNTA(账户总表!$A:$A))="是",AB122&gt;0))),"是","否"))</f>
        <v/>
      </c>
      <c r="AD122" s="75" t="str">
        <f aca="false">IF($A122="","",IF(L122&lt;&gt;"是","信号未确认",IF(X122&lt;=0,"止损价未定义",IF(Q122&lt;R122,"100股约束不满足",IF(S122&gt;Q122,"计划股数超单股上限",IF(S122&lt;R122,"计划股数低于最小门槛",IF(W122&lt;&gt;"是","总仓位超限",IF(M122&lt;&gt;"是","追价",IF(INDEX(账户总表!$M:$M,COUNTA(账户总表!$A:$A))&gt;2,"亏钱效应偏高",IF(INDEX(账户总表!$V:$V,COUNTA(账户总表!$A:$A))&lt;&gt;"是","账户不允许新开仓",IF(AND(T122&gt;INDEX(账户总表!$C:$C,COUNTA(账户总表!$A:$A)),INDEX(账户总表!$U:$U,COUNTA(账户总表!$A:$A))&lt;&gt;"是"),"现金不足且不允许转入",IF(AND(Z122="是",AB122&lt;=0),"转入金额未满足",""))))))))))))</f>
        <v/>
      </c>
      <c r="AE122" s="71"/>
      <c r="AF122" s="1" t="str">
        <f aca="false">IF($A122="","",D122*100)</f>
        <v/>
      </c>
      <c r="AG122" s="1" t="str">
        <f aca="false">IF($A122="","",IFERROR(AF122/INDEX(账户总表!$B:$B,COUNTA(账户总表!$A:$A)),0))</f>
        <v/>
      </c>
      <c r="AH122" s="1" t="str">
        <f aca="false">IF($A122="","",IFERROR(INDEX(账户总表!$B:$B,COUNTA(账户总表!$A:$A))*INDEX(账户总表!$O:$O,COUNTA(账户总表!$A:$A)),0))</f>
        <v/>
      </c>
      <c r="AI122" s="1" t="str">
        <f aca="false">IF($A122="","",IF(AF122&gt;AH122,"超限","合规"))</f>
        <v/>
      </c>
      <c r="AJ122" s="1" t="str">
        <f aca="false">IF($A122="","",IFERROR(AF122/INDEX(账户总表!$O:$O,COUNTA(账户总表!$A:$A)),0))</f>
        <v/>
      </c>
      <c r="AK122" s="1" t="str">
        <f aca="false">IF($A122="","",IFERROR(MAX(0,AJ122-INDEX(账户总表!$B:$B,COUNTA(账户总表!$A:$A)),AF122-INDEX(账户总表!$C:$C,COUNTA(账户总表!$A:$A))),0))</f>
        <v/>
      </c>
      <c r="AL122" s="1" t="str">
        <f aca="false">IF($A122="","",IF(COUNTIF(持仓表!$C$2:$C$201,C122)&gt;0,"已有","新标的"))</f>
        <v/>
      </c>
      <c r="AM122" s="1" t="str">
        <f aca="false">IF($A122="","",IFERROR(SUMIFS(持仓表!$N$2:$N$201,持仓表!$C$2:$C$201,C122,持仓表!$A$2:$A$201,$A122),0))</f>
        <v/>
      </c>
      <c r="AN122" s="1" t="str">
        <f aca="false">IF($A122="","",IFERROR(AM122+AF122/INDEX(账户总表!$B:$B,COUNTA(账户总表!$A:$A)),0))</f>
        <v/>
      </c>
      <c r="AO122" s="1" t="str">
        <f aca="false">IF($A122="","",IF(AN122&gt;INDEX(账户总表!$O:$O,COUNTA(账户总表!$A:$A)),"超限","合规"))</f>
        <v/>
      </c>
      <c r="AP122" s="1" t="str">
        <f aca="false">IF($A122="","",IF(AND(AL122="新标的",INDEX(账户总表!$R:$R,COUNTA(账户总表!$A:$A))&gt;=INDEX(账户总表!$S:$S,COUNTA(账户总表!$A:$A))),"新增受限","可通过"))</f>
        <v/>
      </c>
      <c r="AQ122" s="1" t="str">
        <f aca="false">IF($A122="","",IF(K122&lt;&gt;"核心池","非核心池",IF(OR(AI122="超限",AO122="超限",AP122="新增受限"),"不可加仓","可加仓")))</f>
        <v/>
      </c>
      <c r="AR122" s="1" t="str">
        <f aca="false">IF($A122="","",TRIM(IF(AI122="超限","1手超单股上限；","")&amp;IF(AO122="超限","买后仓位超限；","")&amp;IF(AP122="新增受限","有效持仓数超限；","")&amp;IF(AF122&gt;INDEX(账户总表!$C:$C,COUNTA(账户总表!$A:$A)),"现金不足；","")))</f>
        <v/>
      </c>
      <c r="AS122" s="1" t="str">
        <f aca="false">IF($A122="","",IFERROR(INDEX(候选池历史!$L:$L,MATCH(1,(候选池历史!$B:$B=C122)*(候选池历史!$A:$A=$A122),0)),0))</f>
        <v/>
      </c>
      <c r="AT122" s="1" t="str">
        <f aca="false">IF($A122="","",IF(AS122&gt;=3,"★信号强化",IF(K122="核心池","核心观察","")))</f>
        <v/>
      </c>
      <c r="AU122" s="1" t="str">
        <f aca="false">IF($A122="","",IF(AK122&gt;30000-INDEX(账户总表!$B:$B,COUNTA(账户总表!$A:$A)),"不适合婴儿阶段","可纳入幼儿路径"))</f>
        <v/>
      </c>
    </row>
    <row r="123" customFormat="false" ht="15" hidden="false" customHeight="true" outlineLevel="0" collapsed="false">
      <c r="A123" s="70"/>
      <c r="B123" s="71"/>
      <c r="C123" s="72"/>
      <c r="D123" s="73"/>
      <c r="E123" s="73"/>
      <c r="F123" s="73"/>
      <c r="G123" s="74"/>
      <c r="H123" s="72"/>
      <c r="I123" s="72"/>
      <c r="J123" s="71"/>
      <c r="K123" s="75" t="str">
        <f aca="false">IF($A123="","",IF(AND(G123&lt;45%,H123&gt;=0.9),"A",IF(AND(G123&lt;60%,H123&gt;0.8),"B","C")))</f>
        <v/>
      </c>
      <c r="L123" s="75" t="str">
        <f aca="false">IF($A123="","",IF(AND(G123&lt;60%,H123&gt;0.8,I123="True"),"是","否"))</f>
        <v/>
      </c>
      <c r="M123" s="75" t="str">
        <f aca="false">IF($A123="","",IF(AND(D123&gt;0,E123&gt;0,D123&lt;=E123*1.02),"是","否"))</f>
        <v/>
      </c>
      <c r="N123" s="76" t="n">
        <f aca="false">IFERROR(INDEX(账户总表!$O:$O,COUNTA(账户总表!$A:$A)),0)</f>
        <v>0.35</v>
      </c>
      <c r="O123" s="77" t="n">
        <f aca="false">IFERROR(INDEX(账户总表!$B:$B,COUNTA(账户总表!$A:$A))*N123,0)</f>
        <v>7294.812</v>
      </c>
      <c r="P123" s="78" t="n">
        <f aca="false">IFERROR(O123/D123,0)</f>
        <v>0</v>
      </c>
      <c r="Q123" s="78" t="n">
        <f aca="false">IFERROR(FLOOR(P123,100),0)</f>
        <v>0</v>
      </c>
      <c r="R123" s="78" t="n">
        <f aca="false">IFERROR(CEILING(800/(100*D123),1)*100,0)</f>
        <v>0</v>
      </c>
      <c r="S123" s="79"/>
      <c r="T123" s="77" t="n">
        <f aca="false">IFERROR(S123*D123,0)</f>
        <v>0</v>
      </c>
      <c r="U123" s="76" t="n">
        <f aca="false">IFERROR(T123/INDEX(账户总表!$B:$B,COUNTA(账户总表!$A:$A)),0)</f>
        <v>0</v>
      </c>
      <c r="V123" s="76" t="n">
        <f aca="false">IFERROR(INDEX(账户总表!$E:$E,COUNTA(账户总表!$A:$A))+U123,0)</f>
        <v>0.407056412146057</v>
      </c>
      <c r="W123" s="75" t="str">
        <f aca="false">IF($A123="","",IFERROR(IF(V123&lt;=INDEX(账户总表!$N:$N,COUNTA(账户总表!$A:$A)),"是","否"),"否"))</f>
        <v/>
      </c>
      <c r="X123" s="77" t="str">
        <f aca="false">IF($A123="","",MAX(F123*0.98,D123*0.92))</f>
        <v/>
      </c>
      <c r="Y123" s="72"/>
      <c r="Z123" s="75" t="str">
        <f aca="false">IF($A123="","",IFERROR(IF(AND(T123&gt;INDEX(账户总表!$C:$C,COUNTA(账户总表!$A:$A)),L123="是"),"是","否"),"否"))</f>
        <v/>
      </c>
      <c r="AA123" s="77" t="str">
        <f aca="false">IF($A123="","",IFERROR(IF(Z123="是",MAX(0,T123-INDEX(账户总表!$C:$C,COUNTA(账户总表!$A:$A)),IF(N123&gt;0,T123/N123-INDEX(账户总表!$B:$B,COUNTA(账户总表!$A:$A)),0)),0),0))</f>
        <v/>
      </c>
      <c r="AB123" s="77" t="str">
        <f aca="false">IF($A123="","",IF(AND(Z123="是",INDEX(账户总表!$U:$U,COUNTA(账户总表!$A:$A))="是"),IF(INDEX(账户总表!$L:$L,COUNTA(账户总表!$A:$A))&gt;=4,AA123*1.5,AA123),0))</f>
        <v/>
      </c>
      <c r="AC123" s="75" t="str">
        <f aca="false">IF($A123="","",IF(AND(L123="是",Q123&gt;=R123,S123&lt;=Q123,S123&gt;=R123,W123="是",X123&gt;0,M123="是",INDEX(账户总表!$M:$M,COUNTA(账户总表!$A:$A))&lt;=2,INDEX(账户总表!$V:$V,COUNTA(账户总表!$A:$A))="是",OR(T123&lt;=INDEX(账户总表!$C:$C,COUNTA(账户总表!$A:$A)),AND(Z123="是",INDEX(账户总表!$U:$U,COUNTA(账户总表!$A:$A))="是",AB123&gt;0))),"是","否"))</f>
        <v/>
      </c>
      <c r="AD123" s="75" t="str">
        <f aca="false">IF($A123="","",IF(L123&lt;&gt;"是","信号未确认",IF(X123&lt;=0,"止损价未定义",IF(Q123&lt;R123,"100股约束不满足",IF(S123&gt;Q123,"计划股数超单股上限",IF(S123&lt;R123,"计划股数低于最小门槛",IF(W123&lt;&gt;"是","总仓位超限",IF(M123&lt;&gt;"是","追价",IF(INDEX(账户总表!$M:$M,COUNTA(账户总表!$A:$A))&gt;2,"亏钱效应偏高",IF(INDEX(账户总表!$V:$V,COUNTA(账户总表!$A:$A))&lt;&gt;"是","账户不允许新开仓",IF(AND(T123&gt;INDEX(账户总表!$C:$C,COUNTA(账户总表!$A:$A)),INDEX(账户总表!$U:$U,COUNTA(账户总表!$A:$A))&lt;&gt;"是"),"现金不足且不允许转入",IF(AND(Z123="是",AB123&lt;=0),"转入金额未满足",""))))))))))))</f>
        <v/>
      </c>
      <c r="AE123" s="71"/>
      <c r="AF123" s="1" t="str">
        <f aca="false">IF($A123="","",D123*100)</f>
        <v/>
      </c>
      <c r="AG123" s="1" t="str">
        <f aca="false">IF($A123="","",IFERROR(AF123/INDEX(账户总表!$B:$B,COUNTA(账户总表!$A:$A)),0))</f>
        <v/>
      </c>
      <c r="AH123" s="1" t="str">
        <f aca="false">IF($A123="","",IFERROR(INDEX(账户总表!$B:$B,COUNTA(账户总表!$A:$A))*INDEX(账户总表!$O:$O,COUNTA(账户总表!$A:$A)),0))</f>
        <v/>
      </c>
      <c r="AI123" s="1" t="str">
        <f aca="false">IF($A123="","",IF(AF123&gt;AH123,"超限","合规"))</f>
        <v/>
      </c>
      <c r="AJ123" s="1" t="str">
        <f aca="false">IF($A123="","",IFERROR(AF123/INDEX(账户总表!$O:$O,COUNTA(账户总表!$A:$A)),0))</f>
        <v/>
      </c>
      <c r="AK123" s="1" t="str">
        <f aca="false">IF($A123="","",IFERROR(MAX(0,AJ123-INDEX(账户总表!$B:$B,COUNTA(账户总表!$A:$A)),AF123-INDEX(账户总表!$C:$C,COUNTA(账户总表!$A:$A))),0))</f>
        <v/>
      </c>
      <c r="AL123" s="1" t="str">
        <f aca="false">IF($A123="","",IF(COUNTIF(持仓表!$C$2:$C$201,C123)&gt;0,"已有","新标的"))</f>
        <v/>
      </c>
      <c r="AM123" s="1" t="str">
        <f aca="false">IF($A123="","",IFERROR(SUMIFS(持仓表!$N$2:$N$201,持仓表!$C$2:$C$201,C123,持仓表!$A$2:$A$201,$A123),0))</f>
        <v/>
      </c>
      <c r="AN123" s="1" t="str">
        <f aca="false">IF($A123="","",IFERROR(AM123+AF123/INDEX(账户总表!$B:$B,COUNTA(账户总表!$A:$A)),0))</f>
        <v/>
      </c>
      <c r="AO123" s="1" t="str">
        <f aca="false">IF($A123="","",IF(AN123&gt;INDEX(账户总表!$O:$O,COUNTA(账户总表!$A:$A)),"超限","合规"))</f>
        <v/>
      </c>
      <c r="AP123" s="1" t="str">
        <f aca="false">IF($A123="","",IF(AND(AL123="新标的",INDEX(账户总表!$R:$R,COUNTA(账户总表!$A:$A))&gt;=INDEX(账户总表!$S:$S,COUNTA(账户总表!$A:$A))),"新增受限","可通过"))</f>
        <v/>
      </c>
      <c r="AQ123" s="1" t="str">
        <f aca="false">IF($A123="","",IF(K123&lt;&gt;"核心池","非核心池",IF(OR(AI123="超限",AO123="超限",AP123="新增受限"),"不可加仓","可加仓")))</f>
        <v/>
      </c>
      <c r="AR123" s="1" t="str">
        <f aca="false">IF($A123="","",TRIM(IF(AI123="超限","1手超单股上限；","")&amp;IF(AO123="超限","买后仓位超限；","")&amp;IF(AP123="新增受限","有效持仓数超限；","")&amp;IF(AF123&gt;INDEX(账户总表!$C:$C,COUNTA(账户总表!$A:$A)),"现金不足；","")))</f>
        <v/>
      </c>
      <c r="AS123" s="1" t="str">
        <f aca="false">IF($A123="","",IFERROR(INDEX(候选池历史!$L:$L,MATCH(1,(候选池历史!$B:$B=C123)*(候选池历史!$A:$A=$A123),0)),0))</f>
        <v/>
      </c>
      <c r="AT123" s="1" t="str">
        <f aca="false">IF($A123="","",IF(AS123&gt;=3,"★信号强化",IF(K123="核心池","核心观察","")))</f>
        <v/>
      </c>
      <c r="AU123" s="1" t="str">
        <f aca="false">IF($A123="","",IF(AK123&gt;30000-INDEX(账户总表!$B:$B,COUNTA(账户总表!$A:$A)),"不适合婴儿阶段","可纳入幼儿路径"))</f>
        <v/>
      </c>
    </row>
    <row r="124" customFormat="false" ht="15" hidden="false" customHeight="true" outlineLevel="0" collapsed="false">
      <c r="A124" s="70"/>
      <c r="B124" s="71"/>
      <c r="C124" s="72"/>
      <c r="D124" s="73"/>
      <c r="E124" s="73"/>
      <c r="F124" s="73"/>
      <c r="G124" s="74"/>
      <c r="H124" s="72"/>
      <c r="I124" s="72"/>
      <c r="J124" s="71"/>
      <c r="K124" s="75" t="str">
        <f aca="false">IF($A124="","",IF(AND(G124&lt;45%,H124&gt;=0.9),"A",IF(AND(G124&lt;60%,H124&gt;0.8),"B","C")))</f>
        <v/>
      </c>
      <c r="L124" s="75" t="str">
        <f aca="false">IF($A124="","",IF(AND(G124&lt;60%,H124&gt;0.8,I124="True"),"是","否"))</f>
        <v/>
      </c>
      <c r="M124" s="75" t="str">
        <f aca="false">IF($A124="","",IF(AND(D124&gt;0,E124&gt;0,D124&lt;=E124*1.02),"是","否"))</f>
        <v/>
      </c>
      <c r="N124" s="76" t="n">
        <f aca="false">IFERROR(INDEX(账户总表!$O:$O,COUNTA(账户总表!$A:$A)),0)</f>
        <v>0.35</v>
      </c>
      <c r="O124" s="77" t="n">
        <f aca="false">IFERROR(INDEX(账户总表!$B:$B,COUNTA(账户总表!$A:$A))*N124,0)</f>
        <v>7294.812</v>
      </c>
      <c r="P124" s="78" t="n">
        <f aca="false">IFERROR(O124/D124,0)</f>
        <v>0</v>
      </c>
      <c r="Q124" s="78" t="n">
        <f aca="false">IFERROR(FLOOR(P124,100),0)</f>
        <v>0</v>
      </c>
      <c r="R124" s="78" t="n">
        <f aca="false">IFERROR(CEILING(800/(100*D124),1)*100,0)</f>
        <v>0</v>
      </c>
      <c r="S124" s="79"/>
      <c r="T124" s="77" t="n">
        <f aca="false">IFERROR(S124*D124,0)</f>
        <v>0</v>
      </c>
      <c r="U124" s="76" t="n">
        <f aca="false">IFERROR(T124/INDEX(账户总表!$B:$B,COUNTA(账户总表!$A:$A)),0)</f>
        <v>0</v>
      </c>
      <c r="V124" s="76" t="n">
        <f aca="false">IFERROR(INDEX(账户总表!$E:$E,COUNTA(账户总表!$A:$A))+U124,0)</f>
        <v>0.407056412146057</v>
      </c>
      <c r="W124" s="75" t="str">
        <f aca="false">IF($A124="","",IFERROR(IF(V124&lt;=INDEX(账户总表!$N:$N,COUNTA(账户总表!$A:$A)),"是","否"),"否"))</f>
        <v/>
      </c>
      <c r="X124" s="77" t="str">
        <f aca="false">IF($A124="","",MAX(F124*0.98,D124*0.92))</f>
        <v/>
      </c>
      <c r="Y124" s="72"/>
      <c r="Z124" s="75" t="str">
        <f aca="false">IF($A124="","",IFERROR(IF(AND(T124&gt;INDEX(账户总表!$C:$C,COUNTA(账户总表!$A:$A)),L124="是"),"是","否"),"否"))</f>
        <v/>
      </c>
      <c r="AA124" s="77" t="str">
        <f aca="false">IF($A124="","",IFERROR(IF(Z124="是",MAX(0,T124-INDEX(账户总表!$C:$C,COUNTA(账户总表!$A:$A)),IF(N124&gt;0,T124/N124-INDEX(账户总表!$B:$B,COUNTA(账户总表!$A:$A)),0)),0),0))</f>
        <v/>
      </c>
      <c r="AB124" s="77" t="str">
        <f aca="false">IF($A124="","",IF(AND(Z124="是",INDEX(账户总表!$U:$U,COUNTA(账户总表!$A:$A))="是"),IF(INDEX(账户总表!$L:$L,COUNTA(账户总表!$A:$A))&gt;=4,AA124*1.5,AA124),0))</f>
        <v/>
      </c>
      <c r="AC124" s="75" t="str">
        <f aca="false">IF($A124="","",IF(AND(L124="是",Q124&gt;=R124,S124&lt;=Q124,S124&gt;=R124,W124="是",X124&gt;0,M124="是",INDEX(账户总表!$M:$M,COUNTA(账户总表!$A:$A))&lt;=2,INDEX(账户总表!$V:$V,COUNTA(账户总表!$A:$A))="是",OR(T124&lt;=INDEX(账户总表!$C:$C,COUNTA(账户总表!$A:$A)),AND(Z124="是",INDEX(账户总表!$U:$U,COUNTA(账户总表!$A:$A))="是",AB124&gt;0))),"是","否"))</f>
        <v/>
      </c>
      <c r="AD124" s="75" t="str">
        <f aca="false">IF($A124="","",IF(L124&lt;&gt;"是","信号未确认",IF(X124&lt;=0,"止损价未定义",IF(Q124&lt;R124,"100股约束不满足",IF(S124&gt;Q124,"计划股数超单股上限",IF(S124&lt;R124,"计划股数低于最小门槛",IF(W124&lt;&gt;"是","总仓位超限",IF(M124&lt;&gt;"是","追价",IF(INDEX(账户总表!$M:$M,COUNTA(账户总表!$A:$A))&gt;2,"亏钱效应偏高",IF(INDEX(账户总表!$V:$V,COUNTA(账户总表!$A:$A))&lt;&gt;"是","账户不允许新开仓",IF(AND(T124&gt;INDEX(账户总表!$C:$C,COUNTA(账户总表!$A:$A)),INDEX(账户总表!$U:$U,COUNTA(账户总表!$A:$A))&lt;&gt;"是"),"现金不足且不允许转入",IF(AND(Z124="是",AB124&lt;=0),"转入金额未满足",""))))))))))))</f>
        <v/>
      </c>
      <c r="AE124" s="71"/>
      <c r="AF124" s="1" t="str">
        <f aca="false">IF($A124="","",D124*100)</f>
        <v/>
      </c>
      <c r="AG124" s="1" t="str">
        <f aca="false">IF($A124="","",IFERROR(AF124/INDEX(账户总表!$B:$B,COUNTA(账户总表!$A:$A)),0))</f>
        <v/>
      </c>
      <c r="AH124" s="1" t="str">
        <f aca="false">IF($A124="","",IFERROR(INDEX(账户总表!$B:$B,COUNTA(账户总表!$A:$A))*INDEX(账户总表!$O:$O,COUNTA(账户总表!$A:$A)),0))</f>
        <v/>
      </c>
      <c r="AI124" s="1" t="str">
        <f aca="false">IF($A124="","",IF(AF124&gt;AH124,"超限","合规"))</f>
        <v/>
      </c>
      <c r="AJ124" s="1" t="str">
        <f aca="false">IF($A124="","",IFERROR(AF124/INDEX(账户总表!$O:$O,COUNTA(账户总表!$A:$A)),0))</f>
        <v/>
      </c>
      <c r="AK124" s="1" t="str">
        <f aca="false">IF($A124="","",IFERROR(MAX(0,AJ124-INDEX(账户总表!$B:$B,COUNTA(账户总表!$A:$A)),AF124-INDEX(账户总表!$C:$C,COUNTA(账户总表!$A:$A))),0))</f>
        <v/>
      </c>
      <c r="AL124" s="1" t="str">
        <f aca="false">IF($A124="","",IF(COUNTIF(持仓表!$C$2:$C$201,C124)&gt;0,"已有","新标的"))</f>
        <v/>
      </c>
      <c r="AM124" s="1" t="str">
        <f aca="false">IF($A124="","",IFERROR(SUMIFS(持仓表!$N$2:$N$201,持仓表!$C$2:$C$201,C124,持仓表!$A$2:$A$201,$A124),0))</f>
        <v/>
      </c>
      <c r="AN124" s="1" t="str">
        <f aca="false">IF($A124="","",IFERROR(AM124+AF124/INDEX(账户总表!$B:$B,COUNTA(账户总表!$A:$A)),0))</f>
        <v/>
      </c>
      <c r="AO124" s="1" t="str">
        <f aca="false">IF($A124="","",IF(AN124&gt;INDEX(账户总表!$O:$O,COUNTA(账户总表!$A:$A)),"超限","合规"))</f>
        <v/>
      </c>
      <c r="AP124" s="1" t="str">
        <f aca="false">IF($A124="","",IF(AND(AL124="新标的",INDEX(账户总表!$R:$R,COUNTA(账户总表!$A:$A))&gt;=INDEX(账户总表!$S:$S,COUNTA(账户总表!$A:$A))),"新增受限","可通过"))</f>
        <v/>
      </c>
      <c r="AQ124" s="1" t="str">
        <f aca="false">IF($A124="","",IF(K124&lt;&gt;"核心池","非核心池",IF(OR(AI124="超限",AO124="超限",AP124="新增受限"),"不可加仓","可加仓")))</f>
        <v/>
      </c>
      <c r="AR124" s="1" t="str">
        <f aca="false">IF($A124="","",TRIM(IF(AI124="超限","1手超单股上限；","")&amp;IF(AO124="超限","买后仓位超限；","")&amp;IF(AP124="新增受限","有效持仓数超限；","")&amp;IF(AF124&gt;INDEX(账户总表!$C:$C,COUNTA(账户总表!$A:$A)),"现金不足；","")))</f>
        <v/>
      </c>
      <c r="AS124" s="1" t="str">
        <f aca="false">IF($A124="","",IFERROR(INDEX(候选池历史!$L:$L,MATCH(1,(候选池历史!$B:$B=C124)*(候选池历史!$A:$A=$A124),0)),0))</f>
        <v/>
      </c>
      <c r="AT124" s="1" t="str">
        <f aca="false">IF($A124="","",IF(AS124&gt;=3,"★信号强化",IF(K124="核心池","核心观察","")))</f>
        <v/>
      </c>
      <c r="AU124" s="1" t="str">
        <f aca="false">IF($A124="","",IF(AK124&gt;30000-INDEX(账户总表!$B:$B,COUNTA(账户总表!$A:$A)),"不适合婴儿阶段","可纳入幼儿路径"))</f>
        <v/>
      </c>
    </row>
    <row r="125" customFormat="false" ht="15" hidden="false" customHeight="true" outlineLevel="0" collapsed="false">
      <c r="A125" s="70"/>
      <c r="B125" s="71"/>
      <c r="C125" s="72"/>
      <c r="D125" s="73"/>
      <c r="E125" s="73"/>
      <c r="F125" s="73"/>
      <c r="G125" s="74"/>
      <c r="H125" s="72"/>
      <c r="I125" s="72"/>
      <c r="J125" s="71"/>
      <c r="K125" s="75" t="str">
        <f aca="false">IF($A125="","",IF(AND(G125&lt;45%,H125&gt;=0.9),"A",IF(AND(G125&lt;60%,H125&gt;0.8),"B","C")))</f>
        <v/>
      </c>
      <c r="L125" s="75" t="str">
        <f aca="false">IF($A125="","",IF(AND(G125&lt;60%,H125&gt;0.8,I125="True"),"是","否"))</f>
        <v/>
      </c>
      <c r="M125" s="75" t="str">
        <f aca="false">IF($A125="","",IF(AND(D125&gt;0,E125&gt;0,D125&lt;=E125*1.02),"是","否"))</f>
        <v/>
      </c>
      <c r="N125" s="76" t="n">
        <f aca="false">IFERROR(INDEX(账户总表!$O:$O,COUNTA(账户总表!$A:$A)),0)</f>
        <v>0.35</v>
      </c>
      <c r="O125" s="77" t="n">
        <f aca="false">IFERROR(INDEX(账户总表!$B:$B,COUNTA(账户总表!$A:$A))*N125,0)</f>
        <v>7294.812</v>
      </c>
      <c r="P125" s="78" t="n">
        <f aca="false">IFERROR(O125/D125,0)</f>
        <v>0</v>
      </c>
      <c r="Q125" s="78" t="n">
        <f aca="false">IFERROR(FLOOR(P125,100),0)</f>
        <v>0</v>
      </c>
      <c r="R125" s="78" t="n">
        <f aca="false">IFERROR(CEILING(800/(100*D125),1)*100,0)</f>
        <v>0</v>
      </c>
      <c r="S125" s="79"/>
      <c r="T125" s="77" t="n">
        <f aca="false">IFERROR(S125*D125,0)</f>
        <v>0</v>
      </c>
      <c r="U125" s="76" t="n">
        <f aca="false">IFERROR(T125/INDEX(账户总表!$B:$B,COUNTA(账户总表!$A:$A)),0)</f>
        <v>0</v>
      </c>
      <c r="V125" s="76" t="n">
        <f aca="false">IFERROR(INDEX(账户总表!$E:$E,COUNTA(账户总表!$A:$A))+U125,0)</f>
        <v>0.407056412146057</v>
      </c>
      <c r="W125" s="75" t="str">
        <f aca="false">IF($A125="","",IFERROR(IF(V125&lt;=INDEX(账户总表!$N:$N,COUNTA(账户总表!$A:$A)),"是","否"),"否"))</f>
        <v/>
      </c>
      <c r="X125" s="77" t="str">
        <f aca="false">IF($A125="","",MAX(F125*0.98,D125*0.92))</f>
        <v/>
      </c>
      <c r="Y125" s="72"/>
      <c r="Z125" s="75" t="str">
        <f aca="false">IF($A125="","",IFERROR(IF(AND(T125&gt;INDEX(账户总表!$C:$C,COUNTA(账户总表!$A:$A)),L125="是"),"是","否"),"否"))</f>
        <v/>
      </c>
      <c r="AA125" s="77" t="str">
        <f aca="false">IF($A125="","",IFERROR(IF(Z125="是",MAX(0,T125-INDEX(账户总表!$C:$C,COUNTA(账户总表!$A:$A)),IF(N125&gt;0,T125/N125-INDEX(账户总表!$B:$B,COUNTA(账户总表!$A:$A)),0)),0),0))</f>
        <v/>
      </c>
      <c r="AB125" s="77" t="str">
        <f aca="false">IF($A125="","",IF(AND(Z125="是",INDEX(账户总表!$U:$U,COUNTA(账户总表!$A:$A))="是"),IF(INDEX(账户总表!$L:$L,COUNTA(账户总表!$A:$A))&gt;=4,AA125*1.5,AA125),0))</f>
        <v/>
      </c>
      <c r="AC125" s="75" t="str">
        <f aca="false">IF($A125="","",IF(AND(L125="是",Q125&gt;=R125,S125&lt;=Q125,S125&gt;=R125,W125="是",X125&gt;0,M125="是",INDEX(账户总表!$M:$M,COUNTA(账户总表!$A:$A))&lt;=2,INDEX(账户总表!$V:$V,COUNTA(账户总表!$A:$A))="是",OR(T125&lt;=INDEX(账户总表!$C:$C,COUNTA(账户总表!$A:$A)),AND(Z125="是",INDEX(账户总表!$U:$U,COUNTA(账户总表!$A:$A))="是",AB125&gt;0))),"是","否"))</f>
        <v/>
      </c>
      <c r="AD125" s="75" t="str">
        <f aca="false">IF($A125="","",IF(L125&lt;&gt;"是","信号未确认",IF(X125&lt;=0,"止损价未定义",IF(Q125&lt;R125,"100股约束不满足",IF(S125&gt;Q125,"计划股数超单股上限",IF(S125&lt;R125,"计划股数低于最小门槛",IF(W125&lt;&gt;"是","总仓位超限",IF(M125&lt;&gt;"是","追价",IF(INDEX(账户总表!$M:$M,COUNTA(账户总表!$A:$A))&gt;2,"亏钱效应偏高",IF(INDEX(账户总表!$V:$V,COUNTA(账户总表!$A:$A))&lt;&gt;"是","账户不允许新开仓",IF(AND(T125&gt;INDEX(账户总表!$C:$C,COUNTA(账户总表!$A:$A)),INDEX(账户总表!$U:$U,COUNTA(账户总表!$A:$A))&lt;&gt;"是"),"现金不足且不允许转入",IF(AND(Z125="是",AB125&lt;=0),"转入金额未满足",""))))))))))))</f>
        <v/>
      </c>
      <c r="AE125" s="71"/>
      <c r="AF125" s="1" t="str">
        <f aca="false">IF($A125="","",D125*100)</f>
        <v/>
      </c>
      <c r="AG125" s="1" t="str">
        <f aca="false">IF($A125="","",IFERROR(AF125/INDEX(账户总表!$B:$B,COUNTA(账户总表!$A:$A)),0))</f>
        <v/>
      </c>
      <c r="AH125" s="1" t="str">
        <f aca="false">IF($A125="","",IFERROR(INDEX(账户总表!$B:$B,COUNTA(账户总表!$A:$A))*INDEX(账户总表!$O:$O,COUNTA(账户总表!$A:$A)),0))</f>
        <v/>
      </c>
      <c r="AI125" s="1" t="str">
        <f aca="false">IF($A125="","",IF(AF125&gt;AH125,"超限","合规"))</f>
        <v/>
      </c>
      <c r="AJ125" s="1" t="str">
        <f aca="false">IF($A125="","",IFERROR(AF125/INDEX(账户总表!$O:$O,COUNTA(账户总表!$A:$A)),0))</f>
        <v/>
      </c>
      <c r="AK125" s="1" t="str">
        <f aca="false">IF($A125="","",IFERROR(MAX(0,AJ125-INDEX(账户总表!$B:$B,COUNTA(账户总表!$A:$A)),AF125-INDEX(账户总表!$C:$C,COUNTA(账户总表!$A:$A))),0))</f>
        <v/>
      </c>
      <c r="AL125" s="1" t="str">
        <f aca="false">IF($A125="","",IF(COUNTIF(持仓表!$C$2:$C$201,C125)&gt;0,"已有","新标的"))</f>
        <v/>
      </c>
      <c r="AM125" s="1" t="str">
        <f aca="false">IF($A125="","",IFERROR(SUMIFS(持仓表!$N$2:$N$201,持仓表!$C$2:$C$201,C125,持仓表!$A$2:$A$201,$A125),0))</f>
        <v/>
      </c>
      <c r="AN125" s="1" t="str">
        <f aca="false">IF($A125="","",IFERROR(AM125+AF125/INDEX(账户总表!$B:$B,COUNTA(账户总表!$A:$A)),0))</f>
        <v/>
      </c>
      <c r="AO125" s="1" t="str">
        <f aca="false">IF($A125="","",IF(AN125&gt;INDEX(账户总表!$O:$O,COUNTA(账户总表!$A:$A)),"超限","合规"))</f>
        <v/>
      </c>
      <c r="AP125" s="1" t="str">
        <f aca="false">IF($A125="","",IF(AND(AL125="新标的",INDEX(账户总表!$R:$R,COUNTA(账户总表!$A:$A))&gt;=INDEX(账户总表!$S:$S,COUNTA(账户总表!$A:$A))),"新增受限","可通过"))</f>
        <v/>
      </c>
      <c r="AQ125" s="1" t="str">
        <f aca="false">IF($A125="","",IF(K125&lt;&gt;"核心池","非核心池",IF(OR(AI125="超限",AO125="超限",AP125="新增受限"),"不可加仓","可加仓")))</f>
        <v/>
      </c>
      <c r="AR125" s="1" t="str">
        <f aca="false">IF($A125="","",TRIM(IF(AI125="超限","1手超单股上限；","")&amp;IF(AO125="超限","买后仓位超限；","")&amp;IF(AP125="新增受限","有效持仓数超限；","")&amp;IF(AF125&gt;INDEX(账户总表!$C:$C,COUNTA(账户总表!$A:$A)),"现金不足；","")))</f>
        <v/>
      </c>
      <c r="AS125" s="1" t="str">
        <f aca="false">IF($A125="","",IFERROR(INDEX(候选池历史!$L:$L,MATCH(1,(候选池历史!$B:$B=C125)*(候选池历史!$A:$A=$A125),0)),0))</f>
        <v/>
      </c>
      <c r="AT125" s="1" t="str">
        <f aca="false">IF($A125="","",IF(AS125&gt;=3,"★信号强化",IF(K125="核心池","核心观察","")))</f>
        <v/>
      </c>
      <c r="AU125" s="1" t="str">
        <f aca="false">IF($A125="","",IF(AK125&gt;30000-INDEX(账户总表!$B:$B,COUNTA(账户总表!$A:$A)),"不适合婴儿阶段","可纳入幼儿路径"))</f>
        <v/>
      </c>
    </row>
    <row r="126" customFormat="false" ht="15" hidden="false" customHeight="true" outlineLevel="0" collapsed="false">
      <c r="A126" s="70"/>
      <c r="B126" s="71"/>
      <c r="C126" s="72"/>
      <c r="D126" s="73"/>
      <c r="E126" s="73"/>
      <c r="F126" s="73"/>
      <c r="G126" s="74"/>
      <c r="H126" s="72"/>
      <c r="I126" s="72"/>
      <c r="J126" s="71"/>
      <c r="K126" s="75" t="str">
        <f aca="false">IF($A126="","",IF(AND(G126&lt;45%,H126&gt;=0.9),"A",IF(AND(G126&lt;60%,H126&gt;0.8),"B","C")))</f>
        <v/>
      </c>
      <c r="L126" s="75" t="str">
        <f aca="false">IF($A126="","",IF(AND(G126&lt;60%,H126&gt;0.8,I126="True"),"是","否"))</f>
        <v/>
      </c>
      <c r="M126" s="75" t="str">
        <f aca="false">IF($A126="","",IF(AND(D126&gt;0,E126&gt;0,D126&lt;=E126*1.02),"是","否"))</f>
        <v/>
      </c>
      <c r="N126" s="76" t="n">
        <f aca="false">IFERROR(INDEX(账户总表!$O:$O,COUNTA(账户总表!$A:$A)),0)</f>
        <v>0.35</v>
      </c>
      <c r="O126" s="77" t="n">
        <f aca="false">IFERROR(INDEX(账户总表!$B:$B,COUNTA(账户总表!$A:$A))*N126,0)</f>
        <v>7294.812</v>
      </c>
      <c r="P126" s="78" t="n">
        <f aca="false">IFERROR(O126/D126,0)</f>
        <v>0</v>
      </c>
      <c r="Q126" s="78" t="n">
        <f aca="false">IFERROR(FLOOR(P126,100),0)</f>
        <v>0</v>
      </c>
      <c r="R126" s="78" t="n">
        <f aca="false">IFERROR(CEILING(800/(100*D126),1)*100,0)</f>
        <v>0</v>
      </c>
      <c r="S126" s="79"/>
      <c r="T126" s="77" t="n">
        <f aca="false">IFERROR(S126*D126,0)</f>
        <v>0</v>
      </c>
      <c r="U126" s="76" t="n">
        <f aca="false">IFERROR(T126/INDEX(账户总表!$B:$B,COUNTA(账户总表!$A:$A)),0)</f>
        <v>0</v>
      </c>
      <c r="V126" s="76" t="n">
        <f aca="false">IFERROR(INDEX(账户总表!$E:$E,COUNTA(账户总表!$A:$A))+U126,0)</f>
        <v>0.407056412146057</v>
      </c>
      <c r="W126" s="75" t="str">
        <f aca="false">IF($A126="","",IFERROR(IF(V126&lt;=INDEX(账户总表!$N:$N,COUNTA(账户总表!$A:$A)),"是","否"),"否"))</f>
        <v/>
      </c>
      <c r="X126" s="77" t="str">
        <f aca="false">IF($A126="","",MAX(F126*0.98,D126*0.92))</f>
        <v/>
      </c>
      <c r="Y126" s="72"/>
      <c r="Z126" s="75" t="str">
        <f aca="false">IF($A126="","",IFERROR(IF(AND(T126&gt;INDEX(账户总表!$C:$C,COUNTA(账户总表!$A:$A)),L126="是"),"是","否"),"否"))</f>
        <v/>
      </c>
      <c r="AA126" s="77" t="str">
        <f aca="false">IF($A126="","",IFERROR(IF(Z126="是",MAX(0,T126-INDEX(账户总表!$C:$C,COUNTA(账户总表!$A:$A)),IF(N126&gt;0,T126/N126-INDEX(账户总表!$B:$B,COUNTA(账户总表!$A:$A)),0)),0),0))</f>
        <v/>
      </c>
      <c r="AB126" s="77" t="str">
        <f aca="false">IF($A126="","",IF(AND(Z126="是",INDEX(账户总表!$U:$U,COUNTA(账户总表!$A:$A))="是"),IF(INDEX(账户总表!$L:$L,COUNTA(账户总表!$A:$A))&gt;=4,AA126*1.5,AA126),0))</f>
        <v/>
      </c>
      <c r="AC126" s="75" t="str">
        <f aca="false">IF($A126="","",IF(AND(L126="是",Q126&gt;=R126,S126&lt;=Q126,S126&gt;=R126,W126="是",X126&gt;0,M126="是",INDEX(账户总表!$M:$M,COUNTA(账户总表!$A:$A))&lt;=2,INDEX(账户总表!$V:$V,COUNTA(账户总表!$A:$A))="是",OR(T126&lt;=INDEX(账户总表!$C:$C,COUNTA(账户总表!$A:$A)),AND(Z126="是",INDEX(账户总表!$U:$U,COUNTA(账户总表!$A:$A))="是",AB126&gt;0))),"是","否"))</f>
        <v/>
      </c>
      <c r="AD126" s="75" t="str">
        <f aca="false">IF($A126="","",IF(L126&lt;&gt;"是","信号未确认",IF(X126&lt;=0,"止损价未定义",IF(Q126&lt;R126,"100股约束不满足",IF(S126&gt;Q126,"计划股数超单股上限",IF(S126&lt;R126,"计划股数低于最小门槛",IF(W126&lt;&gt;"是","总仓位超限",IF(M126&lt;&gt;"是","追价",IF(INDEX(账户总表!$M:$M,COUNTA(账户总表!$A:$A))&gt;2,"亏钱效应偏高",IF(INDEX(账户总表!$V:$V,COUNTA(账户总表!$A:$A))&lt;&gt;"是","账户不允许新开仓",IF(AND(T126&gt;INDEX(账户总表!$C:$C,COUNTA(账户总表!$A:$A)),INDEX(账户总表!$U:$U,COUNTA(账户总表!$A:$A))&lt;&gt;"是"),"现金不足且不允许转入",IF(AND(Z126="是",AB126&lt;=0),"转入金额未满足",""))))))))))))</f>
        <v/>
      </c>
      <c r="AE126" s="71"/>
      <c r="AF126" s="1" t="str">
        <f aca="false">IF($A126="","",D126*100)</f>
        <v/>
      </c>
      <c r="AG126" s="1" t="str">
        <f aca="false">IF($A126="","",IFERROR(AF126/INDEX(账户总表!$B:$B,COUNTA(账户总表!$A:$A)),0))</f>
        <v/>
      </c>
      <c r="AH126" s="1" t="str">
        <f aca="false">IF($A126="","",IFERROR(INDEX(账户总表!$B:$B,COUNTA(账户总表!$A:$A))*INDEX(账户总表!$O:$O,COUNTA(账户总表!$A:$A)),0))</f>
        <v/>
      </c>
      <c r="AI126" s="1" t="str">
        <f aca="false">IF($A126="","",IF(AF126&gt;AH126,"超限","合规"))</f>
        <v/>
      </c>
      <c r="AJ126" s="1" t="str">
        <f aca="false">IF($A126="","",IFERROR(AF126/INDEX(账户总表!$O:$O,COUNTA(账户总表!$A:$A)),0))</f>
        <v/>
      </c>
      <c r="AK126" s="1" t="str">
        <f aca="false">IF($A126="","",IFERROR(MAX(0,AJ126-INDEX(账户总表!$B:$B,COUNTA(账户总表!$A:$A)),AF126-INDEX(账户总表!$C:$C,COUNTA(账户总表!$A:$A))),0))</f>
        <v/>
      </c>
      <c r="AL126" s="1" t="str">
        <f aca="false">IF($A126="","",IF(COUNTIF(持仓表!$C$2:$C$201,C126)&gt;0,"已有","新标的"))</f>
        <v/>
      </c>
      <c r="AM126" s="1" t="str">
        <f aca="false">IF($A126="","",IFERROR(SUMIFS(持仓表!$N$2:$N$201,持仓表!$C$2:$C$201,C126,持仓表!$A$2:$A$201,$A126),0))</f>
        <v/>
      </c>
      <c r="AN126" s="1" t="str">
        <f aca="false">IF($A126="","",IFERROR(AM126+AF126/INDEX(账户总表!$B:$B,COUNTA(账户总表!$A:$A)),0))</f>
        <v/>
      </c>
      <c r="AO126" s="1" t="str">
        <f aca="false">IF($A126="","",IF(AN126&gt;INDEX(账户总表!$O:$O,COUNTA(账户总表!$A:$A)),"超限","合规"))</f>
        <v/>
      </c>
      <c r="AP126" s="1" t="str">
        <f aca="false">IF($A126="","",IF(AND(AL126="新标的",INDEX(账户总表!$R:$R,COUNTA(账户总表!$A:$A))&gt;=INDEX(账户总表!$S:$S,COUNTA(账户总表!$A:$A))),"新增受限","可通过"))</f>
        <v/>
      </c>
      <c r="AQ126" s="1" t="str">
        <f aca="false">IF($A126="","",IF(K126&lt;&gt;"核心池","非核心池",IF(OR(AI126="超限",AO126="超限",AP126="新增受限"),"不可加仓","可加仓")))</f>
        <v/>
      </c>
      <c r="AR126" s="1" t="str">
        <f aca="false">IF($A126="","",TRIM(IF(AI126="超限","1手超单股上限；","")&amp;IF(AO126="超限","买后仓位超限；","")&amp;IF(AP126="新增受限","有效持仓数超限；","")&amp;IF(AF126&gt;INDEX(账户总表!$C:$C,COUNTA(账户总表!$A:$A)),"现金不足；","")))</f>
        <v/>
      </c>
      <c r="AS126" s="1" t="str">
        <f aca="false">IF($A126="","",IFERROR(INDEX(候选池历史!$L:$L,MATCH(1,(候选池历史!$B:$B=C126)*(候选池历史!$A:$A=$A126),0)),0))</f>
        <v/>
      </c>
      <c r="AT126" s="1" t="str">
        <f aca="false">IF($A126="","",IF(AS126&gt;=3,"★信号强化",IF(K126="核心池","核心观察","")))</f>
        <v/>
      </c>
      <c r="AU126" s="1" t="str">
        <f aca="false">IF($A126="","",IF(AK126&gt;30000-INDEX(账户总表!$B:$B,COUNTA(账户总表!$A:$A)),"不适合婴儿阶段","可纳入幼儿路径"))</f>
        <v/>
      </c>
    </row>
    <row r="127" customFormat="false" ht="15" hidden="false" customHeight="true" outlineLevel="0" collapsed="false">
      <c r="A127" s="70"/>
      <c r="B127" s="71"/>
      <c r="C127" s="72"/>
      <c r="D127" s="73"/>
      <c r="E127" s="73"/>
      <c r="F127" s="73"/>
      <c r="G127" s="74"/>
      <c r="H127" s="72"/>
      <c r="I127" s="72"/>
      <c r="J127" s="71"/>
      <c r="K127" s="75" t="str">
        <f aca="false">IF($A127="","",IF(AND(G127&lt;45%,H127&gt;=0.9),"A",IF(AND(G127&lt;60%,H127&gt;0.8),"B","C")))</f>
        <v/>
      </c>
      <c r="L127" s="75" t="str">
        <f aca="false">IF($A127="","",IF(AND(G127&lt;60%,H127&gt;0.8,I127="True"),"是","否"))</f>
        <v/>
      </c>
      <c r="M127" s="75" t="str">
        <f aca="false">IF($A127="","",IF(AND(D127&gt;0,E127&gt;0,D127&lt;=E127*1.02),"是","否"))</f>
        <v/>
      </c>
      <c r="N127" s="76" t="n">
        <f aca="false">IFERROR(INDEX(账户总表!$O:$O,COUNTA(账户总表!$A:$A)),0)</f>
        <v>0.35</v>
      </c>
      <c r="O127" s="77" t="n">
        <f aca="false">IFERROR(INDEX(账户总表!$B:$B,COUNTA(账户总表!$A:$A))*N127,0)</f>
        <v>7294.812</v>
      </c>
      <c r="P127" s="78" t="n">
        <f aca="false">IFERROR(O127/D127,0)</f>
        <v>0</v>
      </c>
      <c r="Q127" s="78" t="n">
        <f aca="false">IFERROR(FLOOR(P127,100),0)</f>
        <v>0</v>
      </c>
      <c r="R127" s="78" t="n">
        <f aca="false">IFERROR(CEILING(800/(100*D127),1)*100,0)</f>
        <v>0</v>
      </c>
      <c r="S127" s="79"/>
      <c r="T127" s="77" t="n">
        <f aca="false">IFERROR(S127*D127,0)</f>
        <v>0</v>
      </c>
      <c r="U127" s="76" t="n">
        <f aca="false">IFERROR(T127/INDEX(账户总表!$B:$B,COUNTA(账户总表!$A:$A)),0)</f>
        <v>0</v>
      </c>
      <c r="V127" s="76" t="n">
        <f aca="false">IFERROR(INDEX(账户总表!$E:$E,COUNTA(账户总表!$A:$A))+U127,0)</f>
        <v>0.407056412146057</v>
      </c>
      <c r="W127" s="75" t="str">
        <f aca="false">IF($A127="","",IFERROR(IF(V127&lt;=INDEX(账户总表!$N:$N,COUNTA(账户总表!$A:$A)),"是","否"),"否"))</f>
        <v/>
      </c>
      <c r="X127" s="77" t="str">
        <f aca="false">IF($A127="","",MAX(F127*0.98,D127*0.92))</f>
        <v/>
      </c>
      <c r="Y127" s="72"/>
      <c r="Z127" s="75" t="str">
        <f aca="false">IF($A127="","",IFERROR(IF(AND(T127&gt;INDEX(账户总表!$C:$C,COUNTA(账户总表!$A:$A)),L127="是"),"是","否"),"否"))</f>
        <v/>
      </c>
      <c r="AA127" s="77" t="str">
        <f aca="false">IF($A127="","",IFERROR(IF(Z127="是",MAX(0,T127-INDEX(账户总表!$C:$C,COUNTA(账户总表!$A:$A)),IF(N127&gt;0,T127/N127-INDEX(账户总表!$B:$B,COUNTA(账户总表!$A:$A)),0)),0),0))</f>
        <v/>
      </c>
      <c r="AB127" s="77" t="str">
        <f aca="false">IF($A127="","",IF(AND(Z127="是",INDEX(账户总表!$U:$U,COUNTA(账户总表!$A:$A))="是"),IF(INDEX(账户总表!$L:$L,COUNTA(账户总表!$A:$A))&gt;=4,AA127*1.5,AA127),0))</f>
        <v/>
      </c>
      <c r="AC127" s="75" t="str">
        <f aca="false">IF($A127="","",IF(AND(L127="是",Q127&gt;=R127,S127&lt;=Q127,S127&gt;=R127,W127="是",X127&gt;0,M127="是",INDEX(账户总表!$M:$M,COUNTA(账户总表!$A:$A))&lt;=2,INDEX(账户总表!$V:$V,COUNTA(账户总表!$A:$A))="是",OR(T127&lt;=INDEX(账户总表!$C:$C,COUNTA(账户总表!$A:$A)),AND(Z127="是",INDEX(账户总表!$U:$U,COUNTA(账户总表!$A:$A))="是",AB127&gt;0))),"是","否"))</f>
        <v/>
      </c>
      <c r="AD127" s="75" t="str">
        <f aca="false">IF($A127="","",IF(L127&lt;&gt;"是","信号未确认",IF(X127&lt;=0,"止损价未定义",IF(Q127&lt;R127,"100股约束不满足",IF(S127&gt;Q127,"计划股数超单股上限",IF(S127&lt;R127,"计划股数低于最小门槛",IF(W127&lt;&gt;"是","总仓位超限",IF(M127&lt;&gt;"是","追价",IF(INDEX(账户总表!$M:$M,COUNTA(账户总表!$A:$A))&gt;2,"亏钱效应偏高",IF(INDEX(账户总表!$V:$V,COUNTA(账户总表!$A:$A))&lt;&gt;"是","账户不允许新开仓",IF(AND(T127&gt;INDEX(账户总表!$C:$C,COUNTA(账户总表!$A:$A)),INDEX(账户总表!$U:$U,COUNTA(账户总表!$A:$A))&lt;&gt;"是"),"现金不足且不允许转入",IF(AND(Z127="是",AB127&lt;=0),"转入金额未满足",""))))))))))))</f>
        <v/>
      </c>
      <c r="AE127" s="71"/>
      <c r="AF127" s="1" t="str">
        <f aca="false">IF($A127="","",D127*100)</f>
        <v/>
      </c>
      <c r="AG127" s="1" t="str">
        <f aca="false">IF($A127="","",IFERROR(AF127/INDEX(账户总表!$B:$B,COUNTA(账户总表!$A:$A)),0))</f>
        <v/>
      </c>
      <c r="AH127" s="1" t="str">
        <f aca="false">IF($A127="","",IFERROR(INDEX(账户总表!$B:$B,COUNTA(账户总表!$A:$A))*INDEX(账户总表!$O:$O,COUNTA(账户总表!$A:$A)),0))</f>
        <v/>
      </c>
      <c r="AI127" s="1" t="str">
        <f aca="false">IF($A127="","",IF(AF127&gt;AH127,"超限","合规"))</f>
        <v/>
      </c>
      <c r="AJ127" s="1" t="str">
        <f aca="false">IF($A127="","",IFERROR(AF127/INDEX(账户总表!$O:$O,COUNTA(账户总表!$A:$A)),0))</f>
        <v/>
      </c>
      <c r="AK127" s="1" t="str">
        <f aca="false">IF($A127="","",IFERROR(MAX(0,AJ127-INDEX(账户总表!$B:$B,COUNTA(账户总表!$A:$A)),AF127-INDEX(账户总表!$C:$C,COUNTA(账户总表!$A:$A))),0))</f>
        <v/>
      </c>
      <c r="AL127" s="1" t="str">
        <f aca="false">IF($A127="","",IF(COUNTIF(持仓表!$C$2:$C$201,C127)&gt;0,"已有","新标的"))</f>
        <v/>
      </c>
      <c r="AM127" s="1" t="str">
        <f aca="false">IF($A127="","",IFERROR(SUMIFS(持仓表!$N$2:$N$201,持仓表!$C$2:$C$201,C127,持仓表!$A$2:$A$201,$A127),0))</f>
        <v/>
      </c>
      <c r="AN127" s="1" t="str">
        <f aca="false">IF($A127="","",IFERROR(AM127+AF127/INDEX(账户总表!$B:$B,COUNTA(账户总表!$A:$A)),0))</f>
        <v/>
      </c>
      <c r="AO127" s="1" t="str">
        <f aca="false">IF($A127="","",IF(AN127&gt;INDEX(账户总表!$O:$O,COUNTA(账户总表!$A:$A)),"超限","合规"))</f>
        <v/>
      </c>
      <c r="AP127" s="1" t="str">
        <f aca="false">IF($A127="","",IF(AND(AL127="新标的",INDEX(账户总表!$R:$R,COUNTA(账户总表!$A:$A))&gt;=INDEX(账户总表!$S:$S,COUNTA(账户总表!$A:$A))),"新增受限","可通过"))</f>
        <v/>
      </c>
      <c r="AQ127" s="1" t="str">
        <f aca="false">IF($A127="","",IF(K127&lt;&gt;"核心池","非核心池",IF(OR(AI127="超限",AO127="超限",AP127="新增受限"),"不可加仓","可加仓")))</f>
        <v/>
      </c>
      <c r="AR127" s="1" t="str">
        <f aca="false">IF($A127="","",TRIM(IF(AI127="超限","1手超单股上限；","")&amp;IF(AO127="超限","买后仓位超限；","")&amp;IF(AP127="新增受限","有效持仓数超限；","")&amp;IF(AF127&gt;INDEX(账户总表!$C:$C,COUNTA(账户总表!$A:$A)),"现金不足；","")))</f>
        <v/>
      </c>
      <c r="AS127" s="1" t="str">
        <f aca="false">IF($A127="","",IFERROR(INDEX(候选池历史!$L:$L,MATCH(1,(候选池历史!$B:$B=C127)*(候选池历史!$A:$A=$A127),0)),0))</f>
        <v/>
      </c>
      <c r="AT127" s="1" t="str">
        <f aca="false">IF($A127="","",IF(AS127&gt;=3,"★信号强化",IF(K127="核心池","核心观察","")))</f>
        <v/>
      </c>
      <c r="AU127" s="1" t="str">
        <f aca="false">IF($A127="","",IF(AK127&gt;30000-INDEX(账户总表!$B:$B,COUNTA(账户总表!$A:$A)),"不适合婴儿阶段","可纳入幼儿路径"))</f>
        <v/>
      </c>
    </row>
    <row r="128" customFormat="false" ht="15" hidden="false" customHeight="true" outlineLevel="0" collapsed="false">
      <c r="A128" s="70"/>
      <c r="B128" s="71"/>
      <c r="C128" s="72"/>
      <c r="D128" s="73"/>
      <c r="E128" s="73"/>
      <c r="F128" s="73"/>
      <c r="G128" s="74"/>
      <c r="H128" s="72"/>
      <c r="I128" s="72"/>
      <c r="J128" s="71"/>
      <c r="K128" s="75" t="str">
        <f aca="false">IF($A128="","",IF(AND(G128&lt;45%,H128&gt;=0.9),"A",IF(AND(G128&lt;60%,H128&gt;0.8),"B","C")))</f>
        <v/>
      </c>
      <c r="L128" s="75" t="str">
        <f aca="false">IF($A128="","",IF(AND(G128&lt;60%,H128&gt;0.8,I128="True"),"是","否"))</f>
        <v/>
      </c>
      <c r="M128" s="75" t="str">
        <f aca="false">IF($A128="","",IF(AND(D128&gt;0,E128&gt;0,D128&lt;=E128*1.02),"是","否"))</f>
        <v/>
      </c>
      <c r="N128" s="76" t="n">
        <f aca="false">IFERROR(INDEX(账户总表!$O:$O,COUNTA(账户总表!$A:$A)),0)</f>
        <v>0.35</v>
      </c>
      <c r="O128" s="77" t="n">
        <f aca="false">IFERROR(INDEX(账户总表!$B:$B,COUNTA(账户总表!$A:$A))*N128,0)</f>
        <v>7294.812</v>
      </c>
      <c r="P128" s="78" t="n">
        <f aca="false">IFERROR(O128/D128,0)</f>
        <v>0</v>
      </c>
      <c r="Q128" s="78" t="n">
        <f aca="false">IFERROR(FLOOR(P128,100),0)</f>
        <v>0</v>
      </c>
      <c r="R128" s="78" t="n">
        <f aca="false">IFERROR(CEILING(800/(100*D128),1)*100,0)</f>
        <v>0</v>
      </c>
      <c r="S128" s="79"/>
      <c r="T128" s="77" t="n">
        <f aca="false">IFERROR(S128*D128,0)</f>
        <v>0</v>
      </c>
      <c r="U128" s="76" t="n">
        <f aca="false">IFERROR(T128/INDEX(账户总表!$B:$B,COUNTA(账户总表!$A:$A)),0)</f>
        <v>0</v>
      </c>
      <c r="V128" s="76" t="n">
        <f aca="false">IFERROR(INDEX(账户总表!$E:$E,COUNTA(账户总表!$A:$A))+U128,0)</f>
        <v>0.407056412146057</v>
      </c>
      <c r="W128" s="75" t="str">
        <f aca="false">IF($A128="","",IFERROR(IF(V128&lt;=INDEX(账户总表!$N:$N,COUNTA(账户总表!$A:$A)),"是","否"),"否"))</f>
        <v/>
      </c>
      <c r="X128" s="77" t="str">
        <f aca="false">IF($A128="","",MAX(F128*0.98,D128*0.92))</f>
        <v/>
      </c>
      <c r="Y128" s="72"/>
      <c r="Z128" s="75" t="str">
        <f aca="false">IF($A128="","",IFERROR(IF(AND(T128&gt;INDEX(账户总表!$C:$C,COUNTA(账户总表!$A:$A)),L128="是"),"是","否"),"否"))</f>
        <v/>
      </c>
      <c r="AA128" s="77" t="str">
        <f aca="false">IF($A128="","",IFERROR(IF(Z128="是",MAX(0,T128-INDEX(账户总表!$C:$C,COUNTA(账户总表!$A:$A)),IF(N128&gt;0,T128/N128-INDEX(账户总表!$B:$B,COUNTA(账户总表!$A:$A)),0)),0),0))</f>
        <v/>
      </c>
      <c r="AB128" s="77" t="str">
        <f aca="false">IF($A128="","",IF(AND(Z128="是",INDEX(账户总表!$U:$U,COUNTA(账户总表!$A:$A))="是"),IF(INDEX(账户总表!$L:$L,COUNTA(账户总表!$A:$A))&gt;=4,AA128*1.5,AA128),0))</f>
        <v/>
      </c>
      <c r="AC128" s="75" t="str">
        <f aca="false">IF($A128="","",IF(AND(L128="是",Q128&gt;=R128,S128&lt;=Q128,S128&gt;=R128,W128="是",X128&gt;0,M128="是",INDEX(账户总表!$M:$M,COUNTA(账户总表!$A:$A))&lt;=2,INDEX(账户总表!$V:$V,COUNTA(账户总表!$A:$A))="是",OR(T128&lt;=INDEX(账户总表!$C:$C,COUNTA(账户总表!$A:$A)),AND(Z128="是",INDEX(账户总表!$U:$U,COUNTA(账户总表!$A:$A))="是",AB128&gt;0))),"是","否"))</f>
        <v/>
      </c>
      <c r="AD128" s="75" t="str">
        <f aca="false">IF($A128="","",IF(L128&lt;&gt;"是","信号未确认",IF(X128&lt;=0,"止损价未定义",IF(Q128&lt;R128,"100股约束不满足",IF(S128&gt;Q128,"计划股数超单股上限",IF(S128&lt;R128,"计划股数低于最小门槛",IF(W128&lt;&gt;"是","总仓位超限",IF(M128&lt;&gt;"是","追价",IF(INDEX(账户总表!$M:$M,COUNTA(账户总表!$A:$A))&gt;2,"亏钱效应偏高",IF(INDEX(账户总表!$V:$V,COUNTA(账户总表!$A:$A))&lt;&gt;"是","账户不允许新开仓",IF(AND(T128&gt;INDEX(账户总表!$C:$C,COUNTA(账户总表!$A:$A)),INDEX(账户总表!$U:$U,COUNTA(账户总表!$A:$A))&lt;&gt;"是"),"现金不足且不允许转入",IF(AND(Z128="是",AB128&lt;=0),"转入金额未满足",""))))))))))))</f>
        <v/>
      </c>
      <c r="AE128" s="71"/>
      <c r="AF128" s="1" t="str">
        <f aca="false">IF($A128="","",D128*100)</f>
        <v/>
      </c>
      <c r="AG128" s="1" t="str">
        <f aca="false">IF($A128="","",IFERROR(AF128/INDEX(账户总表!$B:$B,COUNTA(账户总表!$A:$A)),0))</f>
        <v/>
      </c>
      <c r="AH128" s="1" t="str">
        <f aca="false">IF($A128="","",IFERROR(INDEX(账户总表!$B:$B,COUNTA(账户总表!$A:$A))*INDEX(账户总表!$O:$O,COUNTA(账户总表!$A:$A)),0))</f>
        <v/>
      </c>
      <c r="AI128" s="1" t="str">
        <f aca="false">IF($A128="","",IF(AF128&gt;AH128,"超限","合规"))</f>
        <v/>
      </c>
      <c r="AJ128" s="1" t="str">
        <f aca="false">IF($A128="","",IFERROR(AF128/INDEX(账户总表!$O:$O,COUNTA(账户总表!$A:$A)),0))</f>
        <v/>
      </c>
      <c r="AK128" s="1" t="str">
        <f aca="false">IF($A128="","",IFERROR(MAX(0,AJ128-INDEX(账户总表!$B:$B,COUNTA(账户总表!$A:$A)),AF128-INDEX(账户总表!$C:$C,COUNTA(账户总表!$A:$A))),0))</f>
        <v/>
      </c>
      <c r="AL128" s="1" t="str">
        <f aca="false">IF($A128="","",IF(COUNTIF(持仓表!$C$2:$C$201,C128)&gt;0,"已有","新标的"))</f>
        <v/>
      </c>
      <c r="AM128" s="1" t="str">
        <f aca="false">IF($A128="","",IFERROR(SUMIFS(持仓表!$N$2:$N$201,持仓表!$C$2:$C$201,C128,持仓表!$A$2:$A$201,$A128),0))</f>
        <v/>
      </c>
      <c r="AN128" s="1" t="str">
        <f aca="false">IF($A128="","",IFERROR(AM128+AF128/INDEX(账户总表!$B:$B,COUNTA(账户总表!$A:$A)),0))</f>
        <v/>
      </c>
      <c r="AO128" s="1" t="str">
        <f aca="false">IF($A128="","",IF(AN128&gt;INDEX(账户总表!$O:$O,COUNTA(账户总表!$A:$A)),"超限","合规"))</f>
        <v/>
      </c>
      <c r="AP128" s="1" t="str">
        <f aca="false">IF($A128="","",IF(AND(AL128="新标的",INDEX(账户总表!$R:$R,COUNTA(账户总表!$A:$A))&gt;=INDEX(账户总表!$S:$S,COUNTA(账户总表!$A:$A))),"新增受限","可通过"))</f>
        <v/>
      </c>
      <c r="AQ128" s="1" t="str">
        <f aca="false">IF($A128="","",IF(K128&lt;&gt;"核心池","非核心池",IF(OR(AI128="超限",AO128="超限",AP128="新增受限"),"不可加仓","可加仓")))</f>
        <v/>
      </c>
      <c r="AR128" s="1" t="str">
        <f aca="false">IF($A128="","",TRIM(IF(AI128="超限","1手超单股上限；","")&amp;IF(AO128="超限","买后仓位超限；","")&amp;IF(AP128="新增受限","有效持仓数超限；","")&amp;IF(AF128&gt;INDEX(账户总表!$C:$C,COUNTA(账户总表!$A:$A)),"现金不足；","")))</f>
        <v/>
      </c>
      <c r="AS128" s="1" t="str">
        <f aca="false">IF($A128="","",IFERROR(INDEX(候选池历史!$L:$L,MATCH(1,(候选池历史!$B:$B=C128)*(候选池历史!$A:$A=$A128),0)),0))</f>
        <v/>
      </c>
      <c r="AT128" s="1" t="str">
        <f aca="false">IF($A128="","",IF(AS128&gt;=3,"★信号强化",IF(K128="核心池","核心观察","")))</f>
        <v/>
      </c>
      <c r="AU128" s="1" t="str">
        <f aca="false">IF($A128="","",IF(AK128&gt;30000-INDEX(账户总表!$B:$B,COUNTA(账户总表!$A:$A)),"不适合婴儿阶段","可纳入幼儿路径"))</f>
        <v/>
      </c>
    </row>
    <row r="129" customFormat="false" ht="15" hidden="false" customHeight="true" outlineLevel="0" collapsed="false">
      <c r="A129" s="70"/>
      <c r="B129" s="71"/>
      <c r="C129" s="72"/>
      <c r="D129" s="73"/>
      <c r="E129" s="73"/>
      <c r="F129" s="73"/>
      <c r="G129" s="74"/>
      <c r="H129" s="72"/>
      <c r="I129" s="72"/>
      <c r="J129" s="71"/>
      <c r="K129" s="75" t="str">
        <f aca="false">IF($A129="","",IF(AND(G129&lt;45%,H129&gt;=0.9),"A",IF(AND(G129&lt;60%,H129&gt;0.8),"B","C")))</f>
        <v/>
      </c>
      <c r="L129" s="75" t="str">
        <f aca="false">IF($A129="","",IF(AND(G129&lt;60%,H129&gt;0.8,I129="True"),"是","否"))</f>
        <v/>
      </c>
      <c r="M129" s="75" t="str">
        <f aca="false">IF($A129="","",IF(AND(D129&gt;0,E129&gt;0,D129&lt;=E129*1.02),"是","否"))</f>
        <v/>
      </c>
      <c r="N129" s="76" t="n">
        <f aca="false">IFERROR(INDEX(账户总表!$O:$O,COUNTA(账户总表!$A:$A)),0)</f>
        <v>0.35</v>
      </c>
      <c r="O129" s="77" t="n">
        <f aca="false">IFERROR(INDEX(账户总表!$B:$B,COUNTA(账户总表!$A:$A))*N129,0)</f>
        <v>7294.812</v>
      </c>
      <c r="P129" s="78" t="n">
        <f aca="false">IFERROR(O129/D129,0)</f>
        <v>0</v>
      </c>
      <c r="Q129" s="78" t="n">
        <f aca="false">IFERROR(FLOOR(P129,100),0)</f>
        <v>0</v>
      </c>
      <c r="R129" s="78" t="n">
        <f aca="false">IFERROR(CEILING(800/(100*D129),1)*100,0)</f>
        <v>0</v>
      </c>
      <c r="S129" s="79"/>
      <c r="T129" s="77" t="n">
        <f aca="false">IFERROR(S129*D129,0)</f>
        <v>0</v>
      </c>
      <c r="U129" s="76" t="n">
        <f aca="false">IFERROR(T129/INDEX(账户总表!$B:$B,COUNTA(账户总表!$A:$A)),0)</f>
        <v>0</v>
      </c>
      <c r="V129" s="76" t="n">
        <f aca="false">IFERROR(INDEX(账户总表!$E:$E,COUNTA(账户总表!$A:$A))+U129,0)</f>
        <v>0.407056412146057</v>
      </c>
      <c r="W129" s="75" t="str">
        <f aca="false">IF($A129="","",IFERROR(IF(V129&lt;=INDEX(账户总表!$N:$N,COUNTA(账户总表!$A:$A)),"是","否"),"否"))</f>
        <v/>
      </c>
      <c r="X129" s="77" t="str">
        <f aca="false">IF($A129="","",MAX(F129*0.98,D129*0.92))</f>
        <v/>
      </c>
      <c r="Y129" s="72"/>
      <c r="Z129" s="75" t="str">
        <f aca="false">IF($A129="","",IFERROR(IF(AND(T129&gt;INDEX(账户总表!$C:$C,COUNTA(账户总表!$A:$A)),L129="是"),"是","否"),"否"))</f>
        <v/>
      </c>
      <c r="AA129" s="77" t="str">
        <f aca="false">IF($A129="","",IFERROR(IF(Z129="是",MAX(0,T129-INDEX(账户总表!$C:$C,COUNTA(账户总表!$A:$A)),IF(N129&gt;0,T129/N129-INDEX(账户总表!$B:$B,COUNTA(账户总表!$A:$A)),0)),0),0))</f>
        <v/>
      </c>
      <c r="AB129" s="77" t="str">
        <f aca="false">IF($A129="","",IF(AND(Z129="是",INDEX(账户总表!$U:$U,COUNTA(账户总表!$A:$A))="是"),IF(INDEX(账户总表!$L:$L,COUNTA(账户总表!$A:$A))&gt;=4,AA129*1.5,AA129),0))</f>
        <v/>
      </c>
      <c r="AC129" s="75" t="str">
        <f aca="false">IF($A129="","",IF(AND(L129="是",Q129&gt;=R129,S129&lt;=Q129,S129&gt;=R129,W129="是",X129&gt;0,M129="是",INDEX(账户总表!$M:$M,COUNTA(账户总表!$A:$A))&lt;=2,INDEX(账户总表!$V:$V,COUNTA(账户总表!$A:$A))="是",OR(T129&lt;=INDEX(账户总表!$C:$C,COUNTA(账户总表!$A:$A)),AND(Z129="是",INDEX(账户总表!$U:$U,COUNTA(账户总表!$A:$A))="是",AB129&gt;0))),"是","否"))</f>
        <v/>
      </c>
      <c r="AD129" s="75" t="str">
        <f aca="false">IF($A129="","",IF(L129&lt;&gt;"是","信号未确认",IF(X129&lt;=0,"止损价未定义",IF(Q129&lt;R129,"100股约束不满足",IF(S129&gt;Q129,"计划股数超单股上限",IF(S129&lt;R129,"计划股数低于最小门槛",IF(W129&lt;&gt;"是","总仓位超限",IF(M129&lt;&gt;"是","追价",IF(INDEX(账户总表!$M:$M,COUNTA(账户总表!$A:$A))&gt;2,"亏钱效应偏高",IF(INDEX(账户总表!$V:$V,COUNTA(账户总表!$A:$A))&lt;&gt;"是","账户不允许新开仓",IF(AND(T129&gt;INDEX(账户总表!$C:$C,COUNTA(账户总表!$A:$A)),INDEX(账户总表!$U:$U,COUNTA(账户总表!$A:$A))&lt;&gt;"是"),"现金不足且不允许转入",IF(AND(Z129="是",AB129&lt;=0),"转入金额未满足",""))))))))))))</f>
        <v/>
      </c>
      <c r="AE129" s="71"/>
      <c r="AF129" s="1" t="str">
        <f aca="false">IF($A129="","",D129*100)</f>
        <v/>
      </c>
      <c r="AG129" s="1" t="str">
        <f aca="false">IF($A129="","",IFERROR(AF129/INDEX(账户总表!$B:$B,COUNTA(账户总表!$A:$A)),0))</f>
        <v/>
      </c>
      <c r="AH129" s="1" t="str">
        <f aca="false">IF($A129="","",IFERROR(INDEX(账户总表!$B:$B,COUNTA(账户总表!$A:$A))*INDEX(账户总表!$O:$O,COUNTA(账户总表!$A:$A)),0))</f>
        <v/>
      </c>
      <c r="AI129" s="1" t="str">
        <f aca="false">IF($A129="","",IF(AF129&gt;AH129,"超限","合规"))</f>
        <v/>
      </c>
      <c r="AJ129" s="1" t="str">
        <f aca="false">IF($A129="","",IFERROR(AF129/INDEX(账户总表!$O:$O,COUNTA(账户总表!$A:$A)),0))</f>
        <v/>
      </c>
      <c r="AK129" s="1" t="str">
        <f aca="false">IF($A129="","",IFERROR(MAX(0,AJ129-INDEX(账户总表!$B:$B,COUNTA(账户总表!$A:$A)),AF129-INDEX(账户总表!$C:$C,COUNTA(账户总表!$A:$A))),0))</f>
        <v/>
      </c>
      <c r="AL129" s="1" t="str">
        <f aca="false">IF($A129="","",IF(COUNTIF(持仓表!$C$2:$C$201,C129)&gt;0,"已有","新标的"))</f>
        <v/>
      </c>
      <c r="AM129" s="1" t="str">
        <f aca="false">IF($A129="","",IFERROR(SUMIFS(持仓表!$N$2:$N$201,持仓表!$C$2:$C$201,C129,持仓表!$A$2:$A$201,$A129),0))</f>
        <v/>
      </c>
      <c r="AN129" s="1" t="str">
        <f aca="false">IF($A129="","",IFERROR(AM129+AF129/INDEX(账户总表!$B:$B,COUNTA(账户总表!$A:$A)),0))</f>
        <v/>
      </c>
      <c r="AO129" s="1" t="str">
        <f aca="false">IF($A129="","",IF(AN129&gt;INDEX(账户总表!$O:$O,COUNTA(账户总表!$A:$A)),"超限","合规"))</f>
        <v/>
      </c>
      <c r="AP129" s="1" t="str">
        <f aca="false">IF($A129="","",IF(AND(AL129="新标的",INDEX(账户总表!$R:$R,COUNTA(账户总表!$A:$A))&gt;=INDEX(账户总表!$S:$S,COUNTA(账户总表!$A:$A))),"新增受限","可通过"))</f>
        <v/>
      </c>
      <c r="AQ129" s="1" t="str">
        <f aca="false">IF($A129="","",IF(K129&lt;&gt;"核心池","非核心池",IF(OR(AI129="超限",AO129="超限",AP129="新增受限"),"不可加仓","可加仓")))</f>
        <v/>
      </c>
      <c r="AR129" s="1" t="str">
        <f aca="false">IF($A129="","",TRIM(IF(AI129="超限","1手超单股上限；","")&amp;IF(AO129="超限","买后仓位超限；","")&amp;IF(AP129="新增受限","有效持仓数超限；","")&amp;IF(AF129&gt;INDEX(账户总表!$C:$C,COUNTA(账户总表!$A:$A)),"现金不足；","")))</f>
        <v/>
      </c>
      <c r="AS129" s="1" t="str">
        <f aca="false">IF($A129="","",IFERROR(INDEX(候选池历史!$L:$L,MATCH(1,(候选池历史!$B:$B=C129)*(候选池历史!$A:$A=$A129),0)),0))</f>
        <v/>
      </c>
      <c r="AT129" s="1" t="str">
        <f aca="false">IF($A129="","",IF(AS129&gt;=3,"★信号强化",IF(K129="核心池","核心观察","")))</f>
        <v/>
      </c>
      <c r="AU129" s="1" t="str">
        <f aca="false">IF($A129="","",IF(AK129&gt;30000-INDEX(账户总表!$B:$B,COUNTA(账户总表!$A:$A)),"不适合婴儿阶段","可纳入幼儿路径"))</f>
        <v/>
      </c>
    </row>
    <row r="130" customFormat="false" ht="15" hidden="false" customHeight="true" outlineLevel="0" collapsed="false">
      <c r="A130" s="70"/>
      <c r="B130" s="71"/>
      <c r="C130" s="72"/>
      <c r="D130" s="73"/>
      <c r="E130" s="73"/>
      <c r="F130" s="73"/>
      <c r="G130" s="74"/>
      <c r="H130" s="72"/>
      <c r="I130" s="72"/>
      <c r="J130" s="71"/>
      <c r="K130" s="75" t="str">
        <f aca="false">IF($A130="","",IF(AND(G130&lt;45%,H130&gt;=0.9),"A",IF(AND(G130&lt;60%,H130&gt;0.8),"B","C")))</f>
        <v/>
      </c>
      <c r="L130" s="75" t="str">
        <f aca="false">IF($A130="","",IF(AND(G130&lt;60%,H130&gt;0.8,I130="True"),"是","否"))</f>
        <v/>
      </c>
      <c r="M130" s="75" t="str">
        <f aca="false">IF($A130="","",IF(AND(D130&gt;0,E130&gt;0,D130&lt;=E130*1.02),"是","否"))</f>
        <v/>
      </c>
      <c r="N130" s="76" t="n">
        <f aca="false">IFERROR(INDEX(账户总表!$O:$O,COUNTA(账户总表!$A:$A)),0)</f>
        <v>0.35</v>
      </c>
      <c r="O130" s="77" t="n">
        <f aca="false">IFERROR(INDEX(账户总表!$B:$B,COUNTA(账户总表!$A:$A))*N130,0)</f>
        <v>7294.812</v>
      </c>
      <c r="P130" s="78" t="n">
        <f aca="false">IFERROR(O130/D130,0)</f>
        <v>0</v>
      </c>
      <c r="Q130" s="78" t="n">
        <f aca="false">IFERROR(FLOOR(P130,100),0)</f>
        <v>0</v>
      </c>
      <c r="R130" s="78" t="n">
        <f aca="false">IFERROR(CEILING(800/(100*D130),1)*100,0)</f>
        <v>0</v>
      </c>
      <c r="S130" s="79"/>
      <c r="T130" s="77" t="n">
        <f aca="false">IFERROR(S130*D130,0)</f>
        <v>0</v>
      </c>
      <c r="U130" s="76" t="n">
        <f aca="false">IFERROR(T130/INDEX(账户总表!$B:$B,COUNTA(账户总表!$A:$A)),0)</f>
        <v>0</v>
      </c>
      <c r="V130" s="76" t="n">
        <f aca="false">IFERROR(INDEX(账户总表!$E:$E,COUNTA(账户总表!$A:$A))+U130,0)</f>
        <v>0.407056412146057</v>
      </c>
      <c r="W130" s="75" t="str">
        <f aca="false">IF($A130="","",IFERROR(IF(V130&lt;=INDEX(账户总表!$N:$N,COUNTA(账户总表!$A:$A)),"是","否"),"否"))</f>
        <v/>
      </c>
      <c r="X130" s="77" t="str">
        <f aca="false">IF($A130="","",MAX(F130*0.98,D130*0.92))</f>
        <v/>
      </c>
      <c r="Y130" s="72"/>
      <c r="Z130" s="75" t="str">
        <f aca="false">IF($A130="","",IFERROR(IF(AND(T130&gt;INDEX(账户总表!$C:$C,COUNTA(账户总表!$A:$A)),L130="是"),"是","否"),"否"))</f>
        <v/>
      </c>
      <c r="AA130" s="77" t="str">
        <f aca="false">IF($A130="","",IFERROR(IF(Z130="是",MAX(0,T130-INDEX(账户总表!$C:$C,COUNTA(账户总表!$A:$A)),IF(N130&gt;0,T130/N130-INDEX(账户总表!$B:$B,COUNTA(账户总表!$A:$A)),0)),0),0))</f>
        <v/>
      </c>
      <c r="AB130" s="77" t="str">
        <f aca="false">IF($A130="","",IF(AND(Z130="是",INDEX(账户总表!$U:$U,COUNTA(账户总表!$A:$A))="是"),IF(INDEX(账户总表!$L:$L,COUNTA(账户总表!$A:$A))&gt;=4,AA130*1.5,AA130),0))</f>
        <v/>
      </c>
      <c r="AC130" s="75" t="str">
        <f aca="false">IF($A130="","",IF(AND(L130="是",Q130&gt;=R130,S130&lt;=Q130,S130&gt;=R130,W130="是",X130&gt;0,M130="是",INDEX(账户总表!$M:$M,COUNTA(账户总表!$A:$A))&lt;=2,INDEX(账户总表!$V:$V,COUNTA(账户总表!$A:$A))="是",OR(T130&lt;=INDEX(账户总表!$C:$C,COUNTA(账户总表!$A:$A)),AND(Z130="是",INDEX(账户总表!$U:$U,COUNTA(账户总表!$A:$A))="是",AB130&gt;0))),"是","否"))</f>
        <v/>
      </c>
      <c r="AD130" s="75" t="str">
        <f aca="false">IF($A130="","",IF(L130&lt;&gt;"是","信号未确认",IF(X130&lt;=0,"止损价未定义",IF(Q130&lt;R130,"100股约束不满足",IF(S130&gt;Q130,"计划股数超单股上限",IF(S130&lt;R130,"计划股数低于最小门槛",IF(W130&lt;&gt;"是","总仓位超限",IF(M130&lt;&gt;"是","追价",IF(INDEX(账户总表!$M:$M,COUNTA(账户总表!$A:$A))&gt;2,"亏钱效应偏高",IF(INDEX(账户总表!$V:$V,COUNTA(账户总表!$A:$A))&lt;&gt;"是","账户不允许新开仓",IF(AND(T130&gt;INDEX(账户总表!$C:$C,COUNTA(账户总表!$A:$A)),INDEX(账户总表!$U:$U,COUNTA(账户总表!$A:$A))&lt;&gt;"是"),"现金不足且不允许转入",IF(AND(Z130="是",AB130&lt;=0),"转入金额未满足",""))))))))))))</f>
        <v/>
      </c>
      <c r="AE130" s="71"/>
      <c r="AF130" s="1" t="str">
        <f aca="false">IF($A130="","",D130*100)</f>
        <v/>
      </c>
      <c r="AG130" s="1" t="str">
        <f aca="false">IF($A130="","",IFERROR(AF130/INDEX(账户总表!$B:$B,COUNTA(账户总表!$A:$A)),0))</f>
        <v/>
      </c>
      <c r="AH130" s="1" t="str">
        <f aca="false">IF($A130="","",IFERROR(INDEX(账户总表!$B:$B,COUNTA(账户总表!$A:$A))*INDEX(账户总表!$O:$O,COUNTA(账户总表!$A:$A)),0))</f>
        <v/>
      </c>
      <c r="AI130" s="1" t="str">
        <f aca="false">IF($A130="","",IF(AF130&gt;AH130,"超限","合规"))</f>
        <v/>
      </c>
      <c r="AJ130" s="1" t="str">
        <f aca="false">IF($A130="","",IFERROR(AF130/INDEX(账户总表!$O:$O,COUNTA(账户总表!$A:$A)),0))</f>
        <v/>
      </c>
      <c r="AK130" s="1" t="str">
        <f aca="false">IF($A130="","",IFERROR(MAX(0,AJ130-INDEX(账户总表!$B:$B,COUNTA(账户总表!$A:$A)),AF130-INDEX(账户总表!$C:$C,COUNTA(账户总表!$A:$A))),0))</f>
        <v/>
      </c>
      <c r="AL130" s="1" t="str">
        <f aca="false">IF($A130="","",IF(COUNTIF(持仓表!$C$2:$C$201,C130)&gt;0,"已有","新标的"))</f>
        <v/>
      </c>
      <c r="AM130" s="1" t="str">
        <f aca="false">IF($A130="","",IFERROR(SUMIFS(持仓表!$N$2:$N$201,持仓表!$C$2:$C$201,C130,持仓表!$A$2:$A$201,$A130),0))</f>
        <v/>
      </c>
      <c r="AN130" s="1" t="str">
        <f aca="false">IF($A130="","",IFERROR(AM130+AF130/INDEX(账户总表!$B:$B,COUNTA(账户总表!$A:$A)),0))</f>
        <v/>
      </c>
      <c r="AO130" s="1" t="str">
        <f aca="false">IF($A130="","",IF(AN130&gt;INDEX(账户总表!$O:$O,COUNTA(账户总表!$A:$A)),"超限","合规"))</f>
        <v/>
      </c>
      <c r="AP130" s="1" t="str">
        <f aca="false">IF($A130="","",IF(AND(AL130="新标的",INDEX(账户总表!$R:$R,COUNTA(账户总表!$A:$A))&gt;=INDEX(账户总表!$S:$S,COUNTA(账户总表!$A:$A))),"新增受限","可通过"))</f>
        <v/>
      </c>
      <c r="AQ130" s="1" t="str">
        <f aca="false">IF($A130="","",IF(K130&lt;&gt;"核心池","非核心池",IF(OR(AI130="超限",AO130="超限",AP130="新增受限"),"不可加仓","可加仓")))</f>
        <v/>
      </c>
      <c r="AR130" s="1" t="str">
        <f aca="false">IF($A130="","",TRIM(IF(AI130="超限","1手超单股上限；","")&amp;IF(AO130="超限","买后仓位超限；","")&amp;IF(AP130="新增受限","有效持仓数超限；","")&amp;IF(AF130&gt;INDEX(账户总表!$C:$C,COUNTA(账户总表!$A:$A)),"现金不足；","")))</f>
        <v/>
      </c>
      <c r="AS130" s="1" t="str">
        <f aca="false">IF($A130="","",IFERROR(INDEX(候选池历史!$L:$L,MATCH(1,(候选池历史!$B:$B=C130)*(候选池历史!$A:$A=$A130),0)),0))</f>
        <v/>
      </c>
      <c r="AT130" s="1" t="str">
        <f aca="false">IF($A130="","",IF(AS130&gt;=3,"★信号强化",IF(K130="核心池","核心观察","")))</f>
        <v/>
      </c>
      <c r="AU130" s="1" t="str">
        <f aca="false">IF($A130="","",IF(AK130&gt;30000-INDEX(账户总表!$B:$B,COUNTA(账户总表!$A:$A)),"不适合婴儿阶段","可纳入幼儿路径"))</f>
        <v/>
      </c>
    </row>
    <row r="131" customFormat="false" ht="15" hidden="false" customHeight="true" outlineLevel="0" collapsed="false">
      <c r="A131" s="70"/>
      <c r="B131" s="71"/>
      <c r="C131" s="72"/>
      <c r="D131" s="73"/>
      <c r="E131" s="73"/>
      <c r="F131" s="73"/>
      <c r="G131" s="74"/>
      <c r="H131" s="72"/>
      <c r="I131" s="72"/>
      <c r="J131" s="71"/>
      <c r="K131" s="75" t="str">
        <f aca="false">IF($A131="","",IF(AND(G131&lt;45%,H131&gt;=0.9),"A",IF(AND(G131&lt;60%,H131&gt;0.8),"B","C")))</f>
        <v/>
      </c>
      <c r="L131" s="75" t="str">
        <f aca="false">IF($A131="","",IF(AND(G131&lt;60%,H131&gt;0.8,I131="True"),"是","否"))</f>
        <v/>
      </c>
      <c r="M131" s="75" t="str">
        <f aca="false">IF($A131="","",IF(AND(D131&gt;0,E131&gt;0,D131&lt;=E131*1.02),"是","否"))</f>
        <v/>
      </c>
      <c r="N131" s="76" t="n">
        <f aca="false">IFERROR(INDEX(账户总表!$O:$O,COUNTA(账户总表!$A:$A)),0)</f>
        <v>0.35</v>
      </c>
      <c r="O131" s="77" t="n">
        <f aca="false">IFERROR(INDEX(账户总表!$B:$B,COUNTA(账户总表!$A:$A))*N131,0)</f>
        <v>7294.812</v>
      </c>
      <c r="P131" s="78" t="n">
        <f aca="false">IFERROR(O131/D131,0)</f>
        <v>0</v>
      </c>
      <c r="Q131" s="78" t="n">
        <f aca="false">IFERROR(FLOOR(P131,100),0)</f>
        <v>0</v>
      </c>
      <c r="R131" s="78" t="n">
        <f aca="false">IFERROR(CEILING(800/(100*D131),1)*100,0)</f>
        <v>0</v>
      </c>
      <c r="S131" s="79"/>
      <c r="T131" s="77" t="n">
        <f aca="false">IFERROR(S131*D131,0)</f>
        <v>0</v>
      </c>
      <c r="U131" s="76" t="n">
        <f aca="false">IFERROR(T131/INDEX(账户总表!$B:$B,COUNTA(账户总表!$A:$A)),0)</f>
        <v>0</v>
      </c>
      <c r="V131" s="76" t="n">
        <f aca="false">IFERROR(INDEX(账户总表!$E:$E,COUNTA(账户总表!$A:$A))+U131,0)</f>
        <v>0.407056412146057</v>
      </c>
      <c r="W131" s="75" t="str">
        <f aca="false">IF($A131="","",IFERROR(IF(V131&lt;=INDEX(账户总表!$N:$N,COUNTA(账户总表!$A:$A)),"是","否"),"否"))</f>
        <v/>
      </c>
      <c r="X131" s="77" t="str">
        <f aca="false">IF($A131="","",MAX(F131*0.98,D131*0.92))</f>
        <v/>
      </c>
      <c r="Y131" s="72"/>
      <c r="Z131" s="75" t="str">
        <f aca="false">IF($A131="","",IFERROR(IF(AND(T131&gt;INDEX(账户总表!$C:$C,COUNTA(账户总表!$A:$A)),L131="是"),"是","否"),"否"))</f>
        <v/>
      </c>
      <c r="AA131" s="77" t="str">
        <f aca="false">IF($A131="","",IFERROR(IF(Z131="是",MAX(0,T131-INDEX(账户总表!$C:$C,COUNTA(账户总表!$A:$A)),IF(N131&gt;0,T131/N131-INDEX(账户总表!$B:$B,COUNTA(账户总表!$A:$A)),0)),0),0))</f>
        <v/>
      </c>
      <c r="AB131" s="77" t="str">
        <f aca="false">IF($A131="","",IF(AND(Z131="是",INDEX(账户总表!$U:$U,COUNTA(账户总表!$A:$A))="是"),IF(INDEX(账户总表!$L:$L,COUNTA(账户总表!$A:$A))&gt;=4,AA131*1.5,AA131),0))</f>
        <v/>
      </c>
      <c r="AC131" s="75" t="str">
        <f aca="false">IF($A131="","",IF(AND(L131="是",Q131&gt;=R131,S131&lt;=Q131,S131&gt;=R131,W131="是",X131&gt;0,M131="是",INDEX(账户总表!$M:$M,COUNTA(账户总表!$A:$A))&lt;=2,INDEX(账户总表!$V:$V,COUNTA(账户总表!$A:$A))="是",OR(T131&lt;=INDEX(账户总表!$C:$C,COUNTA(账户总表!$A:$A)),AND(Z131="是",INDEX(账户总表!$U:$U,COUNTA(账户总表!$A:$A))="是",AB131&gt;0))),"是","否"))</f>
        <v/>
      </c>
      <c r="AD131" s="75" t="str">
        <f aca="false">IF($A131="","",IF(L131&lt;&gt;"是","信号未确认",IF(X131&lt;=0,"止损价未定义",IF(Q131&lt;R131,"100股约束不满足",IF(S131&gt;Q131,"计划股数超单股上限",IF(S131&lt;R131,"计划股数低于最小门槛",IF(W131&lt;&gt;"是","总仓位超限",IF(M131&lt;&gt;"是","追价",IF(INDEX(账户总表!$M:$M,COUNTA(账户总表!$A:$A))&gt;2,"亏钱效应偏高",IF(INDEX(账户总表!$V:$V,COUNTA(账户总表!$A:$A))&lt;&gt;"是","账户不允许新开仓",IF(AND(T131&gt;INDEX(账户总表!$C:$C,COUNTA(账户总表!$A:$A)),INDEX(账户总表!$U:$U,COUNTA(账户总表!$A:$A))&lt;&gt;"是"),"现金不足且不允许转入",IF(AND(Z131="是",AB131&lt;=0),"转入金额未满足",""))))))))))))</f>
        <v/>
      </c>
      <c r="AE131" s="71"/>
      <c r="AF131" s="1" t="str">
        <f aca="false">IF($A131="","",D131*100)</f>
        <v/>
      </c>
      <c r="AG131" s="1" t="str">
        <f aca="false">IF($A131="","",IFERROR(AF131/INDEX(账户总表!$B:$B,COUNTA(账户总表!$A:$A)),0))</f>
        <v/>
      </c>
      <c r="AH131" s="1" t="str">
        <f aca="false">IF($A131="","",IFERROR(INDEX(账户总表!$B:$B,COUNTA(账户总表!$A:$A))*INDEX(账户总表!$O:$O,COUNTA(账户总表!$A:$A)),0))</f>
        <v/>
      </c>
      <c r="AI131" s="1" t="str">
        <f aca="false">IF($A131="","",IF(AF131&gt;AH131,"超限","合规"))</f>
        <v/>
      </c>
      <c r="AJ131" s="1" t="str">
        <f aca="false">IF($A131="","",IFERROR(AF131/INDEX(账户总表!$O:$O,COUNTA(账户总表!$A:$A)),0))</f>
        <v/>
      </c>
      <c r="AK131" s="1" t="str">
        <f aca="false">IF($A131="","",IFERROR(MAX(0,AJ131-INDEX(账户总表!$B:$B,COUNTA(账户总表!$A:$A)),AF131-INDEX(账户总表!$C:$C,COUNTA(账户总表!$A:$A))),0))</f>
        <v/>
      </c>
      <c r="AL131" s="1" t="str">
        <f aca="false">IF($A131="","",IF(COUNTIF(持仓表!$C$2:$C$201,C131)&gt;0,"已有","新标的"))</f>
        <v/>
      </c>
      <c r="AM131" s="1" t="str">
        <f aca="false">IF($A131="","",IFERROR(SUMIFS(持仓表!$N$2:$N$201,持仓表!$C$2:$C$201,C131,持仓表!$A$2:$A$201,$A131),0))</f>
        <v/>
      </c>
      <c r="AN131" s="1" t="str">
        <f aca="false">IF($A131="","",IFERROR(AM131+AF131/INDEX(账户总表!$B:$B,COUNTA(账户总表!$A:$A)),0))</f>
        <v/>
      </c>
      <c r="AO131" s="1" t="str">
        <f aca="false">IF($A131="","",IF(AN131&gt;INDEX(账户总表!$O:$O,COUNTA(账户总表!$A:$A)),"超限","合规"))</f>
        <v/>
      </c>
      <c r="AP131" s="1" t="str">
        <f aca="false">IF($A131="","",IF(AND(AL131="新标的",INDEX(账户总表!$R:$R,COUNTA(账户总表!$A:$A))&gt;=INDEX(账户总表!$S:$S,COUNTA(账户总表!$A:$A))),"新增受限","可通过"))</f>
        <v/>
      </c>
      <c r="AQ131" s="1" t="str">
        <f aca="false">IF($A131="","",IF(K131&lt;&gt;"核心池","非核心池",IF(OR(AI131="超限",AO131="超限",AP131="新增受限"),"不可加仓","可加仓")))</f>
        <v/>
      </c>
      <c r="AR131" s="1" t="str">
        <f aca="false">IF($A131="","",TRIM(IF(AI131="超限","1手超单股上限；","")&amp;IF(AO131="超限","买后仓位超限；","")&amp;IF(AP131="新增受限","有效持仓数超限；","")&amp;IF(AF131&gt;INDEX(账户总表!$C:$C,COUNTA(账户总表!$A:$A)),"现金不足；","")))</f>
        <v/>
      </c>
      <c r="AS131" s="1" t="str">
        <f aca="false">IF($A131="","",IFERROR(INDEX(候选池历史!$L:$L,MATCH(1,(候选池历史!$B:$B=C131)*(候选池历史!$A:$A=$A131),0)),0))</f>
        <v/>
      </c>
      <c r="AT131" s="1" t="str">
        <f aca="false">IF($A131="","",IF(AS131&gt;=3,"★信号强化",IF(K131="核心池","核心观察","")))</f>
        <v/>
      </c>
      <c r="AU131" s="1" t="str">
        <f aca="false">IF($A131="","",IF(AK131&gt;30000-INDEX(账户总表!$B:$B,COUNTA(账户总表!$A:$A)),"不适合婴儿阶段","可纳入幼儿路径"))</f>
        <v/>
      </c>
    </row>
    <row r="132" customFormat="false" ht="15" hidden="false" customHeight="true" outlineLevel="0" collapsed="false">
      <c r="A132" s="70"/>
      <c r="B132" s="71"/>
      <c r="C132" s="72"/>
      <c r="D132" s="73"/>
      <c r="E132" s="73"/>
      <c r="F132" s="73"/>
      <c r="G132" s="74"/>
      <c r="H132" s="72"/>
      <c r="I132" s="72"/>
      <c r="J132" s="71"/>
      <c r="K132" s="75" t="str">
        <f aca="false">IF($A132="","",IF(AND(G132&lt;45%,H132&gt;=0.9),"A",IF(AND(G132&lt;60%,H132&gt;0.8),"B","C")))</f>
        <v/>
      </c>
      <c r="L132" s="75" t="str">
        <f aca="false">IF($A132="","",IF(AND(G132&lt;60%,H132&gt;0.8,I132="True"),"是","否"))</f>
        <v/>
      </c>
      <c r="M132" s="75" t="str">
        <f aca="false">IF($A132="","",IF(AND(D132&gt;0,E132&gt;0,D132&lt;=E132*1.02),"是","否"))</f>
        <v/>
      </c>
      <c r="N132" s="76" t="n">
        <f aca="false">IFERROR(INDEX(账户总表!$O:$O,COUNTA(账户总表!$A:$A)),0)</f>
        <v>0.35</v>
      </c>
      <c r="O132" s="77" t="n">
        <f aca="false">IFERROR(INDEX(账户总表!$B:$B,COUNTA(账户总表!$A:$A))*N132,0)</f>
        <v>7294.812</v>
      </c>
      <c r="P132" s="78" t="n">
        <f aca="false">IFERROR(O132/D132,0)</f>
        <v>0</v>
      </c>
      <c r="Q132" s="78" t="n">
        <f aca="false">IFERROR(FLOOR(P132,100),0)</f>
        <v>0</v>
      </c>
      <c r="R132" s="78" t="n">
        <f aca="false">IFERROR(CEILING(800/(100*D132),1)*100,0)</f>
        <v>0</v>
      </c>
      <c r="S132" s="79"/>
      <c r="T132" s="77" t="n">
        <f aca="false">IFERROR(S132*D132,0)</f>
        <v>0</v>
      </c>
      <c r="U132" s="76" t="n">
        <f aca="false">IFERROR(T132/INDEX(账户总表!$B:$B,COUNTA(账户总表!$A:$A)),0)</f>
        <v>0</v>
      </c>
      <c r="V132" s="76" t="n">
        <f aca="false">IFERROR(INDEX(账户总表!$E:$E,COUNTA(账户总表!$A:$A))+U132,0)</f>
        <v>0.407056412146057</v>
      </c>
      <c r="W132" s="75" t="str">
        <f aca="false">IF($A132="","",IFERROR(IF(V132&lt;=INDEX(账户总表!$N:$N,COUNTA(账户总表!$A:$A)),"是","否"),"否"))</f>
        <v/>
      </c>
      <c r="X132" s="77" t="str">
        <f aca="false">IF($A132="","",MAX(F132*0.98,D132*0.92))</f>
        <v/>
      </c>
      <c r="Y132" s="72"/>
      <c r="Z132" s="75" t="str">
        <f aca="false">IF($A132="","",IFERROR(IF(AND(T132&gt;INDEX(账户总表!$C:$C,COUNTA(账户总表!$A:$A)),L132="是"),"是","否"),"否"))</f>
        <v/>
      </c>
      <c r="AA132" s="77" t="str">
        <f aca="false">IF($A132="","",IFERROR(IF(Z132="是",MAX(0,T132-INDEX(账户总表!$C:$C,COUNTA(账户总表!$A:$A)),IF(N132&gt;0,T132/N132-INDEX(账户总表!$B:$B,COUNTA(账户总表!$A:$A)),0)),0),0))</f>
        <v/>
      </c>
      <c r="AB132" s="77" t="str">
        <f aca="false">IF($A132="","",IF(AND(Z132="是",INDEX(账户总表!$U:$U,COUNTA(账户总表!$A:$A))="是"),IF(INDEX(账户总表!$L:$L,COUNTA(账户总表!$A:$A))&gt;=4,AA132*1.5,AA132),0))</f>
        <v/>
      </c>
      <c r="AC132" s="75" t="str">
        <f aca="false">IF($A132="","",IF(AND(L132="是",Q132&gt;=R132,S132&lt;=Q132,S132&gt;=R132,W132="是",X132&gt;0,M132="是",INDEX(账户总表!$M:$M,COUNTA(账户总表!$A:$A))&lt;=2,INDEX(账户总表!$V:$V,COUNTA(账户总表!$A:$A))="是",OR(T132&lt;=INDEX(账户总表!$C:$C,COUNTA(账户总表!$A:$A)),AND(Z132="是",INDEX(账户总表!$U:$U,COUNTA(账户总表!$A:$A))="是",AB132&gt;0))),"是","否"))</f>
        <v/>
      </c>
      <c r="AD132" s="75" t="str">
        <f aca="false">IF($A132="","",IF(L132&lt;&gt;"是","信号未确认",IF(X132&lt;=0,"止损价未定义",IF(Q132&lt;R132,"100股约束不满足",IF(S132&gt;Q132,"计划股数超单股上限",IF(S132&lt;R132,"计划股数低于最小门槛",IF(W132&lt;&gt;"是","总仓位超限",IF(M132&lt;&gt;"是","追价",IF(INDEX(账户总表!$M:$M,COUNTA(账户总表!$A:$A))&gt;2,"亏钱效应偏高",IF(INDEX(账户总表!$V:$V,COUNTA(账户总表!$A:$A))&lt;&gt;"是","账户不允许新开仓",IF(AND(T132&gt;INDEX(账户总表!$C:$C,COUNTA(账户总表!$A:$A)),INDEX(账户总表!$U:$U,COUNTA(账户总表!$A:$A))&lt;&gt;"是"),"现金不足且不允许转入",IF(AND(Z132="是",AB132&lt;=0),"转入金额未满足",""))))))))))))</f>
        <v/>
      </c>
      <c r="AE132" s="71"/>
      <c r="AF132" s="1" t="str">
        <f aca="false">IF($A132="","",D132*100)</f>
        <v/>
      </c>
      <c r="AG132" s="1" t="str">
        <f aca="false">IF($A132="","",IFERROR(AF132/INDEX(账户总表!$B:$B,COUNTA(账户总表!$A:$A)),0))</f>
        <v/>
      </c>
      <c r="AH132" s="1" t="str">
        <f aca="false">IF($A132="","",IFERROR(INDEX(账户总表!$B:$B,COUNTA(账户总表!$A:$A))*INDEX(账户总表!$O:$O,COUNTA(账户总表!$A:$A)),0))</f>
        <v/>
      </c>
      <c r="AI132" s="1" t="str">
        <f aca="false">IF($A132="","",IF(AF132&gt;AH132,"超限","合规"))</f>
        <v/>
      </c>
      <c r="AJ132" s="1" t="str">
        <f aca="false">IF($A132="","",IFERROR(AF132/INDEX(账户总表!$O:$O,COUNTA(账户总表!$A:$A)),0))</f>
        <v/>
      </c>
      <c r="AK132" s="1" t="str">
        <f aca="false">IF($A132="","",IFERROR(MAX(0,AJ132-INDEX(账户总表!$B:$B,COUNTA(账户总表!$A:$A)),AF132-INDEX(账户总表!$C:$C,COUNTA(账户总表!$A:$A))),0))</f>
        <v/>
      </c>
      <c r="AL132" s="1" t="str">
        <f aca="false">IF($A132="","",IF(COUNTIF(持仓表!$C$2:$C$201,C132)&gt;0,"已有","新标的"))</f>
        <v/>
      </c>
      <c r="AM132" s="1" t="str">
        <f aca="false">IF($A132="","",IFERROR(SUMIFS(持仓表!$N$2:$N$201,持仓表!$C$2:$C$201,C132,持仓表!$A$2:$A$201,$A132),0))</f>
        <v/>
      </c>
      <c r="AN132" s="1" t="str">
        <f aca="false">IF($A132="","",IFERROR(AM132+AF132/INDEX(账户总表!$B:$B,COUNTA(账户总表!$A:$A)),0))</f>
        <v/>
      </c>
      <c r="AO132" s="1" t="str">
        <f aca="false">IF($A132="","",IF(AN132&gt;INDEX(账户总表!$O:$O,COUNTA(账户总表!$A:$A)),"超限","合规"))</f>
        <v/>
      </c>
      <c r="AP132" s="1" t="str">
        <f aca="false">IF($A132="","",IF(AND(AL132="新标的",INDEX(账户总表!$R:$R,COUNTA(账户总表!$A:$A))&gt;=INDEX(账户总表!$S:$S,COUNTA(账户总表!$A:$A))),"新增受限","可通过"))</f>
        <v/>
      </c>
      <c r="AQ132" s="1" t="str">
        <f aca="false">IF($A132="","",IF(K132&lt;&gt;"核心池","非核心池",IF(OR(AI132="超限",AO132="超限",AP132="新增受限"),"不可加仓","可加仓")))</f>
        <v/>
      </c>
      <c r="AR132" s="1" t="str">
        <f aca="false">IF($A132="","",TRIM(IF(AI132="超限","1手超单股上限；","")&amp;IF(AO132="超限","买后仓位超限；","")&amp;IF(AP132="新增受限","有效持仓数超限；","")&amp;IF(AF132&gt;INDEX(账户总表!$C:$C,COUNTA(账户总表!$A:$A)),"现金不足；","")))</f>
        <v/>
      </c>
      <c r="AS132" s="1" t="str">
        <f aca="false">IF($A132="","",IFERROR(INDEX(候选池历史!$L:$L,MATCH(1,(候选池历史!$B:$B=C132)*(候选池历史!$A:$A=$A132),0)),0))</f>
        <v/>
      </c>
      <c r="AT132" s="1" t="str">
        <f aca="false">IF($A132="","",IF(AS132&gt;=3,"★信号强化",IF(K132="核心池","核心观察","")))</f>
        <v/>
      </c>
      <c r="AU132" s="1" t="str">
        <f aca="false">IF($A132="","",IF(AK132&gt;30000-INDEX(账户总表!$B:$B,COUNTA(账户总表!$A:$A)),"不适合婴儿阶段","可纳入幼儿路径"))</f>
        <v/>
      </c>
    </row>
    <row r="133" customFormat="false" ht="15" hidden="false" customHeight="true" outlineLevel="0" collapsed="false">
      <c r="A133" s="70"/>
      <c r="B133" s="71"/>
      <c r="C133" s="72"/>
      <c r="D133" s="73"/>
      <c r="E133" s="73"/>
      <c r="F133" s="73"/>
      <c r="G133" s="74"/>
      <c r="H133" s="72"/>
      <c r="I133" s="72"/>
      <c r="J133" s="71"/>
      <c r="K133" s="75" t="str">
        <f aca="false">IF($A133="","",IF(AND(G133&lt;45%,H133&gt;=0.9),"A",IF(AND(G133&lt;60%,H133&gt;0.8),"B","C")))</f>
        <v/>
      </c>
      <c r="L133" s="75" t="str">
        <f aca="false">IF($A133="","",IF(AND(G133&lt;60%,H133&gt;0.8,I133="True"),"是","否"))</f>
        <v/>
      </c>
      <c r="M133" s="75" t="str">
        <f aca="false">IF($A133="","",IF(AND(D133&gt;0,E133&gt;0,D133&lt;=E133*1.02),"是","否"))</f>
        <v/>
      </c>
      <c r="N133" s="76" t="n">
        <f aca="false">IFERROR(INDEX(账户总表!$O:$O,COUNTA(账户总表!$A:$A)),0)</f>
        <v>0.35</v>
      </c>
      <c r="O133" s="77" t="n">
        <f aca="false">IFERROR(INDEX(账户总表!$B:$B,COUNTA(账户总表!$A:$A))*N133,0)</f>
        <v>7294.812</v>
      </c>
      <c r="P133" s="78" t="n">
        <f aca="false">IFERROR(O133/D133,0)</f>
        <v>0</v>
      </c>
      <c r="Q133" s="78" t="n">
        <f aca="false">IFERROR(FLOOR(P133,100),0)</f>
        <v>0</v>
      </c>
      <c r="R133" s="78" t="n">
        <f aca="false">IFERROR(CEILING(800/(100*D133),1)*100,0)</f>
        <v>0</v>
      </c>
      <c r="S133" s="79"/>
      <c r="T133" s="77" t="n">
        <f aca="false">IFERROR(S133*D133,0)</f>
        <v>0</v>
      </c>
      <c r="U133" s="76" t="n">
        <f aca="false">IFERROR(T133/INDEX(账户总表!$B:$B,COUNTA(账户总表!$A:$A)),0)</f>
        <v>0</v>
      </c>
      <c r="V133" s="76" t="n">
        <f aca="false">IFERROR(INDEX(账户总表!$E:$E,COUNTA(账户总表!$A:$A))+U133,0)</f>
        <v>0.407056412146057</v>
      </c>
      <c r="W133" s="75" t="str">
        <f aca="false">IF($A133="","",IFERROR(IF(V133&lt;=INDEX(账户总表!$N:$N,COUNTA(账户总表!$A:$A)),"是","否"),"否"))</f>
        <v/>
      </c>
      <c r="X133" s="77" t="str">
        <f aca="false">IF($A133="","",MAX(F133*0.98,D133*0.92))</f>
        <v/>
      </c>
      <c r="Y133" s="72"/>
      <c r="Z133" s="75" t="str">
        <f aca="false">IF($A133="","",IFERROR(IF(AND(T133&gt;INDEX(账户总表!$C:$C,COUNTA(账户总表!$A:$A)),L133="是"),"是","否"),"否"))</f>
        <v/>
      </c>
      <c r="AA133" s="77" t="str">
        <f aca="false">IF($A133="","",IFERROR(IF(Z133="是",MAX(0,T133-INDEX(账户总表!$C:$C,COUNTA(账户总表!$A:$A)),IF(N133&gt;0,T133/N133-INDEX(账户总表!$B:$B,COUNTA(账户总表!$A:$A)),0)),0),0))</f>
        <v/>
      </c>
      <c r="AB133" s="77" t="str">
        <f aca="false">IF($A133="","",IF(AND(Z133="是",INDEX(账户总表!$U:$U,COUNTA(账户总表!$A:$A))="是"),IF(INDEX(账户总表!$L:$L,COUNTA(账户总表!$A:$A))&gt;=4,AA133*1.5,AA133),0))</f>
        <v/>
      </c>
      <c r="AC133" s="75" t="str">
        <f aca="false">IF($A133="","",IF(AND(L133="是",Q133&gt;=R133,S133&lt;=Q133,S133&gt;=R133,W133="是",X133&gt;0,M133="是",INDEX(账户总表!$M:$M,COUNTA(账户总表!$A:$A))&lt;=2,INDEX(账户总表!$V:$V,COUNTA(账户总表!$A:$A))="是",OR(T133&lt;=INDEX(账户总表!$C:$C,COUNTA(账户总表!$A:$A)),AND(Z133="是",INDEX(账户总表!$U:$U,COUNTA(账户总表!$A:$A))="是",AB133&gt;0))),"是","否"))</f>
        <v/>
      </c>
      <c r="AD133" s="75" t="str">
        <f aca="false">IF($A133="","",IF(L133&lt;&gt;"是","信号未确认",IF(X133&lt;=0,"止损价未定义",IF(Q133&lt;R133,"100股约束不满足",IF(S133&gt;Q133,"计划股数超单股上限",IF(S133&lt;R133,"计划股数低于最小门槛",IF(W133&lt;&gt;"是","总仓位超限",IF(M133&lt;&gt;"是","追价",IF(INDEX(账户总表!$M:$M,COUNTA(账户总表!$A:$A))&gt;2,"亏钱效应偏高",IF(INDEX(账户总表!$V:$V,COUNTA(账户总表!$A:$A))&lt;&gt;"是","账户不允许新开仓",IF(AND(T133&gt;INDEX(账户总表!$C:$C,COUNTA(账户总表!$A:$A)),INDEX(账户总表!$U:$U,COUNTA(账户总表!$A:$A))&lt;&gt;"是"),"现金不足且不允许转入",IF(AND(Z133="是",AB133&lt;=0),"转入金额未满足",""))))))))))))</f>
        <v/>
      </c>
      <c r="AE133" s="71"/>
      <c r="AF133" s="1" t="str">
        <f aca="false">IF($A133="","",D133*100)</f>
        <v/>
      </c>
      <c r="AG133" s="1" t="str">
        <f aca="false">IF($A133="","",IFERROR(AF133/INDEX(账户总表!$B:$B,COUNTA(账户总表!$A:$A)),0))</f>
        <v/>
      </c>
      <c r="AH133" s="1" t="str">
        <f aca="false">IF($A133="","",IFERROR(INDEX(账户总表!$B:$B,COUNTA(账户总表!$A:$A))*INDEX(账户总表!$O:$O,COUNTA(账户总表!$A:$A)),0))</f>
        <v/>
      </c>
      <c r="AI133" s="1" t="str">
        <f aca="false">IF($A133="","",IF(AF133&gt;AH133,"超限","合规"))</f>
        <v/>
      </c>
      <c r="AJ133" s="1" t="str">
        <f aca="false">IF($A133="","",IFERROR(AF133/INDEX(账户总表!$O:$O,COUNTA(账户总表!$A:$A)),0))</f>
        <v/>
      </c>
      <c r="AK133" s="1" t="str">
        <f aca="false">IF($A133="","",IFERROR(MAX(0,AJ133-INDEX(账户总表!$B:$B,COUNTA(账户总表!$A:$A)),AF133-INDEX(账户总表!$C:$C,COUNTA(账户总表!$A:$A))),0))</f>
        <v/>
      </c>
      <c r="AL133" s="1" t="str">
        <f aca="false">IF($A133="","",IF(COUNTIF(持仓表!$C$2:$C$201,C133)&gt;0,"已有","新标的"))</f>
        <v/>
      </c>
      <c r="AM133" s="1" t="str">
        <f aca="false">IF($A133="","",IFERROR(SUMIFS(持仓表!$N$2:$N$201,持仓表!$C$2:$C$201,C133,持仓表!$A$2:$A$201,$A133),0))</f>
        <v/>
      </c>
      <c r="AN133" s="1" t="str">
        <f aca="false">IF($A133="","",IFERROR(AM133+AF133/INDEX(账户总表!$B:$B,COUNTA(账户总表!$A:$A)),0))</f>
        <v/>
      </c>
      <c r="AO133" s="1" t="str">
        <f aca="false">IF($A133="","",IF(AN133&gt;INDEX(账户总表!$O:$O,COUNTA(账户总表!$A:$A)),"超限","合规"))</f>
        <v/>
      </c>
      <c r="AP133" s="1" t="str">
        <f aca="false">IF($A133="","",IF(AND(AL133="新标的",INDEX(账户总表!$R:$R,COUNTA(账户总表!$A:$A))&gt;=INDEX(账户总表!$S:$S,COUNTA(账户总表!$A:$A))),"新增受限","可通过"))</f>
        <v/>
      </c>
      <c r="AQ133" s="1" t="str">
        <f aca="false">IF($A133="","",IF(K133&lt;&gt;"核心池","非核心池",IF(OR(AI133="超限",AO133="超限",AP133="新增受限"),"不可加仓","可加仓")))</f>
        <v/>
      </c>
      <c r="AR133" s="1" t="str">
        <f aca="false">IF($A133="","",TRIM(IF(AI133="超限","1手超单股上限；","")&amp;IF(AO133="超限","买后仓位超限；","")&amp;IF(AP133="新增受限","有效持仓数超限；","")&amp;IF(AF133&gt;INDEX(账户总表!$C:$C,COUNTA(账户总表!$A:$A)),"现金不足；","")))</f>
        <v/>
      </c>
      <c r="AS133" s="1" t="str">
        <f aca="false">IF($A133="","",IFERROR(INDEX(候选池历史!$L:$L,MATCH(1,(候选池历史!$B:$B=C133)*(候选池历史!$A:$A=$A133),0)),0))</f>
        <v/>
      </c>
      <c r="AT133" s="1" t="str">
        <f aca="false">IF($A133="","",IF(AS133&gt;=3,"★信号强化",IF(K133="核心池","核心观察","")))</f>
        <v/>
      </c>
      <c r="AU133" s="1" t="str">
        <f aca="false">IF($A133="","",IF(AK133&gt;30000-INDEX(账户总表!$B:$B,COUNTA(账户总表!$A:$A)),"不适合婴儿阶段","可纳入幼儿路径"))</f>
        <v/>
      </c>
    </row>
    <row r="134" customFormat="false" ht="15" hidden="false" customHeight="true" outlineLevel="0" collapsed="false">
      <c r="A134" s="70"/>
      <c r="B134" s="71"/>
      <c r="C134" s="72"/>
      <c r="D134" s="73"/>
      <c r="E134" s="73"/>
      <c r="F134" s="73"/>
      <c r="G134" s="74"/>
      <c r="H134" s="72"/>
      <c r="I134" s="72"/>
      <c r="J134" s="71"/>
      <c r="K134" s="75" t="str">
        <f aca="false">IF($A134="","",IF(AND(G134&lt;45%,H134&gt;=0.9),"A",IF(AND(G134&lt;60%,H134&gt;0.8),"B","C")))</f>
        <v/>
      </c>
      <c r="L134" s="75" t="str">
        <f aca="false">IF($A134="","",IF(AND(G134&lt;60%,H134&gt;0.8,I134="True"),"是","否"))</f>
        <v/>
      </c>
      <c r="M134" s="75" t="str">
        <f aca="false">IF($A134="","",IF(AND(D134&gt;0,E134&gt;0,D134&lt;=E134*1.02),"是","否"))</f>
        <v/>
      </c>
      <c r="N134" s="76" t="n">
        <f aca="false">IFERROR(INDEX(账户总表!$O:$O,COUNTA(账户总表!$A:$A)),0)</f>
        <v>0.35</v>
      </c>
      <c r="O134" s="77" t="n">
        <f aca="false">IFERROR(INDEX(账户总表!$B:$B,COUNTA(账户总表!$A:$A))*N134,0)</f>
        <v>7294.812</v>
      </c>
      <c r="P134" s="78" t="n">
        <f aca="false">IFERROR(O134/D134,0)</f>
        <v>0</v>
      </c>
      <c r="Q134" s="78" t="n">
        <f aca="false">IFERROR(FLOOR(P134,100),0)</f>
        <v>0</v>
      </c>
      <c r="R134" s="78" t="n">
        <f aca="false">IFERROR(CEILING(800/(100*D134),1)*100,0)</f>
        <v>0</v>
      </c>
      <c r="S134" s="79"/>
      <c r="T134" s="77" t="n">
        <f aca="false">IFERROR(S134*D134,0)</f>
        <v>0</v>
      </c>
      <c r="U134" s="76" t="n">
        <f aca="false">IFERROR(T134/INDEX(账户总表!$B:$B,COUNTA(账户总表!$A:$A)),0)</f>
        <v>0</v>
      </c>
      <c r="V134" s="76" t="n">
        <f aca="false">IFERROR(INDEX(账户总表!$E:$E,COUNTA(账户总表!$A:$A))+U134,0)</f>
        <v>0.407056412146057</v>
      </c>
      <c r="W134" s="75" t="str">
        <f aca="false">IF($A134="","",IFERROR(IF(V134&lt;=INDEX(账户总表!$N:$N,COUNTA(账户总表!$A:$A)),"是","否"),"否"))</f>
        <v/>
      </c>
      <c r="X134" s="77" t="str">
        <f aca="false">IF($A134="","",MAX(F134*0.98,D134*0.92))</f>
        <v/>
      </c>
      <c r="Y134" s="72"/>
      <c r="Z134" s="75" t="str">
        <f aca="false">IF($A134="","",IFERROR(IF(AND(T134&gt;INDEX(账户总表!$C:$C,COUNTA(账户总表!$A:$A)),L134="是"),"是","否"),"否"))</f>
        <v/>
      </c>
      <c r="AA134" s="77" t="str">
        <f aca="false">IF($A134="","",IFERROR(IF(Z134="是",MAX(0,T134-INDEX(账户总表!$C:$C,COUNTA(账户总表!$A:$A)),IF(N134&gt;0,T134/N134-INDEX(账户总表!$B:$B,COUNTA(账户总表!$A:$A)),0)),0),0))</f>
        <v/>
      </c>
      <c r="AB134" s="77" t="str">
        <f aca="false">IF($A134="","",IF(AND(Z134="是",INDEX(账户总表!$U:$U,COUNTA(账户总表!$A:$A))="是"),IF(INDEX(账户总表!$L:$L,COUNTA(账户总表!$A:$A))&gt;=4,AA134*1.5,AA134),0))</f>
        <v/>
      </c>
      <c r="AC134" s="75" t="str">
        <f aca="false">IF($A134="","",IF(AND(L134="是",Q134&gt;=R134,S134&lt;=Q134,S134&gt;=R134,W134="是",X134&gt;0,M134="是",INDEX(账户总表!$M:$M,COUNTA(账户总表!$A:$A))&lt;=2,INDEX(账户总表!$V:$V,COUNTA(账户总表!$A:$A))="是",OR(T134&lt;=INDEX(账户总表!$C:$C,COUNTA(账户总表!$A:$A)),AND(Z134="是",INDEX(账户总表!$U:$U,COUNTA(账户总表!$A:$A))="是",AB134&gt;0))),"是","否"))</f>
        <v/>
      </c>
      <c r="AD134" s="75" t="str">
        <f aca="false">IF($A134="","",IF(L134&lt;&gt;"是","信号未确认",IF(X134&lt;=0,"止损价未定义",IF(Q134&lt;R134,"100股约束不满足",IF(S134&gt;Q134,"计划股数超单股上限",IF(S134&lt;R134,"计划股数低于最小门槛",IF(W134&lt;&gt;"是","总仓位超限",IF(M134&lt;&gt;"是","追价",IF(INDEX(账户总表!$M:$M,COUNTA(账户总表!$A:$A))&gt;2,"亏钱效应偏高",IF(INDEX(账户总表!$V:$V,COUNTA(账户总表!$A:$A))&lt;&gt;"是","账户不允许新开仓",IF(AND(T134&gt;INDEX(账户总表!$C:$C,COUNTA(账户总表!$A:$A)),INDEX(账户总表!$U:$U,COUNTA(账户总表!$A:$A))&lt;&gt;"是"),"现金不足且不允许转入",IF(AND(Z134="是",AB134&lt;=0),"转入金额未满足",""))))))))))))</f>
        <v/>
      </c>
      <c r="AE134" s="71"/>
      <c r="AF134" s="1" t="str">
        <f aca="false">IF($A134="","",D134*100)</f>
        <v/>
      </c>
      <c r="AG134" s="1" t="str">
        <f aca="false">IF($A134="","",IFERROR(AF134/INDEX(账户总表!$B:$B,COUNTA(账户总表!$A:$A)),0))</f>
        <v/>
      </c>
      <c r="AH134" s="1" t="str">
        <f aca="false">IF($A134="","",IFERROR(INDEX(账户总表!$B:$B,COUNTA(账户总表!$A:$A))*INDEX(账户总表!$O:$O,COUNTA(账户总表!$A:$A)),0))</f>
        <v/>
      </c>
      <c r="AI134" s="1" t="str">
        <f aca="false">IF($A134="","",IF(AF134&gt;AH134,"超限","合规"))</f>
        <v/>
      </c>
      <c r="AJ134" s="1" t="str">
        <f aca="false">IF($A134="","",IFERROR(AF134/INDEX(账户总表!$O:$O,COUNTA(账户总表!$A:$A)),0))</f>
        <v/>
      </c>
      <c r="AK134" s="1" t="str">
        <f aca="false">IF($A134="","",IFERROR(MAX(0,AJ134-INDEX(账户总表!$B:$B,COUNTA(账户总表!$A:$A)),AF134-INDEX(账户总表!$C:$C,COUNTA(账户总表!$A:$A))),0))</f>
        <v/>
      </c>
      <c r="AL134" s="1" t="str">
        <f aca="false">IF($A134="","",IF(COUNTIF(持仓表!$C$2:$C$201,C134)&gt;0,"已有","新标的"))</f>
        <v/>
      </c>
      <c r="AM134" s="1" t="str">
        <f aca="false">IF($A134="","",IFERROR(SUMIFS(持仓表!$N$2:$N$201,持仓表!$C$2:$C$201,C134,持仓表!$A$2:$A$201,$A134),0))</f>
        <v/>
      </c>
      <c r="AN134" s="1" t="str">
        <f aca="false">IF($A134="","",IFERROR(AM134+AF134/INDEX(账户总表!$B:$B,COUNTA(账户总表!$A:$A)),0))</f>
        <v/>
      </c>
      <c r="AO134" s="1" t="str">
        <f aca="false">IF($A134="","",IF(AN134&gt;INDEX(账户总表!$O:$O,COUNTA(账户总表!$A:$A)),"超限","合规"))</f>
        <v/>
      </c>
      <c r="AP134" s="1" t="str">
        <f aca="false">IF($A134="","",IF(AND(AL134="新标的",INDEX(账户总表!$R:$R,COUNTA(账户总表!$A:$A))&gt;=INDEX(账户总表!$S:$S,COUNTA(账户总表!$A:$A))),"新增受限","可通过"))</f>
        <v/>
      </c>
      <c r="AQ134" s="1" t="str">
        <f aca="false">IF($A134="","",IF(K134&lt;&gt;"核心池","非核心池",IF(OR(AI134="超限",AO134="超限",AP134="新增受限"),"不可加仓","可加仓")))</f>
        <v/>
      </c>
      <c r="AR134" s="1" t="str">
        <f aca="false">IF($A134="","",TRIM(IF(AI134="超限","1手超单股上限；","")&amp;IF(AO134="超限","买后仓位超限；","")&amp;IF(AP134="新增受限","有效持仓数超限；","")&amp;IF(AF134&gt;INDEX(账户总表!$C:$C,COUNTA(账户总表!$A:$A)),"现金不足；","")))</f>
        <v/>
      </c>
      <c r="AS134" s="1" t="str">
        <f aca="false">IF($A134="","",IFERROR(INDEX(候选池历史!$L:$L,MATCH(1,(候选池历史!$B:$B=C134)*(候选池历史!$A:$A=$A134),0)),0))</f>
        <v/>
      </c>
      <c r="AT134" s="1" t="str">
        <f aca="false">IF($A134="","",IF(AS134&gt;=3,"★信号强化",IF(K134="核心池","核心观察","")))</f>
        <v/>
      </c>
      <c r="AU134" s="1" t="str">
        <f aca="false">IF($A134="","",IF(AK134&gt;30000-INDEX(账户总表!$B:$B,COUNTA(账户总表!$A:$A)),"不适合婴儿阶段","可纳入幼儿路径"))</f>
        <v/>
      </c>
    </row>
    <row r="135" customFormat="false" ht="15" hidden="false" customHeight="true" outlineLevel="0" collapsed="false">
      <c r="A135" s="70"/>
      <c r="B135" s="71"/>
      <c r="C135" s="72"/>
      <c r="D135" s="73"/>
      <c r="E135" s="73"/>
      <c r="F135" s="73"/>
      <c r="G135" s="74"/>
      <c r="H135" s="72"/>
      <c r="I135" s="72"/>
      <c r="J135" s="71"/>
      <c r="K135" s="75" t="str">
        <f aca="false">IF($A135="","",IF(AND(G135&lt;45%,H135&gt;=0.9),"A",IF(AND(G135&lt;60%,H135&gt;0.8),"B","C")))</f>
        <v/>
      </c>
      <c r="L135" s="75" t="str">
        <f aca="false">IF($A135="","",IF(AND(G135&lt;60%,H135&gt;0.8,I135="True"),"是","否"))</f>
        <v/>
      </c>
      <c r="M135" s="75" t="str">
        <f aca="false">IF($A135="","",IF(AND(D135&gt;0,E135&gt;0,D135&lt;=E135*1.02),"是","否"))</f>
        <v/>
      </c>
      <c r="N135" s="76" t="n">
        <f aca="false">IFERROR(INDEX(账户总表!$O:$O,COUNTA(账户总表!$A:$A)),0)</f>
        <v>0.35</v>
      </c>
      <c r="O135" s="77" t="n">
        <f aca="false">IFERROR(INDEX(账户总表!$B:$B,COUNTA(账户总表!$A:$A))*N135,0)</f>
        <v>7294.812</v>
      </c>
      <c r="P135" s="78" t="n">
        <f aca="false">IFERROR(O135/D135,0)</f>
        <v>0</v>
      </c>
      <c r="Q135" s="78" t="n">
        <f aca="false">IFERROR(FLOOR(P135,100),0)</f>
        <v>0</v>
      </c>
      <c r="R135" s="78" t="n">
        <f aca="false">IFERROR(CEILING(800/(100*D135),1)*100,0)</f>
        <v>0</v>
      </c>
      <c r="S135" s="79"/>
      <c r="T135" s="77" t="n">
        <f aca="false">IFERROR(S135*D135,0)</f>
        <v>0</v>
      </c>
      <c r="U135" s="76" t="n">
        <f aca="false">IFERROR(T135/INDEX(账户总表!$B:$B,COUNTA(账户总表!$A:$A)),0)</f>
        <v>0</v>
      </c>
      <c r="V135" s="76" t="n">
        <f aca="false">IFERROR(INDEX(账户总表!$E:$E,COUNTA(账户总表!$A:$A))+U135,0)</f>
        <v>0.407056412146057</v>
      </c>
      <c r="W135" s="75" t="str">
        <f aca="false">IF($A135="","",IFERROR(IF(V135&lt;=INDEX(账户总表!$N:$N,COUNTA(账户总表!$A:$A)),"是","否"),"否"))</f>
        <v/>
      </c>
      <c r="X135" s="77" t="str">
        <f aca="false">IF($A135="","",MAX(F135*0.98,D135*0.92))</f>
        <v/>
      </c>
      <c r="Y135" s="72"/>
      <c r="Z135" s="75" t="str">
        <f aca="false">IF($A135="","",IFERROR(IF(AND(T135&gt;INDEX(账户总表!$C:$C,COUNTA(账户总表!$A:$A)),L135="是"),"是","否"),"否"))</f>
        <v/>
      </c>
      <c r="AA135" s="77" t="str">
        <f aca="false">IF($A135="","",IFERROR(IF(Z135="是",MAX(0,T135-INDEX(账户总表!$C:$C,COUNTA(账户总表!$A:$A)),IF(N135&gt;0,T135/N135-INDEX(账户总表!$B:$B,COUNTA(账户总表!$A:$A)),0)),0),0))</f>
        <v/>
      </c>
      <c r="AB135" s="77" t="str">
        <f aca="false">IF($A135="","",IF(AND(Z135="是",INDEX(账户总表!$U:$U,COUNTA(账户总表!$A:$A))="是"),IF(INDEX(账户总表!$L:$L,COUNTA(账户总表!$A:$A))&gt;=4,AA135*1.5,AA135),0))</f>
        <v/>
      </c>
      <c r="AC135" s="75" t="str">
        <f aca="false">IF($A135="","",IF(AND(L135="是",Q135&gt;=R135,S135&lt;=Q135,S135&gt;=R135,W135="是",X135&gt;0,M135="是",INDEX(账户总表!$M:$M,COUNTA(账户总表!$A:$A))&lt;=2,INDEX(账户总表!$V:$V,COUNTA(账户总表!$A:$A))="是",OR(T135&lt;=INDEX(账户总表!$C:$C,COUNTA(账户总表!$A:$A)),AND(Z135="是",INDEX(账户总表!$U:$U,COUNTA(账户总表!$A:$A))="是",AB135&gt;0))),"是","否"))</f>
        <v/>
      </c>
      <c r="AD135" s="75" t="str">
        <f aca="false">IF($A135="","",IF(L135&lt;&gt;"是","信号未确认",IF(X135&lt;=0,"止损价未定义",IF(Q135&lt;R135,"100股约束不满足",IF(S135&gt;Q135,"计划股数超单股上限",IF(S135&lt;R135,"计划股数低于最小门槛",IF(W135&lt;&gt;"是","总仓位超限",IF(M135&lt;&gt;"是","追价",IF(INDEX(账户总表!$M:$M,COUNTA(账户总表!$A:$A))&gt;2,"亏钱效应偏高",IF(INDEX(账户总表!$V:$V,COUNTA(账户总表!$A:$A))&lt;&gt;"是","账户不允许新开仓",IF(AND(T135&gt;INDEX(账户总表!$C:$C,COUNTA(账户总表!$A:$A)),INDEX(账户总表!$U:$U,COUNTA(账户总表!$A:$A))&lt;&gt;"是"),"现金不足且不允许转入",IF(AND(Z135="是",AB135&lt;=0),"转入金额未满足",""))))))))))))</f>
        <v/>
      </c>
      <c r="AE135" s="71"/>
      <c r="AF135" s="1" t="str">
        <f aca="false">IF($A135="","",D135*100)</f>
        <v/>
      </c>
      <c r="AG135" s="1" t="str">
        <f aca="false">IF($A135="","",IFERROR(AF135/INDEX(账户总表!$B:$B,COUNTA(账户总表!$A:$A)),0))</f>
        <v/>
      </c>
      <c r="AH135" s="1" t="str">
        <f aca="false">IF($A135="","",IFERROR(INDEX(账户总表!$B:$B,COUNTA(账户总表!$A:$A))*INDEX(账户总表!$O:$O,COUNTA(账户总表!$A:$A)),0))</f>
        <v/>
      </c>
      <c r="AI135" s="1" t="str">
        <f aca="false">IF($A135="","",IF(AF135&gt;AH135,"超限","合规"))</f>
        <v/>
      </c>
      <c r="AJ135" s="1" t="str">
        <f aca="false">IF($A135="","",IFERROR(AF135/INDEX(账户总表!$O:$O,COUNTA(账户总表!$A:$A)),0))</f>
        <v/>
      </c>
      <c r="AK135" s="1" t="str">
        <f aca="false">IF($A135="","",IFERROR(MAX(0,AJ135-INDEX(账户总表!$B:$B,COUNTA(账户总表!$A:$A)),AF135-INDEX(账户总表!$C:$C,COUNTA(账户总表!$A:$A))),0))</f>
        <v/>
      </c>
      <c r="AL135" s="1" t="str">
        <f aca="false">IF($A135="","",IF(COUNTIF(持仓表!$C$2:$C$201,C135)&gt;0,"已有","新标的"))</f>
        <v/>
      </c>
      <c r="AM135" s="1" t="str">
        <f aca="false">IF($A135="","",IFERROR(SUMIFS(持仓表!$N$2:$N$201,持仓表!$C$2:$C$201,C135,持仓表!$A$2:$A$201,$A135),0))</f>
        <v/>
      </c>
      <c r="AN135" s="1" t="str">
        <f aca="false">IF($A135="","",IFERROR(AM135+AF135/INDEX(账户总表!$B:$B,COUNTA(账户总表!$A:$A)),0))</f>
        <v/>
      </c>
      <c r="AO135" s="1" t="str">
        <f aca="false">IF($A135="","",IF(AN135&gt;INDEX(账户总表!$O:$O,COUNTA(账户总表!$A:$A)),"超限","合规"))</f>
        <v/>
      </c>
      <c r="AP135" s="1" t="str">
        <f aca="false">IF($A135="","",IF(AND(AL135="新标的",INDEX(账户总表!$R:$R,COUNTA(账户总表!$A:$A))&gt;=INDEX(账户总表!$S:$S,COUNTA(账户总表!$A:$A))),"新增受限","可通过"))</f>
        <v/>
      </c>
      <c r="AQ135" s="1" t="str">
        <f aca="false">IF($A135="","",IF(K135&lt;&gt;"核心池","非核心池",IF(OR(AI135="超限",AO135="超限",AP135="新增受限"),"不可加仓","可加仓")))</f>
        <v/>
      </c>
      <c r="AR135" s="1" t="str">
        <f aca="false">IF($A135="","",TRIM(IF(AI135="超限","1手超单股上限；","")&amp;IF(AO135="超限","买后仓位超限；","")&amp;IF(AP135="新增受限","有效持仓数超限；","")&amp;IF(AF135&gt;INDEX(账户总表!$C:$C,COUNTA(账户总表!$A:$A)),"现金不足；","")))</f>
        <v/>
      </c>
      <c r="AS135" s="1" t="str">
        <f aca="false">IF($A135="","",IFERROR(INDEX(候选池历史!$L:$L,MATCH(1,(候选池历史!$B:$B=C135)*(候选池历史!$A:$A=$A135),0)),0))</f>
        <v/>
      </c>
      <c r="AT135" s="1" t="str">
        <f aca="false">IF($A135="","",IF(AS135&gt;=3,"★信号强化",IF(K135="核心池","核心观察","")))</f>
        <v/>
      </c>
      <c r="AU135" s="1" t="str">
        <f aca="false">IF($A135="","",IF(AK135&gt;30000-INDEX(账户总表!$B:$B,COUNTA(账户总表!$A:$A)),"不适合婴儿阶段","可纳入幼儿路径"))</f>
        <v/>
      </c>
    </row>
    <row r="136" customFormat="false" ht="15" hidden="false" customHeight="true" outlineLevel="0" collapsed="false">
      <c r="A136" s="70"/>
      <c r="B136" s="71"/>
      <c r="C136" s="72"/>
      <c r="D136" s="73"/>
      <c r="E136" s="73"/>
      <c r="F136" s="73"/>
      <c r="G136" s="74"/>
      <c r="H136" s="72"/>
      <c r="I136" s="72"/>
      <c r="J136" s="71"/>
      <c r="K136" s="75" t="str">
        <f aca="false">IF($A136="","",IF(AND(G136&lt;45%,H136&gt;=0.9),"A",IF(AND(G136&lt;60%,H136&gt;0.8),"B","C")))</f>
        <v/>
      </c>
      <c r="L136" s="75" t="str">
        <f aca="false">IF($A136="","",IF(AND(G136&lt;60%,H136&gt;0.8,I136="True"),"是","否"))</f>
        <v/>
      </c>
      <c r="M136" s="75" t="str">
        <f aca="false">IF($A136="","",IF(AND(D136&gt;0,E136&gt;0,D136&lt;=E136*1.02),"是","否"))</f>
        <v/>
      </c>
      <c r="N136" s="76" t="n">
        <f aca="false">IFERROR(INDEX(账户总表!$O:$O,COUNTA(账户总表!$A:$A)),0)</f>
        <v>0.35</v>
      </c>
      <c r="O136" s="77" t="n">
        <f aca="false">IFERROR(INDEX(账户总表!$B:$B,COUNTA(账户总表!$A:$A))*N136,0)</f>
        <v>7294.812</v>
      </c>
      <c r="P136" s="78" t="n">
        <f aca="false">IFERROR(O136/D136,0)</f>
        <v>0</v>
      </c>
      <c r="Q136" s="78" t="n">
        <f aca="false">IFERROR(FLOOR(P136,100),0)</f>
        <v>0</v>
      </c>
      <c r="R136" s="78" t="n">
        <f aca="false">IFERROR(CEILING(800/(100*D136),1)*100,0)</f>
        <v>0</v>
      </c>
      <c r="S136" s="79"/>
      <c r="T136" s="77" t="n">
        <f aca="false">IFERROR(S136*D136,0)</f>
        <v>0</v>
      </c>
      <c r="U136" s="76" t="n">
        <f aca="false">IFERROR(T136/INDEX(账户总表!$B:$B,COUNTA(账户总表!$A:$A)),0)</f>
        <v>0</v>
      </c>
      <c r="V136" s="76" t="n">
        <f aca="false">IFERROR(INDEX(账户总表!$E:$E,COUNTA(账户总表!$A:$A))+U136,0)</f>
        <v>0.407056412146057</v>
      </c>
      <c r="W136" s="75" t="str">
        <f aca="false">IF($A136="","",IFERROR(IF(V136&lt;=INDEX(账户总表!$N:$N,COUNTA(账户总表!$A:$A)),"是","否"),"否"))</f>
        <v/>
      </c>
      <c r="X136" s="77" t="str">
        <f aca="false">IF($A136="","",MAX(F136*0.98,D136*0.92))</f>
        <v/>
      </c>
      <c r="Y136" s="72"/>
      <c r="Z136" s="75" t="str">
        <f aca="false">IF($A136="","",IFERROR(IF(AND(T136&gt;INDEX(账户总表!$C:$C,COUNTA(账户总表!$A:$A)),L136="是"),"是","否"),"否"))</f>
        <v/>
      </c>
      <c r="AA136" s="77" t="str">
        <f aca="false">IF($A136="","",IFERROR(IF(Z136="是",MAX(0,T136-INDEX(账户总表!$C:$C,COUNTA(账户总表!$A:$A)),IF(N136&gt;0,T136/N136-INDEX(账户总表!$B:$B,COUNTA(账户总表!$A:$A)),0)),0),0))</f>
        <v/>
      </c>
      <c r="AB136" s="77" t="str">
        <f aca="false">IF($A136="","",IF(AND(Z136="是",INDEX(账户总表!$U:$U,COUNTA(账户总表!$A:$A))="是"),IF(INDEX(账户总表!$L:$L,COUNTA(账户总表!$A:$A))&gt;=4,AA136*1.5,AA136),0))</f>
        <v/>
      </c>
      <c r="AC136" s="75" t="str">
        <f aca="false">IF($A136="","",IF(AND(L136="是",Q136&gt;=R136,S136&lt;=Q136,S136&gt;=R136,W136="是",X136&gt;0,M136="是",INDEX(账户总表!$M:$M,COUNTA(账户总表!$A:$A))&lt;=2,INDEX(账户总表!$V:$V,COUNTA(账户总表!$A:$A))="是",OR(T136&lt;=INDEX(账户总表!$C:$C,COUNTA(账户总表!$A:$A)),AND(Z136="是",INDEX(账户总表!$U:$U,COUNTA(账户总表!$A:$A))="是",AB136&gt;0))),"是","否"))</f>
        <v/>
      </c>
      <c r="AD136" s="75" t="str">
        <f aca="false">IF($A136="","",IF(L136&lt;&gt;"是","信号未确认",IF(X136&lt;=0,"止损价未定义",IF(Q136&lt;R136,"100股约束不满足",IF(S136&gt;Q136,"计划股数超单股上限",IF(S136&lt;R136,"计划股数低于最小门槛",IF(W136&lt;&gt;"是","总仓位超限",IF(M136&lt;&gt;"是","追价",IF(INDEX(账户总表!$M:$M,COUNTA(账户总表!$A:$A))&gt;2,"亏钱效应偏高",IF(INDEX(账户总表!$V:$V,COUNTA(账户总表!$A:$A))&lt;&gt;"是","账户不允许新开仓",IF(AND(T136&gt;INDEX(账户总表!$C:$C,COUNTA(账户总表!$A:$A)),INDEX(账户总表!$U:$U,COUNTA(账户总表!$A:$A))&lt;&gt;"是"),"现金不足且不允许转入",IF(AND(Z136="是",AB136&lt;=0),"转入金额未满足",""))))))))))))</f>
        <v/>
      </c>
      <c r="AE136" s="71"/>
      <c r="AF136" s="1" t="str">
        <f aca="false">IF($A136="","",D136*100)</f>
        <v/>
      </c>
      <c r="AG136" s="1" t="str">
        <f aca="false">IF($A136="","",IFERROR(AF136/INDEX(账户总表!$B:$B,COUNTA(账户总表!$A:$A)),0))</f>
        <v/>
      </c>
      <c r="AH136" s="1" t="str">
        <f aca="false">IF($A136="","",IFERROR(INDEX(账户总表!$B:$B,COUNTA(账户总表!$A:$A))*INDEX(账户总表!$O:$O,COUNTA(账户总表!$A:$A)),0))</f>
        <v/>
      </c>
      <c r="AI136" s="1" t="str">
        <f aca="false">IF($A136="","",IF(AF136&gt;AH136,"超限","合规"))</f>
        <v/>
      </c>
      <c r="AJ136" s="1" t="str">
        <f aca="false">IF($A136="","",IFERROR(AF136/INDEX(账户总表!$O:$O,COUNTA(账户总表!$A:$A)),0))</f>
        <v/>
      </c>
      <c r="AK136" s="1" t="str">
        <f aca="false">IF($A136="","",IFERROR(MAX(0,AJ136-INDEX(账户总表!$B:$B,COUNTA(账户总表!$A:$A)),AF136-INDEX(账户总表!$C:$C,COUNTA(账户总表!$A:$A))),0))</f>
        <v/>
      </c>
      <c r="AL136" s="1" t="str">
        <f aca="false">IF($A136="","",IF(COUNTIF(持仓表!$C$2:$C$201,C136)&gt;0,"已有","新标的"))</f>
        <v/>
      </c>
      <c r="AM136" s="1" t="str">
        <f aca="false">IF($A136="","",IFERROR(SUMIFS(持仓表!$N$2:$N$201,持仓表!$C$2:$C$201,C136,持仓表!$A$2:$A$201,$A136),0))</f>
        <v/>
      </c>
      <c r="AN136" s="1" t="str">
        <f aca="false">IF($A136="","",IFERROR(AM136+AF136/INDEX(账户总表!$B:$B,COUNTA(账户总表!$A:$A)),0))</f>
        <v/>
      </c>
      <c r="AO136" s="1" t="str">
        <f aca="false">IF($A136="","",IF(AN136&gt;INDEX(账户总表!$O:$O,COUNTA(账户总表!$A:$A)),"超限","合规"))</f>
        <v/>
      </c>
      <c r="AP136" s="1" t="str">
        <f aca="false">IF($A136="","",IF(AND(AL136="新标的",INDEX(账户总表!$R:$R,COUNTA(账户总表!$A:$A))&gt;=INDEX(账户总表!$S:$S,COUNTA(账户总表!$A:$A))),"新增受限","可通过"))</f>
        <v/>
      </c>
      <c r="AQ136" s="1" t="str">
        <f aca="false">IF($A136="","",IF(K136&lt;&gt;"核心池","非核心池",IF(OR(AI136="超限",AO136="超限",AP136="新增受限"),"不可加仓","可加仓")))</f>
        <v/>
      </c>
      <c r="AR136" s="1" t="str">
        <f aca="false">IF($A136="","",TRIM(IF(AI136="超限","1手超单股上限；","")&amp;IF(AO136="超限","买后仓位超限；","")&amp;IF(AP136="新增受限","有效持仓数超限；","")&amp;IF(AF136&gt;INDEX(账户总表!$C:$C,COUNTA(账户总表!$A:$A)),"现金不足；","")))</f>
        <v/>
      </c>
      <c r="AS136" s="1" t="str">
        <f aca="false">IF($A136="","",IFERROR(INDEX(候选池历史!$L:$L,MATCH(1,(候选池历史!$B:$B=C136)*(候选池历史!$A:$A=$A136),0)),0))</f>
        <v/>
      </c>
      <c r="AT136" s="1" t="str">
        <f aca="false">IF($A136="","",IF(AS136&gt;=3,"★信号强化",IF(K136="核心池","核心观察","")))</f>
        <v/>
      </c>
      <c r="AU136" s="1" t="str">
        <f aca="false">IF($A136="","",IF(AK136&gt;30000-INDEX(账户总表!$B:$B,COUNTA(账户总表!$A:$A)),"不适合婴儿阶段","可纳入幼儿路径"))</f>
        <v/>
      </c>
    </row>
    <row r="137" customFormat="false" ht="15" hidden="false" customHeight="true" outlineLevel="0" collapsed="false">
      <c r="A137" s="70"/>
      <c r="B137" s="71"/>
      <c r="C137" s="72"/>
      <c r="D137" s="73"/>
      <c r="E137" s="73"/>
      <c r="F137" s="73"/>
      <c r="G137" s="74"/>
      <c r="H137" s="72"/>
      <c r="I137" s="72"/>
      <c r="J137" s="71"/>
      <c r="K137" s="75" t="str">
        <f aca="false">IF($A137="","",IF(AND(G137&lt;45%,H137&gt;=0.9),"A",IF(AND(G137&lt;60%,H137&gt;0.8),"B","C")))</f>
        <v/>
      </c>
      <c r="L137" s="75" t="str">
        <f aca="false">IF($A137="","",IF(AND(G137&lt;60%,H137&gt;0.8,I137="True"),"是","否"))</f>
        <v/>
      </c>
      <c r="M137" s="75" t="str">
        <f aca="false">IF($A137="","",IF(AND(D137&gt;0,E137&gt;0,D137&lt;=E137*1.02),"是","否"))</f>
        <v/>
      </c>
      <c r="N137" s="76" t="n">
        <f aca="false">IFERROR(INDEX(账户总表!$O:$O,COUNTA(账户总表!$A:$A)),0)</f>
        <v>0.35</v>
      </c>
      <c r="O137" s="77" t="n">
        <f aca="false">IFERROR(INDEX(账户总表!$B:$B,COUNTA(账户总表!$A:$A))*N137,0)</f>
        <v>7294.812</v>
      </c>
      <c r="P137" s="78" t="n">
        <f aca="false">IFERROR(O137/D137,0)</f>
        <v>0</v>
      </c>
      <c r="Q137" s="78" t="n">
        <f aca="false">IFERROR(FLOOR(P137,100),0)</f>
        <v>0</v>
      </c>
      <c r="R137" s="78" t="n">
        <f aca="false">IFERROR(CEILING(800/(100*D137),1)*100,0)</f>
        <v>0</v>
      </c>
      <c r="S137" s="79"/>
      <c r="T137" s="77" t="n">
        <f aca="false">IFERROR(S137*D137,0)</f>
        <v>0</v>
      </c>
      <c r="U137" s="76" t="n">
        <f aca="false">IFERROR(T137/INDEX(账户总表!$B:$B,COUNTA(账户总表!$A:$A)),0)</f>
        <v>0</v>
      </c>
      <c r="V137" s="76" t="n">
        <f aca="false">IFERROR(INDEX(账户总表!$E:$E,COUNTA(账户总表!$A:$A))+U137,0)</f>
        <v>0.407056412146057</v>
      </c>
      <c r="W137" s="75" t="str">
        <f aca="false">IF($A137="","",IFERROR(IF(V137&lt;=INDEX(账户总表!$N:$N,COUNTA(账户总表!$A:$A)),"是","否"),"否"))</f>
        <v/>
      </c>
      <c r="X137" s="77" t="str">
        <f aca="false">IF($A137="","",MAX(F137*0.98,D137*0.92))</f>
        <v/>
      </c>
      <c r="Y137" s="72"/>
      <c r="Z137" s="75" t="str">
        <f aca="false">IF($A137="","",IFERROR(IF(AND(T137&gt;INDEX(账户总表!$C:$C,COUNTA(账户总表!$A:$A)),L137="是"),"是","否"),"否"))</f>
        <v/>
      </c>
      <c r="AA137" s="77" t="str">
        <f aca="false">IF($A137="","",IFERROR(IF(Z137="是",MAX(0,T137-INDEX(账户总表!$C:$C,COUNTA(账户总表!$A:$A)),IF(N137&gt;0,T137/N137-INDEX(账户总表!$B:$B,COUNTA(账户总表!$A:$A)),0)),0),0))</f>
        <v/>
      </c>
      <c r="AB137" s="77" t="str">
        <f aca="false">IF($A137="","",IF(AND(Z137="是",INDEX(账户总表!$U:$U,COUNTA(账户总表!$A:$A))="是"),IF(INDEX(账户总表!$L:$L,COUNTA(账户总表!$A:$A))&gt;=4,AA137*1.5,AA137),0))</f>
        <v/>
      </c>
      <c r="AC137" s="75" t="str">
        <f aca="false">IF($A137="","",IF(AND(L137="是",Q137&gt;=R137,S137&lt;=Q137,S137&gt;=R137,W137="是",X137&gt;0,M137="是",INDEX(账户总表!$M:$M,COUNTA(账户总表!$A:$A))&lt;=2,INDEX(账户总表!$V:$V,COUNTA(账户总表!$A:$A))="是",OR(T137&lt;=INDEX(账户总表!$C:$C,COUNTA(账户总表!$A:$A)),AND(Z137="是",INDEX(账户总表!$U:$U,COUNTA(账户总表!$A:$A))="是",AB137&gt;0))),"是","否"))</f>
        <v/>
      </c>
      <c r="AD137" s="75" t="str">
        <f aca="false">IF($A137="","",IF(L137&lt;&gt;"是","信号未确认",IF(X137&lt;=0,"止损价未定义",IF(Q137&lt;R137,"100股约束不满足",IF(S137&gt;Q137,"计划股数超单股上限",IF(S137&lt;R137,"计划股数低于最小门槛",IF(W137&lt;&gt;"是","总仓位超限",IF(M137&lt;&gt;"是","追价",IF(INDEX(账户总表!$M:$M,COUNTA(账户总表!$A:$A))&gt;2,"亏钱效应偏高",IF(INDEX(账户总表!$V:$V,COUNTA(账户总表!$A:$A))&lt;&gt;"是","账户不允许新开仓",IF(AND(T137&gt;INDEX(账户总表!$C:$C,COUNTA(账户总表!$A:$A)),INDEX(账户总表!$U:$U,COUNTA(账户总表!$A:$A))&lt;&gt;"是"),"现金不足且不允许转入",IF(AND(Z137="是",AB137&lt;=0),"转入金额未满足",""))))))))))))</f>
        <v/>
      </c>
      <c r="AE137" s="71"/>
      <c r="AF137" s="1" t="str">
        <f aca="false">IF($A137="","",D137*100)</f>
        <v/>
      </c>
      <c r="AG137" s="1" t="str">
        <f aca="false">IF($A137="","",IFERROR(AF137/INDEX(账户总表!$B:$B,COUNTA(账户总表!$A:$A)),0))</f>
        <v/>
      </c>
      <c r="AH137" s="1" t="str">
        <f aca="false">IF($A137="","",IFERROR(INDEX(账户总表!$B:$B,COUNTA(账户总表!$A:$A))*INDEX(账户总表!$O:$O,COUNTA(账户总表!$A:$A)),0))</f>
        <v/>
      </c>
      <c r="AI137" s="1" t="str">
        <f aca="false">IF($A137="","",IF(AF137&gt;AH137,"超限","合规"))</f>
        <v/>
      </c>
      <c r="AJ137" s="1" t="str">
        <f aca="false">IF($A137="","",IFERROR(AF137/INDEX(账户总表!$O:$O,COUNTA(账户总表!$A:$A)),0))</f>
        <v/>
      </c>
      <c r="AK137" s="1" t="str">
        <f aca="false">IF($A137="","",IFERROR(MAX(0,AJ137-INDEX(账户总表!$B:$B,COUNTA(账户总表!$A:$A)),AF137-INDEX(账户总表!$C:$C,COUNTA(账户总表!$A:$A))),0))</f>
        <v/>
      </c>
      <c r="AL137" s="1" t="str">
        <f aca="false">IF($A137="","",IF(COUNTIF(持仓表!$C$2:$C$201,C137)&gt;0,"已有","新标的"))</f>
        <v/>
      </c>
      <c r="AM137" s="1" t="str">
        <f aca="false">IF($A137="","",IFERROR(SUMIFS(持仓表!$N$2:$N$201,持仓表!$C$2:$C$201,C137,持仓表!$A$2:$A$201,$A137),0))</f>
        <v/>
      </c>
      <c r="AN137" s="1" t="str">
        <f aca="false">IF($A137="","",IFERROR(AM137+AF137/INDEX(账户总表!$B:$B,COUNTA(账户总表!$A:$A)),0))</f>
        <v/>
      </c>
      <c r="AO137" s="1" t="str">
        <f aca="false">IF($A137="","",IF(AN137&gt;INDEX(账户总表!$O:$O,COUNTA(账户总表!$A:$A)),"超限","合规"))</f>
        <v/>
      </c>
      <c r="AP137" s="1" t="str">
        <f aca="false">IF($A137="","",IF(AND(AL137="新标的",INDEX(账户总表!$R:$R,COUNTA(账户总表!$A:$A))&gt;=INDEX(账户总表!$S:$S,COUNTA(账户总表!$A:$A))),"新增受限","可通过"))</f>
        <v/>
      </c>
      <c r="AQ137" s="1" t="str">
        <f aca="false">IF($A137="","",IF(K137&lt;&gt;"核心池","非核心池",IF(OR(AI137="超限",AO137="超限",AP137="新增受限"),"不可加仓","可加仓")))</f>
        <v/>
      </c>
      <c r="AR137" s="1" t="str">
        <f aca="false">IF($A137="","",TRIM(IF(AI137="超限","1手超单股上限；","")&amp;IF(AO137="超限","买后仓位超限；","")&amp;IF(AP137="新增受限","有效持仓数超限；","")&amp;IF(AF137&gt;INDEX(账户总表!$C:$C,COUNTA(账户总表!$A:$A)),"现金不足；","")))</f>
        <v/>
      </c>
      <c r="AS137" s="1" t="str">
        <f aca="false">IF($A137="","",IFERROR(INDEX(候选池历史!$L:$L,MATCH(1,(候选池历史!$B:$B=C137)*(候选池历史!$A:$A=$A137),0)),0))</f>
        <v/>
      </c>
      <c r="AT137" s="1" t="str">
        <f aca="false">IF($A137="","",IF(AS137&gt;=3,"★信号强化",IF(K137="核心池","核心观察","")))</f>
        <v/>
      </c>
      <c r="AU137" s="1" t="str">
        <f aca="false">IF($A137="","",IF(AK137&gt;30000-INDEX(账户总表!$B:$B,COUNTA(账户总表!$A:$A)),"不适合婴儿阶段","可纳入幼儿路径"))</f>
        <v/>
      </c>
    </row>
    <row r="138" customFormat="false" ht="15" hidden="false" customHeight="true" outlineLevel="0" collapsed="false">
      <c r="A138" s="70"/>
      <c r="B138" s="71"/>
      <c r="C138" s="72"/>
      <c r="D138" s="73"/>
      <c r="E138" s="73"/>
      <c r="F138" s="73"/>
      <c r="G138" s="74"/>
      <c r="H138" s="72"/>
      <c r="I138" s="72"/>
      <c r="J138" s="71"/>
      <c r="K138" s="75" t="str">
        <f aca="false">IF($A138="","",IF(AND(G138&lt;45%,H138&gt;=0.9),"A",IF(AND(G138&lt;60%,H138&gt;0.8),"B","C")))</f>
        <v/>
      </c>
      <c r="L138" s="75" t="str">
        <f aca="false">IF($A138="","",IF(AND(G138&lt;60%,H138&gt;0.8,I138="True"),"是","否"))</f>
        <v/>
      </c>
      <c r="M138" s="75" t="str">
        <f aca="false">IF($A138="","",IF(AND(D138&gt;0,E138&gt;0,D138&lt;=E138*1.02),"是","否"))</f>
        <v/>
      </c>
      <c r="N138" s="76" t="n">
        <f aca="false">IFERROR(INDEX(账户总表!$O:$O,COUNTA(账户总表!$A:$A)),0)</f>
        <v>0.35</v>
      </c>
      <c r="O138" s="77" t="n">
        <f aca="false">IFERROR(INDEX(账户总表!$B:$B,COUNTA(账户总表!$A:$A))*N138,0)</f>
        <v>7294.812</v>
      </c>
      <c r="P138" s="78" t="n">
        <f aca="false">IFERROR(O138/D138,0)</f>
        <v>0</v>
      </c>
      <c r="Q138" s="78" t="n">
        <f aca="false">IFERROR(FLOOR(P138,100),0)</f>
        <v>0</v>
      </c>
      <c r="R138" s="78" t="n">
        <f aca="false">IFERROR(CEILING(800/(100*D138),1)*100,0)</f>
        <v>0</v>
      </c>
      <c r="S138" s="79"/>
      <c r="T138" s="77" t="n">
        <f aca="false">IFERROR(S138*D138,0)</f>
        <v>0</v>
      </c>
      <c r="U138" s="76" t="n">
        <f aca="false">IFERROR(T138/INDEX(账户总表!$B:$B,COUNTA(账户总表!$A:$A)),0)</f>
        <v>0</v>
      </c>
      <c r="V138" s="76" t="n">
        <f aca="false">IFERROR(INDEX(账户总表!$E:$E,COUNTA(账户总表!$A:$A))+U138,0)</f>
        <v>0.407056412146057</v>
      </c>
      <c r="W138" s="75" t="str">
        <f aca="false">IF($A138="","",IFERROR(IF(V138&lt;=INDEX(账户总表!$N:$N,COUNTA(账户总表!$A:$A)),"是","否"),"否"))</f>
        <v/>
      </c>
      <c r="X138" s="77" t="str">
        <f aca="false">IF($A138="","",MAX(F138*0.98,D138*0.92))</f>
        <v/>
      </c>
      <c r="Y138" s="72"/>
      <c r="Z138" s="75" t="str">
        <f aca="false">IF($A138="","",IFERROR(IF(AND(T138&gt;INDEX(账户总表!$C:$C,COUNTA(账户总表!$A:$A)),L138="是"),"是","否"),"否"))</f>
        <v/>
      </c>
      <c r="AA138" s="77" t="str">
        <f aca="false">IF($A138="","",IFERROR(IF(Z138="是",MAX(0,T138-INDEX(账户总表!$C:$C,COUNTA(账户总表!$A:$A)),IF(N138&gt;0,T138/N138-INDEX(账户总表!$B:$B,COUNTA(账户总表!$A:$A)),0)),0),0))</f>
        <v/>
      </c>
      <c r="AB138" s="77" t="str">
        <f aca="false">IF($A138="","",IF(AND(Z138="是",INDEX(账户总表!$U:$U,COUNTA(账户总表!$A:$A))="是"),IF(INDEX(账户总表!$L:$L,COUNTA(账户总表!$A:$A))&gt;=4,AA138*1.5,AA138),0))</f>
        <v/>
      </c>
      <c r="AC138" s="75" t="str">
        <f aca="false">IF($A138="","",IF(AND(L138="是",Q138&gt;=R138,S138&lt;=Q138,S138&gt;=R138,W138="是",X138&gt;0,M138="是",INDEX(账户总表!$M:$M,COUNTA(账户总表!$A:$A))&lt;=2,INDEX(账户总表!$V:$V,COUNTA(账户总表!$A:$A))="是",OR(T138&lt;=INDEX(账户总表!$C:$C,COUNTA(账户总表!$A:$A)),AND(Z138="是",INDEX(账户总表!$U:$U,COUNTA(账户总表!$A:$A))="是",AB138&gt;0))),"是","否"))</f>
        <v/>
      </c>
      <c r="AD138" s="75" t="str">
        <f aca="false">IF($A138="","",IF(L138&lt;&gt;"是","信号未确认",IF(X138&lt;=0,"止损价未定义",IF(Q138&lt;R138,"100股约束不满足",IF(S138&gt;Q138,"计划股数超单股上限",IF(S138&lt;R138,"计划股数低于最小门槛",IF(W138&lt;&gt;"是","总仓位超限",IF(M138&lt;&gt;"是","追价",IF(INDEX(账户总表!$M:$M,COUNTA(账户总表!$A:$A))&gt;2,"亏钱效应偏高",IF(INDEX(账户总表!$V:$V,COUNTA(账户总表!$A:$A))&lt;&gt;"是","账户不允许新开仓",IF(AND(T138&gt;INDEX(账户总表!$C:$C,COUNTA(账户总表!$A:$A)),INDEX(账户总表!$U:$U,COUNTA(账户总表!$A:$A))&lt;&gt;"是"),"现金不足且不允许转入",IF(AND(Z138="是",AB138&lt;=0),"转入金额未满足",""))))))))))))</f>
        <v/>
      </c>
      <c r="AE138" s="71"/>
      <c r="AF138" s="1" t="str">
        <f aca="false">IF($A138="","",D138*100)</f>
        <v/>
      </c>
      <c r="AG138" s="1" t="str">
        <f aca="false">IF($A138="","",IFERROR(AF138/INDEX(账户总表!$B:$B,COUNTA(账户总表!$A:$A)),0))</f>
        <v/>
      </c>
      <c r="AH138" s="1" t="str">
        <f aca="false">IF($A138="","",IFERROR(INDEX(账户总表!$B:$B,COUNTA(账户总表!$A:$A))*INDEX(账户总表!$O:$O,COUNTA(账户总表!$A:$A)),0))</f>
        <v/>
      </c>
      <c r="AI138" s="1" t="str">
        <f aca="false">IF($A138="","",IF(AF138&gt;AH138,"超限","合规"))</f>
        <v/>
      </c>
      <c r="AJ138" s="1" t="str">
        <f aca="false">IF($A138="","",IFERROR(AF138/INDEX(账户总表!$O:$O,COUNTA(账户总表!$A:$A)),0))</f>
        <v/>
      </c>
      <c r="AK138" s="1" t="str">
        <f aca="false">IF($A138="","",IFERROR(MAX(0,AJ138-INDEX(账户总表!$B:$B,COUNTA(账户总表!$A:$A)),AF138-INDEX(账户总表!$C:$C,COUNTA(账户总表!$A:$A))),0))</f>
        <v/>
      </c>
      <c r="AL138" s="1" t="str">
        <f aca="false">IF($A138="","",IF(COUNTIF(持仓表!$C$2:$C$201,C138)&gt;0,"已有","新标的"))</f>
        <v/>
      </c>
      <c r="AM138" s="1" t="str">
        <f aca="false">IF($A138="","",IFERROR(SUMIFS(持仓表!$N$2:$N$201,持仓表!$C$2:$C$201,C138,持仓表!$A$2:$A$201,$A138),0))</f>
        <v/>
      </c>
      <c r="AN138" s="1" t="str">
        <f aca="false">IF($A138="","",IFERROR(AM138+AF138/INDEX(账户总表!$B:$B,COUNTA(账户总表!$A:$A)),0))</f>
        <v/>
      </c>
      <c r="AO138" s="1" t="str">
        <f aca="false">IF($A138="","",IF(AN138&gt;INDEX(账户总表!$O:$O,COUNTA(账户总表!$A:$A)),"超限","合规"))</f>
        <v/>
      </c>
      <c r="AP138" s="1" t="str">
        <f aca="false">IF($A138="","",IF(AND(AL138="新标的",INDEX(账户总表!$R:$R,COUNTA(账户总表!$A:$A))&gt;=INDEX(账户总表!$S:$S,COUNTA(账户总表!$A:$A))),"新增受限","可通过"))</f>
        <v/>
      </c>
      <c r="AQ138" s="1" t="str">
        <f aca="false">IF($A138="","",IF(K138&lt;&gt;"核心池","非核心池",IF(OR(AI138="超限",AO138="超限",AP138="新增受限"),"不可加仓","可加仓")))</f>
        <v/>
      </c>
      <c r="AR138" s="1" t="str">
        <f aca="false">IF($A138="","",TRIM(IF(AI138="超限","1手超单股上限；","")&amp;IF(AO138="超限","买后仓位超限；","")&amp;IF(AP138="新增受限","有效持仓数超限；","")&amp;IF(AF138&gt;INDEX(账户总表!$C:$C,COUNTA(账户总表!$A:$A)),"现金不足；","")))</f>
        <v/>
      </c>
      <c r="AS138" s="1" t="str">
        <f aca="false">IF($A138="","",IFERROR(INDEX(候选池历史!$L:$L,MATCH(1,(候选池历史!$B:$B=C138)*(候选池历史!$A:$A=$A138),0)),0))</f>
        <v/>
      </c>
      <c r="AT138" s="1" t="str">
        <f aca="false">IF($A138="","",IF(AS138&gt;=3,"★信号强化",IF(K138="核心池","核心观察","")))</f>
        <v/>
      </c>
      <c r="AU138" s="1" t="str">
        <f aca="false">IF($A138="","",IF(AK138&gt;30000-INDEX(账户总表!$B:$B,COUNTA(账户总表!$A:$A)),"不适合婴儿阶段","可纳入幼儿路径"))</f>
        <v/>
      </c>
    </row>
    <row r="139" customFormat="false" ht="15" hidden="false" customHeight="true" outlineLevel="0" collapsed="false">
      <c r="A139" s="70"/>
      <c r="B139" s="71"/>
      <c r="C139" s="72"/>
      <c r="D139" s="73"/>
      <c r="E139" s="73"/>
      <c r="F139" s="73"/>
      <c r="G139" s="74"/>
      <c r="H139" s="72"/>
      <c r="I139" s="72"/>
      <c r="J139" s="71"/>
      <c r="K139" s="75" t="str">
        <f aca="false">IF($A139="","",IF(AND(G139&lt;45%,H139&gt;=0.9),"A",IF(AND(G139&lt;60%,H139&gt;0.8),"B","C")))</f>
        <v/>
      </c>
      <c r="L139" s="75" t="str">
        <f aca="false">IF($A139="","",IF(AND(G139&lt;60%,H139&gt;0.8,I139="True"),"是","否"))</f>
        <v/>
      </c>
      <c r="M139" s="75" t="str">
        <f aca="false">IF($A139="","",IF(AND(D139&gt;0,E139&gt;0,D139&lt;=E139*1.02),"是","否"))</f>
        <v/>
      </c>
      <c r="N139" s="76" t="n">
        <f aca="false">IFERROR(INDEX(账户总表!$O:$O,COUNTA(账户总表!$A:$A)),0)</f>
        <v>0.35</v>
      </c>
      <c r="O139" s="77" t="n">
        <f aca="false">IFERROR(INDEX(账户总表!$B:$B,COUNTA(账户总表!$A:$A))*N139,0)</f>
        <v>7294.812</v>
      </c>
      <c r="P139" s="78" t="n">
        <f aca="false">IFERROR(O139/D139,0)</f>
        <v>0</v>
      </c>
      <c r="Q139" s="78" t="n">
        <f aca="false">IFERROR(FLOOR(P139,100),0)</f>
        <v>0</v>
      </c>
      <c r="R139" s="78" t="n">
        <f aca="false">IFERROR(CEILING(800/(100*D139),1)*100,0)</f>
        <v>0</v>
      </c>
      <c r="S139" s="79"/>
      <c r="T139" s="77" t="n">
        <f aca="false">IFERROR(S139*D139,0)</f>
        <v>0</v>
      </c>
      <c r="U139" s="76" t="n">
        <f aca="false">IFERROR(T139/INDEX(账户总表!$B:$B,COUNTA(账户总表!$A:$A)),0)</f>
        <v>0</v>
      </c>
      <c r="V139" s="76" t="n">
        <f aca="false">IFERROR(INDEX(账户总表!$E:$E,COUNTA(账户总表!$A:$A))+U139,0)</f>
        <v>0.407056412146057</v>
      </c>
      <c r="W139" s="75" t="str">
        <f aca="false">IF($A139="","",IFERROR(IF(V139&lt;=INDEX(账户总表!$N:$N,COUNTA(账户总表!$A:$A)),"是","否"),"否"))</f>
        <v/>
      </c>
      <c r="X139" s="77" t="str">
        <f aca="false">IF($A139="","",MAX(F139*0.98,D139*0.92))</f>
        <v/>
      </c>
      <c r="Y139" s="72"/>
      <c r="Z139" s="75" t="str">
        <f aca="false">IF($A139="","",IFERROR(IF(AND(T139&gt;INDEX(账户总表!$C:$C,COUNTA(账户总表!$A:$A)),L139="是"),"是","否"),"否"))</f>
        <v/>
      </c>
      <c r="AA139" s="77" t="str">
        <f aca="false">IF($A139="","",IFERROR(IF(Z139="是",MAX(0,T139-INDEX(账户总表!$C:$C,COUNTA(账户总表!$A:$A)),IF(N139&gt;0,T139/N139-INDEX(账户总表!$B:$B,COUNTA(账户总表!$A:$A)),0)),0),0))</f>
        <v/>
      </c>
      <c r="AB139" s="77" t="str">
        <f aca="false">IF($A139="","",IF(AND(Z139="是",INDEX(账户总表!$U:$U,COUNTA(账户总表!$A:$A))="是"),IF(INDEX(账户总表!$L:$L,COUNTA(账户总表!$A:$A))&gt;=4,AA139*1.5,AA139),0))</f>
        <v/>
      </c>
      <c r="AC139" s="75" t="str">
        <f aca="false">IF($A139="","",IF(AND(L139="是",Q139&gt;=R139,S139&lt;=Q139,S139&gt;=R139,W139="是",X139&gt;0,M139="是",INDEX(账户总表!$M:$M,COUNTA(账户总表!$A:$A))&lt;=2,INDEX(账户总表!$V:$V,COUNTA(账户总表!$A:$A))="是",OR(T139&lt;=INDEX(账户总表!$C:$C,COUNTA(账户总表!$A:$A)),AND(Z139="是",INDEX(账户总表!$U:$U,COUNTA(账户总表!$A:$A))="是",AB139&gt;0))),"是","否"))</f>
        <v/>
      </c>
      <c r="AD139" s="75" t="str">
        <f aca="false">IF($A139="","",IF(L139&lt;&gt;"是","信号未确认",IF(X139&lt;=0,"止损价未定义",IF(Q139&lt;R139,"100股约束不满足",IF(S139&gt;Q139,"计划股数超单股上限",IF(S139&lt;R139,"计划股数低于最小门槛",IF(W139&lt;&gt;"是","总仓位超限",IF(M139&lt;&gt;"是","追价",IF(INDEX(账户总表!$M:$M,COUNTA(账户总表!$A:$A))&gt;2,"亏钱效应偏高",IF(INDEX(账户总表!$V:$V,COUNTA(账户总表!$A:$A))&lt;&gt;"是","账户不允许新开仓",IF(AND(T139&gt;INDEX(账户总表!$C:$C,COUNTA(账户总表!$A:$A)),INDEX(账户总表!$U:$U,COUNTA(账户总表!$A:$A))&lt;&gt;"是"),"现金不足且不允许转入",IF(AND(Z139="是",AB139&lt;=0),"转入金额未满足",""))))))))))))</f>
        <v/>
      </c>
      <c r="AE139" s="71"/>
      <c r="AF139" s="1" t="str">
        <f aca="false">IF($A139="","",D139*100)</f>
        <v/>
      </c>
      <c r="AG139" s="1" t="str">
        <f aca="false">IF($A139="","",IFERROR(AF139/INDEX(账户总表!$B:$B,COUNTA(账户总表!$A:$A)),0))</f>
        <v/>
      </c>
      <c r="AH139" s="1" t="str">
        <f aca="false">IF($A139="","",IFERROR(INDEX(账户总表!$B:$B,COUNTA(账户总表!$A:$A))*INDEX(账户总表!$O:$O,COUNTA(账户总表!$A:$A)),0))</f>
        <v/>
      </c>
      <c r="AI139" s="1" t="str">
        <f aca="false">IF($A139="","",IF(AF139&gt;AH139,"超限","合规"))</f>
        <v/>
      </c>
      <c r="AJ139" s="1" t="str">
        <f aca="false">IF($A139="","",IFERROR(AF139/INDEX(账户总表!$O:$O,COUNTA(账户总表!$A:$A)),0))</f>
        <v/>
      </c>
      <c r="AK139" s="1" t="str">
        <f aca="false">IF($A139="","",IFERROR(MAX(0,AJ139-INDEX(账户总表!$B:$B,COUNTA(账户总表!$A:$A)),AF139-INDEX(账户总表!$C:$C,COUNTA(账户总表!$A:$A))),0))</f>
        <v/>
      </c>
      <c r="AL139" s="1" t="str">
        <f aca="false">IF($A139="","",IF(COUNTIF(持仓表!$C$2:$C$201,C139)&gt;0,"已有","新标的"))</f>
        <v/>
      </c>
      <c r="AM139" s="1" t="str">
        <f aca="false">IF($A139="","",IFERROR(SUMIFS(持仓表!$N$2:$N$201,持仓表!$C$2:$C$201,C139,持仓表!$A$2:$A$201,$A139),0))</f>
        <v/>
      </c>
      <c r="AN139" s="1" t="str">
        <f aca="false">IF($A139="","",IFERROR(AM139+AF139/INDEX(账户总表!$B:$B,COUNTA(账户总表!$A:$A)),0))</f>
        <v/>
      </c>
      <c r="AO139" s="1" t="str">
        <f aca="false">IF($A139="","",IF(AN139&gt;INDEX(账户总表!$O:$O,COUNTA(账户总表!$A:$A)),"超限","合规"))</f>
        <v/>
      </c>
      <c r="AP139" s="1" t="str">
        <f aca="false">IF($A139="","",IF(AND(AL139="新标的",INDEX(账户总表!$R:$R,COUNTA(账户总表!$A:$A))&gt;=INDEX(账户总表!$S:$S,COUNTA(账户总表!$A:$A))),"新增受限","可通过"))</f>
        <v/>
      </c>
      <c r="AQ139" s="1" t="str">
        <f aca="false">IF($A139="","",IF(K139&lt;&gt;"核心池","非核心池",IF(OR(AI139="超限",AO139="超限",AP139="新增受限"),"不可加仓","可加仓")))</f>
        <v/>
      </c>
      <c r="AR139" s="1" t="str">
        <f aca="false">IF($A139="","",TRIM(IF(AI139="超限","1手超单股上限；","")&amp;IF(AO139="超限","买后仓位超限；","")&amp;IF(AP139="新增受限","有效持仓数超限；","")&amp;IF(AF139&gt;INDEX(账户总表!$C:$C,COUNTA(账户总表!$A:$A)),"现金不足；","")))</f>
        <v/>
      </c>
      <c r="AS139" s="1" t="str">
        <f aca="false">IF($A139="","",IFERROR(INDEX(候选池历史!$L:$L,MATCH(1,(候选池历史!$B:$B=C139)*(候选池历史!$A:$A=$A139),0)),0))</f>
        <v/>
      </c>
      <c r="AT139" s="1" t="str">
        <f aca="false">IF($A139="","",IF(AS139&gt;=3,"★信号强化",IF(K139="核心池","核心观察","")))</f>
        <v/>
      </c>
      <c r="AU139" s="1" t="str">
        <f aca="false">IF($A139="","",IF(AK139&gt;30000-INDEX(账户总表!$B:$B,COUNTA(账户总表!$A:$A)),"不适合婴儿阶段","可纳入幼儿路径"))</f>
        <v/>
      </c>
    </row>
    <row r="140" customFormat="false" ht="15" hidden="false" customHeight="true" outlineLevel="0" collapsed="false">
      <c r="A140" s="70"/>
      <c r="B140" s="71"/>
      <c r="C140" s="72"/>
      <c r="D140" s="73"/>
      <c r="E140" s="73"/>
      <c r="F140" s="73"/>
      <c r="G140" s="74"/>
      <c r="H140" s="72"/>
      <c r="I140" s="72"/>
      <c r="J140" s="71"/>
      <c r="K140" s="75" t="str">
        <f aca="false">IF($A140="","",IF(AND(G140&lt;45%,H140&gt;=0.9),"A",IF(AND(G140&lt;60%,H140&gt;0.8),"B","C")))</f>
        <v/>
      </c>
      <c r="L140" s="75" t="str">
        <f aca="false">IF($A140="","",IF(AND(G140&lt;60%,H140&gt;0.8,I140="True"),"是","否"))</f>
        <v/>
      </c>
      <c r="M140" s="75" t="str">
        <f aca="false">IF($A140="","",IF(AND(D140&gt;0,E140&gt;0,D140&lt;=E140*1.02),"是","否"))</f>
        <v/>
      </c>
      <c r="N140" s="76" t="n">
        <f aca="false">IFERROR(INDEX(账户总表!$O:$O,COUNTA(账户总表!$A:$A)),0)</f>
        <v>0.35</v>
      </c>
      <c r="O140" s="77" t="n">
        <f aca="false">IFERROR(INDEX(账户总表!$B:$B,COUNTA(账户总表!$A:$A))*N140,0)</f>
        <v>7294.812</v>
      </c>
      <c r="P140" s="78" t="n">
        <f aca="false">IFERROR(O140/D140,0)</f>
        <v>0</v>
      </c>
      <c r="Q140" s="78" t="n">
        <f aca="false">IFERROR(FLOOR(P140,100),0)</f>
        <v>0</v>
      </c>
      <c r="R140" s="78" t="n">
        <f aca="false">IFERROR(CEILING(800/(100*D140),1)*100,0)</f>
        <v>0</v>
      </c>
      <c r="S140" s="79"/>
      <c r="T140" s="77" t="n">
        <f aca="false">IFERROR(S140*D140,0)</f>
        <v>0</v>
      </c>
      <c r="U140" s="76" t="n">
        <f aca="false">IFERROR(T140/INDEX(账户总表!$B:$B,COUNTA(账户总表!$A:$A)),0)</f>
        <v>0</v>
      </c>
      <c r="V140" s="76" t="n">
        <f aca="false">IFERROR(INDEX(账户总表!$E:$E,COUNTA(账户总表!$A:$A))+U140,0)</f>
        <v>0.407056412146057</v>
      </c>
      <c r="W140" s="75" t="str">
        <f aca="false">IF($A140="","",IFERROR(IF(V140&lt;=INDEX(账户总表!$N:$N,COUNTA(账户总表!$A:$A)),"是","否"),"否"))</f>
        <v/>
      </c>
      <c r="X140" s="77" t="str">
        <f aca="false">IF($A140="","",MAX(F140*0.98,D140*0.92))</f>
        <v/>
      </c>
      <c r="Y140" s="72"/>
      <c r="Z140" s="75" t="str">
        <f aca="false">IF($A140="","",IFERROR(IF(AND(T140&gt;INDEX(账户总表!$C:$C,COUNTA(账户总表!$A:$A)),L140="是"),"是","否"),"否"))</f>
        <v/>
      </c>
      <c r="AA140" s="77" t="str">
        <f aca="false">IF($A140="","",IFERROR(IF(Z140="是",MAX(0,T140-INDEX(账户总表!$C:$C,COUNTA(账户总表!$A:$A)),IF(N140&gt;0,T140/N140-INDEX(账户总表!$B:$B,COUNTA(账户总表!$A:$A)),0)),0),0))</f>
        <v/>
      </c>
      <c r="AB140" s="77" t="str">
        <f aca="false">IF($A140="","",IF(AND(Z140="是",INDEX(账户总表!$U:$U,COUNTA(账户总表!$A:$A))="是"),IF(INDEX(账户总表!$L:$L,COUNTA(账户总表!$A:$A))&gt;=4,AA140*1.5,AA140),0))</f>
        <v/>
      </c>
      <c r="AC140" s="75" t="str">
        <f aca="false">IF($A140="","",IF(AND(L140="是",Q140&gt;=R140,S140&lt;=Q140,S140&gt;=R140,W140="是",X140&gt;0,M140="是",INDEX(账户总表!$M:$M,COUNTA(账户总表!$A:$A))&lt;=2,INDEX(账户总表!$V:$V,COUNTA(账户总表!$A:$A))="是",OR(T140&lt;=INDEX(账户总表!$C:$C,COUNTA(账户总表!$A:$A)),AND(Z140="是",INDEX(账户总表!$U:$U,COUNTA(账户总表!$A:$A))="是",AB140&gt;0))),"是","否"))</f>
        <v/>
      </c>
      <c r="AD140" s="75" t="str">
        <f aca="false">IF($A140="","",IF(L140&lt;&gt;"是","信号未确认",IF(X140&lt;=0,"止损价未定义",IF(Q140&lt;R140,"100股约束不满足",IF(S140&gt;Q140,"计划股数超单股上限",IF(S140&lt;R140,"计划股数低于最小门槛",IF(W140&lt;&gt;"是","总仓位超限",IF(M140&lt;&gt;"是","追价",IF(INDEX(账户总表!$M:$M,COUNTA(账户总表!$A:$A))&gt;2,"亏钱效应偏高",IF(INDEX(账户总表!$V:$V,COUNTA(账户总表!$A:$A))&lt;&gt;"是","账户不允许新开仓",IF(AND(T140&gt;INDEX(账户总表!$C:$C,COUNTA(账户总表!$A:$A)),INDEX(账户总表!$U:$U,COUNTA(账户总表!$A:$A))&lt;&gt;"是"),"现金不足且不允许转入",IF(AND(Z140="是",AB140&lt;=0),"转入金额未满足",""))))))))))))</f>
        <v/>
      </c>
      <c r="AE140" s="71"/>
      <c r="AF140" s="1" t="str">
        <f aca="false">IF($A140="","",D140*100)</f>
        <v/>
      </c>
      <c r="AG140" s="1" t="str">
        <f aca="false">IF($A140="","",IFERROR(AF140/INDEX(账户总表!$B:$B,COUNTA(账户总表!$A:$A)),0))</f>
        <v/>
      </c>
      <c r="AH140" s="1" t="str">
        <f aca="false">IF($A140="","",IFERROR(INDEX(账户总表!$B:$B,COUNTA(账户总表!$A:$A))*INDEX(账户总表!$O:$O,COUNTA(账户总表!$A:$A)),0))</f>
        <v/>
      </c>
      <c r="AI140" s="1" t="str">
        <f aca="false">IF($A140="","",IF(AF140&gt;AH140,"超限","合规"))</f>
        <v/>
      </c>
      <c r="AJ140" s="1" t="str">
        <f aca="false">IF($A140="","",IFERROR(AF140/INDEX(账户总表!$O:$O,COUNTA(账户总表!$A:$A)),0))</f>
        <v/>
      </c>
      <c r="AK140" s="1" t="str">
        <f aca="false">IF($A140="","",IFERROR(MAX(0,AJ140-INDEX(账户总表!$B:$B,COUNTA(账户总表!$A:$A)),AF140-INDEX(账户总表!$C:$C,COUNTA(账户总表!$A:$A))),0))</f>
        <v/>
      </c>
      <c r="AL140" s="1" t="str">
        <f aca="false">IF($A140="","",IF(COUNTIF(持仓表!$C$2:$C$201,C140)&gt;0,"已有","新标的"))</f>
        <v/>
      </c>
      <c r="AM140" s="1" t="str">
        <f aca="false">IF($A140="","",IFERROR(SUMIFS(持仓表!$N$2:$N$201,持仓表!$C$2:$C$201,C140,持仓表!$A$2:$A$201,$A140),0))</f>
        <v/>
      </c>
      <c r="AN140" s="1" t="str">
        <f aca="false">IF($A140="","",IFERROR(AM140+AF140/INDEX(账户总表!$B:$B,COUNTA(账户总表!$A:$A)),0))</f>
        <v/>
      </c>
      <c r="AO140" s="1" t="str">
        <f aca="false">IF($A140="","",IF(AN140&gt;INDEX(账户总表!$O:$O,COUNTA(账户总表!$A:$A)),"超限","合规"))</f>
        <v/>
      </c>
      <c r="AP140" s="1" t="str">
        <f aca="false">IF($A140="","",IF(AND(AL140="新标的",INDEX(账户总表!$R:$R,COUNTA(账户总表!$A:$A))&gt;=INDEX(账户总表!$S:$S,COUNTA(账户总表!$A:$A))),"新增受限","可通过"))</f>
        <v/>
      </c>
      <c r="AQ140" s="1" t="str">
        <f aca="false">IF($A140="","",IF(K140&lt;&gt;"核心池","非核心池",IF(OR(AI140="超限",AO140="超限",AP140="新增受限"),"不可加仓","可加仓")))</f>
        <v/>
      </c>
      <c r="AR140" s="1" t="str">
        <f aca="false">IF($A140="","",TRIM(IF(AI140="超限","1手超单股上限；","")&amp;IF(AO140="超限","买后仓位超限；","")&amp;IF(AP140="新增受限","有效持仓数超限；","")&amp;IF(AF140&gt;INDEX(账户总表!$C:$C,COUNTA(账户总表!$A:$A)),"现金不足；","")))</f>
        <v/>
      </c>
      <c r="AS140" s="1" t="str">
        <f aca="false">IF($A140="","",IFERROR(INDEX(候选池历史!$L:$L,MATCH(1,(候选池历史!$B:$B=C140)*(候选池历史!$A:$A=$A140),0)),0))</f>
        <v/>
      </c>
      <c r="AT140" s="1" t="str">
        <f aca="false">IF($A140="","",IF(AS140&gt;=3,"★信号强化",IF(K140="核心池","核心观察","")))</f>
        <v/>
      </c>
      <c r="AU140" s="1" t="str">
        <f aca="false">IF($A140="","",IF(AK140&gt;30000-INDEX(账户总表!$B:$B,COUNTA(账户总表!$A:$A)),"不适合婴儿阶段","可纳入幼儿路径"))</f>
        <v/>
      </c>
    </row>
    <row r="141" customFormat="false" ht="15" hidden="false" customHeight="true" outlineLevel="0" collapsed="false">
      <c r="A141" s="70"/>
      <c r="B141" s="71"/>
      <c r="C141" s="72"/>
      <c r="D141" s="73"/>
      <c r="E141" s="73"/>
      <c r="F141" s="73"/>
      <c r="G141" s="74"/>
      <c r="H141" s="72"/>
      <c r="I141" s="72"/>
      <c r="J141" s="71"/>
      <c r="K141" s="75" t="str">
        <f aca="false">IF($A141="","",IF(AND(G141&lt;45%,H141&gt;=0.9),"A",IF(AND(G141&lt;60%,H141&gt;0.8),"B","C")))</f>
        <v/>
      </c>
      <c r="L141" s="75" t="str">
        <f aca="false">IF($A141="","",IF(AND(G141&lt;60%,H141&gt;0.8,I141="True"),"是","否"))</f>
        <v/>
      </c>
      <c r="M141" s="75" t="str">
        <f aca="false">IF($A141="","",IF(AND(D141&gt;0,E141&gt;0,D141&lt;=E141*1.02),"是","否"))</f>
        <v/>
      </c>
      <c r="N141" s="76" t="n">
        <f aca="false">IFERROR(INDEX(账户总表!$O:$O,COUNTA(账户总表!$A:$A)),0)</f>
        <v>0.35</v>
      </c>
      <c r="O141" s="77" t="n">
        <f aca="false">IFERROR(INDEX(账户总表!$B:$B,COUNTA(账户总表!$A:$A))*N141,0)</f>
        <v>7294.812</v>
      </c>
      <c r="P141" s="78" t="n">
        <f aca="false">IFERROR(O141/D141,0)</f>
        <v>0</v>
      </c>
      <c r="Q141" s="78" t="n">
        <f aca="false">IFERROR(FLOOR(P141,100),0)</f>
        <v>0</v>
      </c>
      <c r="R141" s="78" t="n">
        <f aca="false">IFERROR(CEILING(800/(100*D141),1)*100,0)</f>
        <v>0</v>
      </c>
      <c r="S141" s="79"/>
      <c r="T141" s="77" t="n">
        <f aca="false">IFERROR(S141*D141,0)</f>
        <v>0</v>
      </c>
      <c r="U141" s="76" t="n">
        <f aca="false">IFERROR(T141/INDEX(账户总表!$B:$B,COUNTA(账户总表!$A:$A)),0)</f>
        <v>0</v>
      </c>
      <c r="V141" s="76" t="n">
        <f aca="false">IFERROR(INDEX(账户总表!$E:$E,COUNTA(账户总表!$A:$A))+U141,0)</f>
        <v>0.407056412146057</v>
      </c>
      <c r="W141" s="75" t="str">
        <f aca="false">IF($A141="","",IFERROR(IF(V141&lt;=INDEX(账户总表!$N:$N,COUNTA(账户总表!$A:$A)),"是","否"),"否"))</f>
        <v/>
      </c>
      <c r="X141" s="77" t="str">
        <f aca="false">IF($A141="","",MAX(F141*0.98,D141*0.92))</f>
        <v/>
      </c>
      <c r="Y141" s="72"/>
      <c r="Z141" s="75" t="str">
        <f aca="false">IF($A141="","",IFERROR(IF(AND(T141&gt;INDEX(账户总表!$C:$C,COUNTA(账户总表!$A:$A)),L141="是"),"是","否"),"否"))</f>
        <v/>
      </c>
      <c r="AA141" s="77" t="str">
        <f aca="false">IF($A141="","",IFERROR(IF(Z141="是",MAX(0,T141-INDEX(账户总表!$C:$C,COUNTA(账户总表!$A:$A)),IF(N141&gt;0,T141/N141-INDEX(账户总表!$B:$B,COUNTA(账户总表!$A:$A)),0)),0),0))</f>
        <v/>
      </c>
      <c r="AB141" s="77" t="str">
        <f aca="false">IF($A141="","",IF(AND(Z141="是",INDEX(账户总表!$U:$U,COUNTA(账户总表!$A:$A))="是"),IF(INDEX(账户总表!$L:$L,COUNTA(账户总表!$A:$A))&gt;=4,AA141*1.5,AA141),0))</f>
        <v/>
      </c>
      <c r="AC141" s="75" t="str">
        <f aca="false">IF($A141="","",IF(AND(L141="是",Q141&gt;=R141,S141&lt;=Q141,S141&gt;=R141,W141="是",X141&gt;0,M141="是",INDEX(账户总表!$M:$M,COUNTA(账户总表!$A:$A))&lt;=2,INDEX(账户总表!$V:$V,COUNTA(账户总表!$A:$A))="是",OR(T141&lt;=INDEX(账户总表!$C:$C,COUNTA(账户总表!$A:$A)),AND(Z141="是",INDEX(账户总表!$U:$U,COUNTA(账户总表!$A:$A))="是",AB141&gt;0))),"是","否"))</f>
        <v/>
      </c>
      <c r="AD141" s="75" t="str">
        <f aca="false">IF($A141="","",IF(L141&lt;&gt;"是","信号未确认",IF(X141&lt;=0,"止损价未定义",IF(Q141&lt;R141,"100股约束不满足",IF(S141&gt;Q141,"计划股数超单股上限",IF(S141&lt;R141,"计划股数低于最小门槛",IF(W141&lt;&gt;"是","总仓位超限",IF(M141&lt;&gt;"是","追价",IF(INDEX(账户总表!$M:$M,COUNTA(账户总表!$A:$A))&gt;2,"亏钱效应偏高",IF(INDEX(账户总表!$V:$V,COUNTA(账户总表!$A:$A))&lt;&gt;"是","账户不允许新开仓",IF(AND(T141&gt;INDEX(账户总表!$C:$C,COUNTA(账户总表!$A:$A)),INDEX(账户总表!$U:$U,COUNTA(账户总表!$A:$A))&lt;&gt;"是"),"现金不足且不允许转入",IF(AND(Z141="是",AB141&lt;=0),"转入金额未满足",""))))))))))))</f>
        <v/>
      </c>
      <c r="AE141" s="71"/>
      <c r="AF141" s="1" t="str">
        <f aca="false">IF($A141="","",D141*100)</f>
        <v/>
      </c>
      <c r="AG141" s="1" t="str">
        <f aca="false">IF($A141="","",IFERROR(AF141/INDEX(账户总表!$B:$B,COUNTA(账户总表!$A:$A)),0))</f>
        <v/>
      </c>
      <c r="AH141" s="1" t="str">
        <f aca="false">IF($A141="","",IFERROR(INDEX(账户总表!$B:$B,COUNTA(账户总表!$A:$A))*INDEX(账户总表!$O:$O,COUNTA(账户总表!$A:$A)),0))</f>
        <v/>
      </c>
      <c r="AI141" s="1" t="str">
        <f aca="false">IF($A141="","",IF(AF141&gt;AH141,"超限","合规"))</f>
        <v/>
      </c>
      <c r="AJ141" s="1" t="str">
        <f aca="false">IF($A141="","",IFERROR(AF141/INDEX(账户总表!$O:$O,COUNTA(账户总表!$A:$A)),0))</f>
        <v/>
      </c>
      <c r="AK141" s="1" t="str">
        <f aca="false">IF($A141="","",IFERROR(MAX(0,AJ141-INDEX(账户总表!$B:$B,COUNTA(账户总表!$A:$A)),AF141-INDEX(账户总表!$C:$C,COUNTA(账户总表!$A:$A))),0))</f>
        <v/>
      </c>
      <c r="AL141" s="1" t="str">
        <f aca="false">IF($A141="","",IF(COUNTIF(持仓表!$C$2:$C$201,C141)&gt;0,"已有","新标的"))</f>
        <v/>
      </c>
      <c r="AM141" s="1" t="str">
        <f aca="false">IF($A141="","",IFERROR(SUMIFS(持仓表!$N$2:$N$201,持仓表!$C$2:$C$201,C141,持仓表!$A$2:$A$201,$A141),0))</f>
        <v/>
      </c>
      <c r="AN141" s="1" t="str">
        <f aca="false">IF($A141="","",IFERROR(AM141+AF141/INDEX(账户总表!$B:$B,COUNTA(账户总表!$A:$A)),0))</f>
        <v/>
      </c>
      <c r="AO141" s="1" t="str">
        <f aca="false">IF($A141="","",IF(AN141&gt;INDEX(账户总表!$O:$O,COUNTA(账户总表!$A:$A)),"超限","合规"))</f>
        <v/>
      </c>
      <c r="AP141" s="1" t="str">
        <f aca="false">IF($A141="","",IF(AND(AL141="新标的",INDEX(账户总表!$R:$R,COUNTA(账户总表!$A:$A))&gt;=INDEX(账户总表!$S:$S,COUNTA(账户总表!$A:$A))),"新增受限","可通过"))</f>
        <v/>
      </c>
      <c r="AQ141" s="1" t="str">
        <f aca="false">IF($A141="","",IF(K141&lt;&gt;"核心池","非核心池",IF(OR(AI141="超限",AO141="超限",AP141="新增受限"),"不可加仓","可加仓")))</f>
        <v/>
      </c>
      <c r="AR141" s="1" t="str">
        <f aca="false">IF($A141="","",TRIM(IF(AI141="超限","1手超单股上限；","")&amp;IF(AO141="超限","买后仓位超限；","")&amp;IF(AP141="新增受限","有效持仓数超限；","")&amp;IF(AF141&gt;INDEX(账户总表!$C:$C,COUNTA(账户总表!$A:$A)),"现金不足；","")))</f>
        <v/>
      </c>
      <c r="AS141" s="1" t="str">
        <f aca="false">IF($A141="","",IFERROR(INDEX(候选池历史!$L:$L,MATCH(1,(候选池历史!$B:$B=C141)*(候选池历史!$A:$A=$A141),0)),0))</f>
        <v/>
      </c>
      <c r="AT141" s="1" t="str">
        <f aca="false">IF($A141="","",IF(AS141&gt;=3,"★信号强化",IF(K141="核心池","核心观察","")))</f>
        <v/>
      </c>
      <c r="AU141" s="1" t="str">
        <f aca="false">IF($A141="","",IF(AK141&gt;30000-INDEX(账户总表!$B:$B,COUNTA(账户总表!$A:$A)),"不适合婴儿阶段","可纳入幼儿路径"))</f>
        <v/>
      </c>
    </row>
    <row r="142" customFormat="false" ht="15" hidden="false" customHeight="true" outlineLevel="0" collapsed="false">
      <c r="A142" s="70"/>
      <c r="B142" s="71"/>
      <c r="C142" s="72"/>
      <c r="D142" s="73"/>
      <c r="E142" s="73"/>
      <c r="F142" s="73"/>
      <c r="G142" s="74"/>
      <c r="H142" s="72"/>
      <c r="I142" s="72"/>
      <c r="J142" s="71"/>
      <c r="K142" s="75" t="str">
        <f aca="false">IF($A142="","",IF(AND(G142&lt;45%,H142&gt;=0.9),"A",IF(AND(G142&lt;60%,H142&gt;0.8),"B","C")))</f>
        <v/>
      </c>
      <c r="L142" s="75" t="str">
        <f aca="false">IF($A142="","",IF(AND(G142&lt;60%,H142&gt;0.8,I142="True"),"是","否"))</f>
        <v/>
      </c>
      <c r="M142" s="75" t="str">
        <f aca="false">IF($A142="","",IF(AND(D142&gt;0,E142&gt;0,D142&lt;=E142*1.02),"是","否"))</f>
        <v/>
      </c>
      <c r="N142" s="76" t="n">
        <f aca="false">IFERROR(INDEX(账户总表!$O:$O,COUNTA(账户总表!$A:$A)),0)</f>
        <v>0.35</v>
      </c>
      <c r="O142" s="77" t="n">
        <f aca="false">IFERROR(INDEX(账户总表!$B:$B,COUNTA(账户总表!$A:$A))*N142,0)</f>
        <v>7294.812</v>
      </c>
      <c r="P142" s="78" t="n">
        <f aca="false">IFERROR(O142/D142,0)</f>
        <v>0</v>
      </c>
      <c r="Q142" s="78" t="n">
        <f aca="false">IFERROR(FLOOR(P142,100),0)</f>
        <v>0</v>
      </c>
      <c r="R142" s="78" t="n">
        <f aca="false">IFERROR(CEILING(800/(100*D142),1)*100,0)</f>
        <v>0</v>
      </c>
      <c r="S142" s="79"/>
      <c r="T142" s="77" t="n">
        <f aca="false">IFERROR(S142*D142,0)</f>
        <v>0</v>
      </c>
      <c r="U142" s="76" t="n">
        <f aca="false">IFERROR(T142/INDEX(账户总表!$B:$B,COUNTA(账户总表!$A:$A)),0)</f>
        <v>0</v>
      </c>
      <c r="V142" s="76" t="n">
        <f aca="false">IFERROR(INDEX(账户总表!$E:$E,COUNTA(账户总表!$A:$A))+U142,0)</f>
        <v>0.407056412146057</v>
      </c>
      <c r="W142" s="75" t="str">
        <f aca="false">IF($A142="","",IFERROR(IF(V142&lt;=INDEX(账户总表!$N:$N,COUNTA(账户总表!$A:$A)),"是","否"),"否"))</f>
        <v/>
      </c>
      <c r="X142" s="77" t="str">
        <f aca="false">IF($A142="","",MAX(F142*0.98,D142*0.92))</f>
        <v/>
      </c>
      <c r="Y142" s="72"/>
      <c r="Z142" s="75" t="str">
        <f aca="false">IF($A142="","",IFERROR(IF(AND(T142&gt;INDEX(账户总表!$C:$C,COUNTA(账户总表!$A:$A)),L142="是"),"是","否"),"否"))</f>
        <v/>
      </c>
      <c r="AA142" s="77" t="str">
        <f aca="false">IF($A142="","",IFERROR(IF(Z142="是",MAX(0,T142-INDEX(账户总表!$C:$C,COUNTA(账户总表!$A:$A)),IF(N142&gt;0,T142/N142-INDEX(账户总表!$B:$B,COUNTA(账户总表!$A:$A)),0)),0),0))</f>
        <v/>
      </c>
      <c r="AB142" s="77" t="str">
        <f aca="false">IF($A142="","",IF(AND(Z142="是",INDEX(账户总表!$U:$U,COUNTA(账户总表!$A:$A))="是"),IF(INDEX(账户总表!$L:$L,COUNTA(账户总表!$A:$A))&gt;=4,AA142*1.5,AA142),0))</f>
        <v/>
      </c>
      <c r="AC142" s="75" t="str">
        <f aca="false">IF($A142="","",IF(AND(L142="是",Q142&gt;=R142,S142&lt;=Q142,S142&gt;=R142,W142="是",X142&gt;0,M142="是",INDEX(账户总表!$M:$M,COUNTA(账户总表!$A:$A))&lt;=2,INDEX(账户总表!$V:$V,COUNTA(账户总表!$A:$A))="是",OR(T142&lt;=INDEX(账户总表!$C:$C,COUNTA(账户总表!$A:$A)),AND(Z142="是",INDEX(账户总表!$U:$U,COUNTA(账户总表!$A:$A))="是",AB142&gt;0))),"是","否"))</f>
        <v/>
      </c>
      <c r="AD142" s="75" t="str">
        <f aca="false">IF($A142="","",IF(L142&lt;&gt;"是","信号未确认",IF(X142&lt;=0,"止损价未定义",IF(Q142&lt;R142,"100股约束不满足",IF(S142&gt;Q142,"计划股数超单股上限",IF(S142&lt;R142,"计划股数低于最小门槛",IF(W142&lt;&gt;"是","总仓位超限",IF(M142&lt;&gt;"是","追价",IF(INDEX(账户总表!$M:$M,COUNTA(账户总表!$A:$A))&gt;2,"亏钱效应偏高",IF(INDEX(账户总表!$V:$V,COUNTA(账户总表!$A:$A))&lt;&gt;"是","账户不允许新开仓",IF(AND(T142&gt;INDEX(账户总表!$C:$C,COUNTA(账户总表!$A:$A)),INDEX(账户总表!$U:$U,COUNTA(账户总表!$A:$A))&lt;&gt;"是"),"现金不足且不允许转入",IF(AND(Z142="是",AB142&lt;=0),"转入金额未满足",""))))))))))))</f>
        <v/>
      </c>
      <c r="AE142" s="71"/>
      <c r="AF142" s="1" t="str">
        <f aca="false">IF($A142="","",D142*100)</f>
        <v/>
      </c>
      <c r="AG142" s="1" t="str">
        <f aca="false">IF($A142="","",IFERROR(AF142/INDEX(账户总表!$B:$B,COUNTA(账户总表!$A:$A)),0))</f>
        <v/>
      </c>
      <c r="AH142" s="1" t="str">
        <f aca="false">IF($A142="","",IFERROR(INDEX(账户总表!$B:$B,COUNTA(账户总表!$A:$A))*INDEX(账户总表!$O:$O,COUNTA(账户总表!$A:$A)),0))</f>
        <v/>
      </c>
      <c r="AI142" s="1" t="str">
        <f aca="false">IF($A142="","",IF(AF142&gt;AH142,"超限","合规"))</f>
        <v/>
      </c>
      <c r="AJ142" s="1" t="str">
        <f aca="false">IF($A142="","",IFERROR(AF142/INDEX(账户总表!$O:$O,COUNTA(账户总表!$A:$A)),0))</f>
        <v/>
      </c>
      <c r="AK142" s="1" t="str">
        <f aca="false">IF($A142="","",IFERROR(MAX(0,AJ142-INDEX(账户总表!$B:$B,COUNTA(账户总表!$A:$A)),AF142-INDEX(账户总表!$C:$C,COUNTA(账户总表!$A:$A))),0))</f>
        <v/>
      </c>
      <c r="AL142" s="1" t="str">
        <f aca="false">IF($A142="","",IF(COUNTIF(持仓表!$C$2:$C$201,C142)&gt;0,"已有","新标的"))</f>
        <v/>
      </c>
      <c r="AM142" s="1" t="str">
        <f aca="false">IF($A142="","",IFERROR(SUMIFS(持仓表!$N$2:$N$201,持仓表!$C$2:$C$201,C142,持仓表!$A$2:$A$201,$A142),0))</f>
        <v/>
      </c>
      <c r="AN142" s="1" t="str">
        <f aca="false">IF($A142="","",IFERROR(AM142+AF142/INDEX(账户总表!$B:$B,COUNTA(账户总表!$A:$A)),0))</f>
        <v/>
      </c>
      <c r="AO142" s="1" t="str">
        <f aca="false">IF($A142="","",IF(AN142&gt;INDEX(账户总表!$O:$O,COUNTA(账户总表!$A:$A)),"超限","合规"))</f>
        <v/>
      </c>
      <c r="AP142" s="1" t="str">
        <f aca="false">IF($A142="","",IF(AND(AL142="新标的",INDEX(账户总表!$R:$R,COUNTA(账户总表!$A:$A))&gt;=INDEX(账户总表!$S:$S,COUNTA(账户总表!$A:$A))),"新增受限","可通过"))</f>
        <v/>
      </c>
      <c r="AQ142" s="1" t="str">
        <f aca="false">IF($A142="","",IF(K142&lt;&gt;"核心池","非核心池",IF(OR(AI142="超限",AO142="超限",AP142="新增受限"),"不可加仓","可加仓")))</f>
        <v/>
      </c>
      <c r="AR142" s="1" t="str">
        <f aca="false">IF($A142="","",TRIM(IF(AI142="超限","1手超单股上限；","")&amp;IF(AO142="超限","买后仓位超限；","")&amp;IF(AP142="新增受限","有效持仓数超限；","")&amp;IF(AF142&gt;INDEX(账户总表!$C:$C,COUNTA(账户总表!$A:$A)),"现金不足；","")))</f>
        <v/>
      </c>
      <c r="AS142" s="1" t="str">
        <f aca="false">IF($A142="","",IFERROR(INDEX(候选池历史!$L:$L,MATCH(1,(候选池历史!$B:$B=C142)*(候选池历史!$A:$A=$A142),0)),0))</f>
        <v/>
      </c>
      <c r="AT142" s="1" t="str">
        <f aca="false">IF($A142="","",IF(AS142&gt;=3,"★信号强化",IF(K142="核心池","核心观察","")))</f>
        <v/>
      </c>
      <c r="AU142" s="1" t="str">
        <f aca="false">IF($A142="","",IF(AK142&gt;30000-INDEX(账户总表!$B:$B,COUNTA(账户总表!$A:$A)),"不适合婴儿阶段","可纳入幼儿路径"))</f>
        <v/>
      </c>
    </row>
    <row r="143" customFormat="false" ht="15" hidden="false" customHeight="true" outlineLevel="0" collapsed="false">
      <c r="A143" s="70"/>
      <c r="B143" s="71"/>
      <c r="C143" s="72"/>
      <c r="D143" s="73"/>
      <c r="E143" s="73"/>
      <c r="F143" s="73"/>
      <c r="G143" s="74"/>
      <c r="H143" s="72"/>
      <c r="I143" s="72"/>
      <c r="J143" s="71"/>
      <c r="K143" s="75" t="str">
        <f aca="false">IF($A143="","",IF(AND(G143&lt;45%,H143&gt;=0.9),"A",IF(AND(G143&lt;60%,H143&gt;0.8),"B","C")))</f>
        <v/>
      </c>
      <c r="L143" s="75" t="str">
        <f aca="false">IF($A143="","",IF(AND(G143&lt;60%,H143&gt;0.8,I143="True"),"是","否"))</f>
        <v/>
      </c>
      <c r="M143" s="75" t="str">
        <f aca="false">IF($A143="","",IF(AND(D143&gt;0,E143&gt;0,D143&lt;=E143*1.02),"是","否"))</f>
        <v/>
      </c>
      <c r="N143" s="76" t="n">
        <f aca="false">IFERROR(INDEX(账户总表!$O:$O,COUNTA(账户总表!$A:$A)),0)</f>
        <v>0.35</v>
      </c>
      <c r="O143" s="77" t="n">
        <f aca="false">IFERROR(INDEX(账户总表!$B:$B,COUNTA(账户总表!$A:$A))*N143,0)</f>
        <v>7294.812</v>
      </c>
      <c r="P143" s="78" t="n">
        <f aca="false">IFERROR(O143/D143,0)</f>
        <v>0</v>
      </c>
      <c r="Q143" s="78" t="n">
        <f aca="false">IFERROR(FLOOR(P143,100),0)</f>
        <v>0</v>
      </c>
      <c r="R143" s="78" t="n">
        <f aca="false">IFERROR(CEILING(800/(100*D143),1)*100,0)</f>
        <v>0</v>
      </c>
      <c r="S143" s="79"/>
      <c r="T143" s="77" t="n">
        <f aca="false">IFERROR(S143*D143,0)</f>
        <v>0</v>
      </c>
      <c r="U143" s="76" t="n">
        <f aca="false">IFERROR(T143/INDEX(账户总表!$B:$B,COUNTA(账户总表!$A:$A)),0)</f>
        <v>0</v>
      </c>
      <c r="V143" s="76" t="n">
        <f aca="false">IFERROR(INDEX(账户总表!$E:$E,COUNTA(账户总表!$A:$A))+U143,0)</f>
        <v>0.407056412146057</v>
      </c>
      <c r="W143" s="75" t="str">
        <f aca="false">IF($A143="","",IFERROR(IF(V143&lt;=INDEX(账户总表!$N:$N,COUNTA(账户总表!$A:$A)),"是","否"),"否"))</f>
        <v/>
      </c>
      <c r="X143" s="77" t="str">
        <f aca="false">IF($A143="","",MAX(F143*0.98,D143*0.92))</f>
        <v/>
      </c>
      <c r="Y143" s="72"/>
      <c r="Z143" s="75" t="str">
        <f aca="false">IF($A143="","",IFERROR(IF(AND(T143&gt;INDEX(账户总表!$C:$C,COUNTA(账户总表!$A:$A)),L143="是"),"是","否"),"否"))</f>
        <v/>
      </c>
      <c r="AA143" s="77" t="str">
        <f aca="false">IF($A143="","",IFERROR(IF(Z143="是",MAX(0,T143-INDEX(账户总表!$C:$C,COUNTA(账户总表!$A:$A)),IF(N143&gt;0,T143/N143-INDEX(账户总表!$B:$B,COUNTA(账户总表!$A:$A)),0)),0),0))</f>
        <v/>
      </c>
      <c r="AB143" s="77" t="str">
        <f aca="false">IF($A143="","",IF(AND(Z143="是",INDEX(账户总表!$U:$U,COUNTA(账户总表!$A:$A))="是"),IF(INDEX(账户总表!$L:$L,COUNTA(账户总表!$A:$A))&gt;=4,AA143*1.5,AA143),0))</f>
        <v/>
      </c>
      <c r="AC143" s="75" t="str">
        <f aca="false">IF($A143="","",IF(AND(L143="是",Q143&gt;=R143,S143&lt;=Q143,S143&gt;=R143,W143="是",X143&gt;0,M143="是",INDEX(账户总表!$M:$M,COUNTA(账户总表!$A:$A))&lt;=2,INDEX(账户总表!$V:$V,COUNTA(账户总表!$A:$A))="是",OR(T143&lt;=INDEX(账户总表!$C:$C,COUNTA(账户总表!$A:$A)),AND(Z143="是",INDEX(账户总表!$U:$U,COUNTA(账户总表!$A:$A))="是",AB143&gt;0))),"是","否"))</f>
        <v/>
      </c>
      <c r="AD143" s="75" t="str">
        <f aca="false">IF($A143="","",IF(L143&lt;&gt;"是","信号未确认",IF(X143&lt;=0,"止损价未定义",IF(Q143&lt;R143,"100股约束不满足",IF(S143&gt;Q143,"计划股数超单股上限",IF(S143&lt;R143,"计划股数低于最小门槛",IF(W143&lt;&gt;"是","总仓位超限",IF(M143&lt;&gt;"是","追价",IF(INDEX(账户总表!$M:$M,COUNTA(账户总表!$A:$A))&gt;2,"亏钱效应偏高",IF(INDEX(账户总表!$V:$V,COUNTA(账户总表!$A:$A))&lt;&gt;"是","账户不允许新开仓",IF(AND(T143&gt;INDEX(账户总表!$C:$C,COUNTA(账户总表!$A:$A)),INDEX(账户总表!$U:$U,COUNTA(账户总表!$A:$A))&lt;&gt;"是"),"现金不足且不允许转入",IF(AND(Z143="是",AB143&lt;=0),"转入金额未满足",""))))))))))))</f>
        <v/>
      </c>
      <c r="AE143" s="71"/>
      <c r="AF143" s="1" t="str">
        <f aca="false">IF($A143="","",D143*100)</f>
        <v/>
      </c>
      <c r="AG143" s="1" t="str">
        <f aca="false">IF($A143="","",IFERROR(AF143/INDEX(账户总表!$B:$B,COUNTA(账户总表!$A:$A)),0))</f>
        <v/>
      </c>
      <c r="AH143" s="1" t="str">
        <f aca="false">IF($A143="","",IFERROR(INDEX(账户总表!$B:$B,COUNTA(账户总表!$A:$A))*INDEX(账户总表!$O:$O,COUNTA(账户总表!$A:$A)),0))</f>
        <v/>
      </c>
      <c r="AI143" s="1" t="str">
        <f aca="false">IF($A143="","",IF(AF143&gt;AH143,"超限","合规"))</f>
        <v/>
      </c>
      <c r="AJ143" s="1" t="str">
        <f aca="false">IF($A143="","",IFERROR(AF143/INDEX(账户总表!$O:$O,COUNTA(账户总表!$A:$A)),0))</f>
        <v/>
      </c>
      <c r="AK143" s="1" t="str">
        <f aca="false">IF($A143="","",IFERROR(MAX(0,AJ143-INDEX(账户总表!$B:$B,COUNTA(账户总表!$A:$A)),AF143-INDEX(账户总表!$C:$C,COUNTA(账户总表!$A:$A))),0))</f>
        <v/>
      </c>
      <c r="AL143" s="1" t="str">
        <f aca="false">IF($A143="","",IF(COUNTIF(持仓表!$C$2:$C$201,C143)&gt;0,"已有","新标的"))</f>
        <v/>
      </c>
      <c r="AM143" s="1" t="str">
        <f aca="false">IF($A143="","",IFERROR(SUMIFS(持仓表!$N$2:$N$201,持仓表!$C$2:$C$201,C143,持仓表!$A$2:$A$201,$A143),0))</f>
        <v/>
      </c>
      <c r="AN143" s="1" t="str">
        <f aca="false">IF($A143="","",IFERROR(AM143+AF143/INDEX(账户总表!$B:$B,COUNTA(账户总表!$A:$A)),0))</f>
        <v/>
      </c>
      <c r="AO143" s="1" t="str">
        <f aca="false">IF($A143="","",IF(AN143&gt;INDEX(账户总表!$O:$O,COUNTA(账户总表!$A:$A)),"超限","合规"))</f>
        <v/>
      </c>
      <c r="AP143" s="1" t="str">
        <f aca="false">IF($A143="","",IF(AND(AL143="新标的",INDEX(账户总表!$R:$R,COUNTA(账户总表!$A:$A))&gt;=INDEX(账户总表!$S:$S,COUNTA(账户总表!$A:$A))),"新增受限","可通过"))</f>
        <v/>
      </c>
      <c r="AQ143" s="1" t="str">
        <f aca="false">IF($A143="","",IF(K143&lt;&gt;"核心池","非核心池",IF(OR(AI143="超限",AO143="超限",AP143="新增受限"),"不可加仓","可加仓")))</f>
        <v/>
      </c>
      <c r="AR143" s="1" t="str">
        <f aca="false">IF($A143="","",TRIM(IF(AI143="超限","1手超单股上限；","")&amp;IF(AO143="超限","买后仓位超限；","")&amp;IF(AP143="新增受限","有效持仓数超限；","")&amp;IF(AF143&gt;INDEX(账户总表!$C:$C,COUNTA(账户总表!$A:$A)),"现金不足；","")))</f>
        <v/>
      </c>
      <c r="AS143" s="1" t="str">
        <f aca="false">IF($A143="","",IFERROR(INDEX(候选池历史!$L:$L,MATCH(1,(候选池历史!$B:$B=C143)*(候选池历史!$A:$A=$A143),0)),0))</f>
        <v/>
      </c>
      <c r="AT143" s="1" t="str">
        <f aca="false">IF($A143="","",IF(AS143&gt;=3,"★信号强化",IF(K143="核心池","核心观察","")))</f>
        <v/>
      </c>
      <c r="AU143" s="1" t="str">
        <f aca="false">IF($A143="","",IF(AK143&gt;30000-INDEX(账户总表!$B:$B,COUNTA(账户总表!$A:$A)),"不适合婴儿阶段","可纳入幼儿路径"))</f>
        <v/>
      </c>
    </row>
    <row r="144" customFormat="false" ht="15" hidden="false" customHeight="true" outlineLevel="0" collapsed="false">
      <c r="A144" s="70"/>
      <c r="B144" s="71"/>
      <c r="C144" s="72"/>
      <c r="D144" s="73"/>
      <c r="E144" s="73"/>
      <c r="F144" s="73"/>
      <c r="G144" s="74"/>
      <c r="H144" s="72"/>
      <c r="I144" s="72"/>
      <c r="J144" s="71"/>
      <c r="K144" s="75" t="str">
        <f aca="false">IF($A144="","",IF(AND(G144&lt;45%,H144&gt;=0.9),"A",IF(AND(G144&lt;60%,H144&gt;0.8),"B","C")))</f>
        <v/>
      </c>
      <c r="L144" s="75" t="str">
        <f aca="false">IF($A144="","",IF(AND(G144&lt;60%,H144&gt;0.8,I144="True"),"是","否"))</f>
        <v/>
      </c>
      <c r="M144" s="75" t="str">
        <f aca="false">IF($A144="","",IF(AND(D144&gt;0,E144&gt;0,D144&lt;=E144*1.02),"是","否"))</f>
        <v/>
      </c>
      <c r="N144" s="76" t="n">
        <f aca="false">IFERROR(INDEX(账户总表!$O:$O,COUNTA(账户总表!$A:$A)),0)</f>
        <v>0.35</v>
      </c>
      <c r="O144" s="77" t="n">
        <f aca="false">IFERROR(INDEX(账户总表!$B:$B,COUNTA(账户总表!$A:$A))*N144,0)</f>
        <v>7294.812</v>
      </c>
      <c r="P144" s="78" t="n">
        <f aca="false">IFERROR(O144/D144,0)</f>
        <v>0</v>
      </c>
      <c r="Q144" s="78" t="n">
        <f aca="false">IFERROR(FLOOR(P144,100),0)</f>
        <v>0</v>
      </c>
      <c r="R144" s="78" t="n">
        <f aca="false">IFERROR(CEILING(800/(100*D144),1)*100,0)</f>
        <v>0</v>
      </c>
      <c r="S144" s="79"/>
      <c r="T144" s="77" t="n">
        <f aca="false">IFERROR(S144*D144,0)</f>
        <v>0</v>
      </c>
      <c r="U144" s="76" t="n">
        <f aca="false">IFERROR(T144/INDEX(账户总表!$B:$B,COUNTA(账户总表!$A:$A)),0)</f>
        <v>0</v>
      </c>
      <c r="V144" s="76" t="n">
        <f aca="false">IFERROR(INDEX(账户总表!$E:$E,COUNTA(账户总表!$A:$A))+U144,0)</f>
        <v>0.407056412146057</v>
      </c>
      <c r="W144" s="75" t="str">
        <f aca="false">IF($A144="","",IFERROR(IF(V144&lt;=INDEX(账户总表!$N:$N,COUNTA(账户总表!$A:$A)),"是","否"),"否"))</f>
        <v/>
      </c>
      <c r="X144" s="77" t="str">
        <f aca="false">IF($A144="","",MAX(F144*0.98,D144*0.92))</f>
        <v/>
      </c>
      <c r="Y144" s="72"/>
      <c r="Z144" s="75" t="str">
        <f aca="false">IF($A144="","",IFERROR(IF(AND(T144&gt;INDEX(账户总表!$C:$C,COUNTA(账户总表!$A:$A)),L144="是"),"是","否"),"否"))</f>
        <v/>
      </c>
      <c r="AA144" s="77" t="str">
        <f aca="false">IF($A144="","",IFERROR(IF(Z144="是",MAX(0,T144-INDEX(账户总表!$C:$C,COUNTA(账户总表!$A:$A)),IF(N144&gt;0,T144/N144-INDEX(账户总表!$B:$B,COUNTA(账户总表!$A:$A)),0)),0),0))</f>
        <v/>
      </c>
      <c r="AB144" s="77" t="str">
        <f aca="false">IF($A144="","",IF(AND(Z144="是",INDEX(账户总表!$U:$U,COUNTA(账户总表!$A:$A))="是"),IF(INDEX(账户总表!$L:$L,COUNTA(账户总表!$A:$A))&gt;=4,AA144*1.5,AA144),0))</f>
        <v/>
      </c>
      <c r="AC144" s="75" t="str">
        <f aca="false">IF($A144="","",IF(AND(L144="是",Q144&gt;=R144,S144&lt;=Q144,S144&gt;=R144,W144="是",X144&gt;0,M144="是",INDEX(账户总表!$M:$M,COUNTA(账户总表!$A:$A))&lt;=2,INDEX(账户总表!$V:$V,COUNTA(账户总表!$A:$A))="是",OR(T144&lt;=INDEX(账户总表!$C:$C,COUNTA(账户总表!$A:$A)),AND(Z144="是",INDEX(账户总表!$U:$U,COUNTA(账户总表!$A:$A))="是",AB144&gt;0))),"是","否"))</f>
        <v/>
      </c>
      <c r="AD144" s="75" t="str">
        <f aca="false">IF($A144="","",IF(L144&lt;&gt;"是","信号未确认",IF(X144&lt;=0,"止损价未定义",IF(Q144&lt;R144,"100股约束不满足",IF(S144&gt;Q144,"计划股数超单股上限",IF(S144&lt;R144,"计划股数低于最小门槛",IF(W144&lt;&gt;"是","总仓位超限",IF(M144&lt;&gt;"是","追价",IF(INDEX(账户总表!$M:$M,COUNTA(账户总表!$A:$A))&gt;2,"亏钱效应偏高",IF(INDEX(账户总表!$V:$V,COUNTA(账户总表!$A:$A))&lt;&gt;"是","账户不允许新开仓",IF(AND(T144&gt;INDEX(账户总表!$C:$C,COUNTA(账户总表!$A:$A)),INDEX(账户总表!$U:$U,COUNTA(账户总表!$A:$A))&lt;&gt;"是"),"现金不足且不允许转入",IF(AND(Z144="是",AB144&lt;=0),"转入金额未满足",""))))))))))))</f>
        <v/>
      </c>
      <c r="AE144" s="71"/>
      <c r="AF144" s="1" t="str">
        <f aca="false">IF($A144="","",D144*100)</f>
        <v/>
      </c>
      <c r="AG144" s="1" t="str">
        <f aca="false">IF($A144="","",IFERROR(AF144/INDEX(账户总表!$B:$B,COUNTA(账户总表!$A:$A)),0))</f>
        <v/>
      </c>
      <c r="AH144" s="1" t="str">
        <f aca="false">IF($A144="","",IFERROR(INDEX(账户总表!$B:$B,COUNTA(账户总表!$A:$A))*INDEX(账户总表!$O:$O,COUNTA(账户总表!$A:$A)),0))</f>
        <v/>
      </c>
      <c r="AI144" s="1" t="str">
        <f aca="false">IF($A144="","",IF(AF144&gt;AH144,"超限","合规"))</f>
        <v/>
      </c>
      <c r="AJ144" s="1" t="str">
        <f aca="false">IF($A144="","",IFERROR(AF144/INDEX(账户总表!$O:$O,COUNTA(账户总表!$A:$A)),0))</f>
        <v/>
      </c>
      <c r="AK144" s="1" t="str">
        <f aca="false">IF($A144="","",IFERROR(MAX(0,AJ144-INDEX(账户总表!$B:$B,COUNTA(账户总表!$A:$A)),AF144-INDEX(账户总表!$C:$C,COUNTA(账户总表!$A:$A))),0))</f>
        <v/>
      </c>
      <c r="AL144" s="1" t="str">
        <f aca="false">IF($A144="","",IF(COUNTIF(持仓表!$C$2:$C$201,C144)&gt;0,"已有","新标的"))</f>
        <v/>
      </c>
      <c r="AM144" s="1" t="str">
        <f aca="false">IF($A144="","",IFERROR(SUMIFS(持仓表!$N$2:$N$201,持仓表!$C$2:$C$201,C144,持仓表!$A$2:$A$201,$A144),0))</f>
        <v/>
      </c>
      <c r="AN144" s="1" t="str">
        <f aca="false">IF($A144="","",IFERROR(AM144+AF144/INDEX(账户总表!$B:$B,COUNTA(账户总表!$A:$A)),0))</f>
        <v/>
      </c>
      <c r="AO144" s="1" t="str">
        <f aca="false">IF($A144="","",IF(AN144&gt;INDEX(账户总表!$O:$O,COUNTA(账户总表!$A:$A)),"超限","合规"))</f>
        <v/>
      </c>
      <c r="AP144" s="1" t="str">
        <f aca="false">IF($A144="","",IF(AND(AL144="新标的",INDEX(账户总表!$R:$R,COUNTA(账户总表!$A:$A))&gt;=INDEX(账户总表!$S:$S,COUNTA(账户总表!$A:$A))),"新增受限","可通过"))</f>
        <v/>
      </c>
      <c r="AQ144" s="1" t="str">
        <f aca="false">IF($A144="","",IF(K144&lt;&gt;"核心池","非核心池",IF(OR(AI144="超限",AO144="超限",AP144="新增受限"),"不可加仓","可加仓")))</f>
        <v/>
      </c>
      <c r="AR144" s="1" t="str">
        <f aca="false">IF($A144="","",TRIM(IF(AI144="超限","1手超单股上限；","")&amp;IF(AO144="超限","买后仓位超限；","")&amp;IF(AP144="新增受限","有效持仓数超限；","")&amp;IF(AF144&gt;INDEX(账户总表!$C:$C,COUNTA(账户总表!$A:$A)),"现金不足；","")))</f>
        <v/>
      </c>
      <c r="AS144" s="1" t="str">
        <f aca="false">IF($A144="","",IFERROR(INDEX(候选池历史!$L:$L,MATCH(1,(候选池历史!$B:$B=C144)*(候选池历史!$A:$A=$A144),0)),0))</f>
        <v/>
      </c>
      <c r="AT144" s="1" t="str">
        <f aca="false">IF($A144="","",IF(AS144&gt;=3,"★信号强化",IF(K144="核心池","核心观察","")))</f>
        <v/>
      </c>
      <c r="AU144" s="1" t="str">
        <f aca="false">IF($A144="","",IF(AK144&gt;30000-INDEX(账户总表!$B:$B,COUNTA(账户总表!$A:$A)),"不适合婴儿阶段","可纳入幼儿路径"))</f>
        <v/>
      </c>
    </row>
    <row r="145" customFormat="false" ht="15" hidden="false" customHeight="true" outlineLevel="0" collapsed="false">
      <c r="A145" s="70"/>
      <c r="B145" s="71"/>
      <c r="C145" s="72"/>
      <c r="D145" s="73"/>
      <c r="E145" s="73"/>
      <c r="F145" s="73"/>
      <c r="G145" s="74"/>
      <c r="H145" s="72"/>
      <c r="I145" s="72"/>
      <c r="J145" s="71"/>
      <c r="K145" s="75" t="str">
        <f aca="false">IF($A145="","",IF(AND(G145&lt;45%,H145&gt;=0.9),"A",IF(AND(G145&lt;60%,H145&gt;0.8),"B","C")))</f>
        <v/>
      </c>
      <c r="L145" s="75" t="str">
        <f aca="false">IF($A145="","",IF(AND(G145&lt;60%,H145&gt;0.8,I145="True"),"是","否"))</f>
        <v/>
      </c>
      <c r="M145" s="75" t="str">
        <f aca="false">IF($A145="","",IF(AND(D145&gt;0,E145&gt;0,D145&lt;=E145*1.02),"是","否"))</f>
        <v/>
      </c>
      <c r="N145" s="76" t="n">
        <f aca="false">IFERROR(INDEX(账户总表!$O:$O,COUNTA(账户总表!$A:$A)),0)</f>
        <v>0.35</v>
      </c>
      <c r="O145" s="77" t="n">
        <f aca="false">IFERROR(INDEX(账户总表!$B:$B,COUNTA(账户总表!$A:$A))*N145,0)</f>
        <v>7294.812</v>
      </c>
      <c r="P145" s="78" t="n">
        <f aca="false">IFERROR(O145/D145,0)</f>
        <v>0</v>
      </c>
      <c r="Q145" s="78" t="n">
        <f aca="false">IFERROR(FLOOR(P145,100),0)</f>
        <v>0</v>
      </c>
      <c r="R145" s="78" t="n">
        <f aca="false">IFERROR(CEILING(800/(100*D145),1)*100,0)</f>
        <v>0</v>
      </c>
      <c r="S145" s="79"/>
      <c r="T145" s="77" t="n">
        <f aca="false">IFERROR(S145*D145,0)</f>
        <v>0</v>
      </c>
      <c r="U145" s="76" t="n">
        <f aca="false">IFERROR(T145/INDEX(账户总表!$B:$B,COUNTA(账户总表!$A:$A)),0)</f>
        <v>0</v>
      </c>
      <c r="V145" s="76" t="n">
        <f aca="false">IFERROR(INDEX(账户总表!$E:$E,COUNTA(账户总表!$A:$A))+U145,0)</f>
        <v>0.407056412146057</v>
      </c>
      <c r="W145" s="75" t="str">
        <f aca="false">IF($A145="","",IFERROR(IF(V145&lt;=INDEX(账户总表!$N:$N,COUNTA(账户总表!$A:$A)),"是","否"),"否"))</f>
        <v/>
      </c>
      <c r="X145" s="77" t="str">
        <f aca="false">IF($A145="","",MAX(F145*0.98,D145*0.92))</f>
        <v/>
      </c>
      <c r="Y145" s="72"/>
      <c r="Z145" s="75" t="str">
        <f aca="false">IF($A145="","",IFERROR(IF(AND(T145&gt;INDEX(账户总表!$C:$C,COUNTA(账户总表!$A:$A)),L145="是"),"是","否"),"否"))</f>
        <v/>
      </c>
      <c r="AA145" s="77" t="str">
        <f aca="false">IF($A145="","",IFERROR(IF(Z145="是",MAX(0,T145-INDEX(账户总表!$C:$C,COUNTA(账户总表!$A:$A)),IF(N145&gt;0,T145/N145-INDEX(账户总表!$B:$B,COUNTA(账户总表!$A:$A)),0)),0),0))</f>
        <v/>
      </c>
      <c r="AB145" s="77" t="str">
        <f aca="false">IF($A145="","",IF(AND(Z145="是",INDEX(账户总表!$U:$U,COUNTA(账户总表!$A:$A))="是"),IF(INDEX(账户总表!$L:$L,COUNTA(账户总表!$A:$A))&gt;=4,AA145*1.5,AA145),0))</f>
        <v/>
      </c>
      <c r="AC145" s="75" t="str">
        <f aca="false">IF($A145="","",IF(AND(L145="是",Q145&gt;=R145,S145&lt;=Q145,S145&gt;=R145,W145="是",X145&gt;0,M145="是",INDEX(账户总表!$M:$M,COUNTA(账户总表!$A:$A))&lt;=2,INDEX(账户总表!$V:$V,COUNTA(账户总表!$A:$A))="是",OR(T145&lt;=INDEX(账户总表!$C:$C,COUNTA(账户总表!$A:$A)),AND(Z145="是",INDEX(账户总表!$U:$U,COUNTA(账户总表!$A:$A))="是",AB145&gt;0))),"是","否"))</f>
        <v/>
      </c>
      <c r="AD145" s="75" t="str">
        <f aca="false">IF($A145="","",IF(L145&lt;&gt;"是","信号未确认",IF(X145&lt;=0,"止损价未定义",IF(Q145&lt;R145,"100股约束不满足",IF(S145&gt;Q145,"计划股数超单股上限",IF(S145&lt;R145,"计划股数低于最小门槛",IF(W145&lt;&gt;"是","总仓位超限",IF(M145&lt;&gt;"是","追价",IF(INDEX(账户总表!$M:$M,COUNTA(账户总表!$A:$A))&gt;2,"亏钱效应偏高",IF(INDEX(账户总表!$V:$V,COUNTA(账户总表!$A:$A))&lt;&gt;"是","账户不允许新开仓",IF(AND(T145&gt;INDEX(账户总表!$C:$C,COUNTA(账户总表!$A:$A)),INDEX(账户总表!$U:$U,COUNTA(账户总表!$A:$A))&lt;&gt;"是"),"现金不足且不允许转入",IF(AND(Z145="是",AB145&lt;=0),"转入金额未满足",""))))))))))))</f>
        <v/>
      </c>
      <c r="AE145" s="71"/>
      <c r="AF145" s="1" t="str">
        <f aca="false">IF($A145="","",D145*100)</f>
        <v/>
      </c>
      <c r="AG145" s="1" t="str">
        <f aca="false">IF($A145="","",IFERROR(AF145/INDEX(账户总表!$B:$B,COUNTA(账户总表!$A:$A)),0))</f>
        <v/>
      </c>
      <c r="AH145" s="1" t="str">
        <f aca="false">IF($A145="","",IFERROR(INDEX(账户总表!$B:$B,COUNTA(账户总表!$A:$A))*INDEX(账户总表!$O:$O,COUNTA(账户总表!$A:$A)),0))</f>
        <v/>
      </c>
      <c r="AI145" s="1" t="str">
        <f aca="false">IF($A145="","",IF(AF145&gt;AH145,"超限","合规"))</f>
        <v/>
      </c>
      <c r="AJ145" s="1" t="str">
        <f aca="false">IF($A145="","",IFERROR(AF145/INDEX(账户总表!$O:$O,COUNTA(账户总表!$A:$A)),0))</f>
        <v/>
      </c>
      <c r="AK145" s="1" t="str">
        <f aca="false">IF($A145="","",IFERROR(MAX(0,AJ145-INDEX(账户总表!$B:$B,COUNTA(账户总表!$A:$A)),AF145-INDEX(账户总表!$C:$C,COUNTA(账户总表!$A:$A))),0))</f>
        <v/>
      </c>
      <c r="AL145" s="1" t="str">
        <f aca="false">IF($A145="","",IF(COUNTIF(持仓表!$C$2:$C$201,C145)&gt;0,"已有","新标的"))</f>
        <v/>
      </c>
      <c r="AM145" s="1" t="str">
        <f aca="false">IF($A145="","",IFERROR(SUMIFS(持仓表!$N$2:$N$201,持仓表!$C$2:$C$201,C145,持仓表!$A$2:$A$201,$A145),0))</f>
        <v/>
      </c>
      <c r="AN145" s="1" t="str">
        <f aca="false">IF($A145="","",IFERROR(AM145+AF145/INDEX(账户总表!$B:$B,COUNTA(账户总表!$A:$A)),0))</f>
        <v/>
      </c>
      <c r="AO145" s="1" t="str">
        <f aca="false">IF($A145="","",IF(AN145&gt;INDEX(账户总表!$O:$O,COUNTA(账户总表!$A:$A)),"超限","合规"))</f>
        <v/>
      </c>
      <c r="AP145" s="1" t="str">
        <f aca="false">IF($A145="","",IF(AND(AL145="新标的",INDEX(账户总表!$R:$R,COUNTA(账户总表!$A:$A))&gt;=INDEX(账户总表!$S:$S,COUNTA(账户总表!$A:$A))),"新增受限","可通过"))</f>
        <v/>
      </c>
      <c r="AQ145" s="1" t="str">
        <f aca="false">IF($A145="","",IF(K145&lt;&gt;"核心池","非核心池",IF(OR(AI145="超限",AO145="超限",AP145="新增受限"),"不可加仓","可加仓")))</f>
        <v/>
      </c>
      <c r="AR145" s="1" t="str">
        <f aca="false">IF($A145="","",TRIM(IF(AI145="超限","1手超单股上限；","")&amp;IF(AO145="超限","买后仓位超限；","")&amp;IF(AP145="新增受限","有效持仓数超限；","")&amp;IF(AF145&gt;INDEX(账户总表!$C:$C,COUNTA(账户总表!$A:$A)),"现金不足；","")))</f>
        <v/>
      </c>
      <c r="AS145" s="1" t="str">
        <f aca="false">IF($A145="","",IFERROR(INDEX(候选池历史!$L:$L,MATCH(1,(候选池历史!$B:$B=C145)*(候选池历史!$A:$A=$A145),0)),0))</f>
        <v/>
      </c>
      <c r="AT145" s="1" t="str">
        <f aca="false">IF($A145="","",IF(AS145&gt;=3,"★信号强化",IF(K145="核心池","核心观察","")))</f>
        <v/>
      </c>
      <c r="AU145" s="1" t="str">
        <f aca="false">IF($A145="","",IF(AK145&gt;30000-INDEX(账户总表!$B:$B,COUNTA(账户总表!$A:$A)),"不适合婴儿阶段","可纳入幼儿路径"))</f>
        <v/>
      </c>
    </row>
    <row r="146" customFormat="false" ht="15" hidden="false" customHeight="true" outlineLevel="0" collapsed="false">
      <c r="A146" s="70"/>
      <c r="B146" s="71"/>
      <c r="C146" s="72"/>
      <c r="D146" s="73"/>
      <c r="E146" s="73"/>
      <c r="F146" s="73"/>
      <c r="G146" s="74"/>
      <c r="H146" s="72"/>
      <c r="I146" s="72"/>
      <c r="J146" s="71"/>
      <c r="K146" s="75" t="str">
        <f aca="false">IF($A146="","",IF(AND(G146&lt;45%,H146&gt;=0.9),"A",IF(AND(G146&lt;60%,H146&gt;0.8),"B","C")))</f>
        <v/>
      </c>
      <c r="L146" s="75" t="str">
        <f aca="false">IF($A146="","",IF(AND(G146&lt;60%,H146&gt;0.8,I146="True"),"是","否"))</f>
        <v/>
      </c>
      <c r="M146" s="75" t="str">
        <f aca="false">IF($A146="","",IF(AND(D146&gt;0,E146&gt;0,D146&lt;=E146*1.02),"是","否"))</f>
        <v/>
      </c>
      <c r="N146" s="76" t="n">
        <f aca="false">IFERROR(INDEX(账户总表!$O:$O,COUNTA(账户总表!$A:$A)),0)</f>
        <v>0.35</v>
      </c>
      <c r="O146" s="77" t="n">
        <f aca="false">IFERROR(INDEX(账户总表!$B:$B,COUNTA(账户总表!$A:$A))*N146,0)</f>
        <v>7294.812</v>
      </c>
      <c r="P146" s="78" t="n">
        <f aca="false">IFERROR(O146/D146,0)</f>
        <v>0</v>
      </c>
      <c r="Q146" s="78" t="n">
        <f aca="false">IFERROR(FLOOR(P146,100),0)</f>
        <v>0</v>
      </c>
      <c r="R146" s="78" t="n">
        <f aca="false">IFERROR(CEILING(800/(100*D146),1)*100,0)</f>
        <v>0</v>
      </c>
      <c r="S146" s="79"/>
      <c r="T146" s="77" t="n">
        <f aca="false">IFERROR(S146*D146,0)</f>
        <v>0</v>
      </c>
      <c r="U146" s="76" t="n">
        <f aca="false">IFERROR(T146/INDEX(账户总表!$B:$B,COUNTA(账户总表!$A:$A)),0)</f>
        <v>0</v>
      </c>
      <c r="V146" s="76" t="n">
        <f aca="false">IFERROR(INDEX(账户总表!$E:$E,COUNTA(账户总表!$A:$A))+U146,0)</f>
        <v>0.407056412146057</v>
      </c>
      <c r="W146" s="75" t="str">
        <f aca="false">IF($A146="","",IFERROR(IF(V146&lt;=INDEX(账户总表!$N:$N,COUNTA(账户总表!$A:$A)),"是","否"),"否"))</f>
        <v/>
      </c>
      <c r="X146" s="77" t="str">
        <f aca="false">IF($A146="","",MAX(F146*0.98,D146*0.92))</f>
        <v/>
      </c>
      <c r="Y146" s="72"/>
      <c r="Z146" s="75" t="str">
        <f aca="false">IF($A146="","",IFERROR(IF(AND(T146&gt;INDEX(账户总表!$C:$C,COUNTA(账户总表!$A:$A)),L146="是"),"是","否"),"否"))</f>
        <v/>
      </c>
      <c r="AA146" s="77" t="str">
        <f aca="false">IF($A146="","",IFERROR(IF(Z146="是",MAX(0,T146-INDEX(账户总表!$C:$C,COUNTA(账户总表!$A:$A)),IF(N146&gt;0,T146/N146-INDEX(账户总表!$B:$B,COUNTA(账户总表!$A:$A)),0)),0),0))</f>
        <v/>
      </c>
      <c r="AB146" s="77" t="str">
        <f aca="false">IF($A146="","",IF(AND(Z146="是",INDEX(账户总表!$U:$U,COUNTA(账户总表!$A:$A))="是"),IF(INDEX(账户总表!$L:$L,COUNTA(账户总表!$A:$A))&gt;=4,AA146*1.5,AA146),0))</f>
        <v/>
      </c>
      <c r="AC146" s="75" t="str">
        <f aca="false">IF($A146="","",IF(AND(L146="是",Q146&gt;=R146,S146&lt;=Q146,S146&gt;=R146,W146="是",X146&gt;0,M146="是",INDEX(账户总表!$M:$M,COUNTA(账户总表!$A:$A))&lt;=2,INDEX(账户总表!$V:$V,COUNTA(账户总表!$A:$A))="是",OR(T146&lt;=INDEX(账户总表!$C:$C,COUNTA(账户总表!$A:$A)),AND(Z146="是",INDEX(账户总表!$U:$U,COUNTA(账户总表!$A:$A))="是",AB146&gt;0))),"是","否"))</f>
        <v/>
      </c>
      <c r="AD146" s="75" t="str">
        <f aca="false">IF($A146="","",IF(L146&lt;&gt;"是","信号未确认",IF(X146&lt;=0,"止损价未定义",IF(Q146&lt;R146,"100股约束不满足",IF(S146&gt;Q146,"计划股数超单股上限",IF(S146&lt;R146,"计划股数低于最小门槛",IF(W146&lt;&gt;"是","总仓位超限",IF(M146&lt;&gt;"是","追价",IF(INDEX(账户总表!$M:$M,COUNTA(账户总表!$A:$A))&gt;2,"亏钱效应偏高",IF(INDEX(账户总表!$V:$V,COUNTA(账户总表!$A:$A))&lt;&gt;"是","账户不允许新开仓",IF(AND(T146&gt;INDEX(账户总表!$C:$C,COUNTA(账户总表!$A:$A)),INDEX(账户总表!$U:$U,COUNTA(账户总表!$A:$A))&lt;&gt;"是"),"现金不足且不允许转入",IF(AND(Z146="是",AB146&lt;=0),"转入金额未满足",""))))))))))))</f>
        <v/>
      </c>
      <c r="AE146" s="71"/>
      <c r="AF146" s="1" t="str">
        <f aca="false">IF($A146="","",D146*100)</f>
        <v/>
      </c>
      <c r="AG146" s="1" t="str">
        <f aca="false">IF($A146="","",IFERROR(AF146/INDEX(账户总表!$B:$B,COUNTA(账户总表!$A:$A)),0))</f>
        <v/>
      </c>
      <c r="AH146" s="1" t="str">
        <f aca="false">IF($A146="","",IFERROR(INDEX(账户总表!$B:$B,COUNTA(账户总表!$A:$A))*INDEX(账户总表!$O:$O,COUNTA(账户总表!$A:$A)),0))</f>
        <v/>
      </c>
      <c r="AI146" s="1" t="str">
        <f aca="false">IF($A146="","",IF(AF146&gt;AH146,"超限","合规"))</f>
        <v/>
      </c>
      <c r="AJ146" s="1" t="str">
        <f aca="false">IF($A146="","",IFERROR(AF146/INDEX(账户总表!$O:$O,COUNTA(账户总表!$A:$A)),0))</f>
        <v/>
      </c>
      <c r="AK146" s="1" t="str">
        <f aca="false">IF($A146="","",IFERROR(MAX(0,AJ146-INDEX(账户总表!$B:$B,COUNTA(账户总表!$A:$A)),AF146-INDEX(账户总表!$C:$C,COUNTA(账户总表!$A:$A))),0))</f>
        <v/>
      </c>
      <c r="AL146" s="1" t="str">
        <f aca="false">IF($A146="","",IF(COUNTIF(持仓表!$C$2:$C$201,C146)&gt;0,"已有","新标的"))</f>
        <v/>
      </c>
      <c r="AM146" s="1" t="str">
        <f aca="false">IF($A146="","",IFERROR(SUMIFS(持仓表!$N$2:$N$201,持仓表!$C$2:$C$201,C146,持仓表!$A$2:$A$201,$A146),0))</f>
        <v/>
      </c>
      <c r="AN146" s="1" t="str">
        <f aca="false">IF($A146="","",IFERROR(AM146+AF146/INDEX(账户总表!$B:$B,COUNTA(账户总表!$A:$A)),0))</f>
        <v/>
      </c>
      <c r="AO146" s="1" t="str">
        <f aca="false">IF($A146="","",IF(AN146&gt;INDEX(账户总表!$O:$O,COUNTA(账户总表!$A:$A)),"超限","合规"))</f>
        <v/>
      </c>
      <c r="AP146" s="1" t="str">
        <f aca="false">IF($A146="","",IF(AND(AL146="新标的",INDEX(账户总表!$R:$R,COUNTA(账户总表!$A:$A))&gt;=INDEX(账户总表!$S:$S,COUNTA(账户总表!$A:$A))),"新增受限","可通过"))</f>
        <v/>
      </c>
      <c r="AQ146" s="1" t="str">
        <f aca="false">IF($A146="","",IF(K146&lt;&gt;"核心池","非核心池",IF(OR(AI146="超限",AO146="超限",AP146="新增受限"),"不可加仓","可加仓")))</f>
        <v/>
      </c>
      <c r="AR146" s="1" t="str">
        <f aca="false">IF($A146="","",TRIM(IF(AI146="超限","1手超单股上限；","")&amp;IF(AO146="超限","买后仓位超限；","")&amp;IF(AP146="新增受限","有效持仓数超限；","")&amp;IF(AF146&gt;INDEX(账户总表!$C:$C,COUNTA(账户总表!$A:$A)),"现金不足；","")))</f>
        <v/>
      </c>
      <c r="AS146" s="1" t="str">
        <f aca="false">IF($A146="","",IFERROR(INDEX(候选池历史!$L:$L,MATCH(1,(候选池历史!$B:$B=C146)*(候选池历史!$A:$A=$A146),0)),0))</f>
        <v/>
      </c>
      <c r="AT146" s="1" t="str">
        <f aca="false">IF($A146="","",IF(AS146&gt;=3,"★信号强化",IF(K146="核心池","核心观察","")))</f>
        <v/>
      </c>
      <c r="AU146" s="1" t="str">
        <f aca="false">IF($A146="","",IF(AK146&gt;30000-INDEX(账户总表!$B:$B,COUNTA(账户总表!$A:$A)),"不适合婴儿阶段","可纳入幼儿路径"))</f>
        <v/>
      </c>
    </row>
    <row r="147" customFormat="false" ht="15" hidden="false" customHeight="true" outlineLevel="0" collapsed="false">
      <c r="A147" s="70"/>
      <c r="B147" s="71"/>
      <c r="C147" s="72"/>
      <c r="D147" s="73"/>
      <c r="E147" s="73"/>
      <c r="F147" s="73"/>
      <c r="G147" s="74"/>
      <c r="H147" s="72"/>
      <c r="I147" s="72"/>
      <c r="J147" s="71"/>
      <c r="K147" s="75" t="str">
        <f aca="false">IF($A147="","",IF(AND(G147&lt;45%,H147&gt;=0.9),"A",IF(AND(G147&lt;60%,H147&gt;0.8),"B","C")))</f>
        <v/>
      </c>
      <c r="L147" s="75" t="str">
        <f aca="false">IF($A147="","",IF(AND(G147&lt;60%,H147&gt;0.8,I147="True"),"是","否"))</f>
        <v/>
      </c>
      <c r="M147" s="75" t="str">
        <f aca="false">IF($A147="","",IF(AND(D147&gt;0,E147&gt;0,D147&lt;=E147*1.02),"是","否"))</f>
        <v/>
      </c>
      <c r="N147" s="76" t="n">
        <f aca="false">IFERROR(INDEX(账户总表!$O:$O,COUNTA(账户总表!$A:$A)),0)</f>
        <v>0.35</v>
      </c>
      <c r="O147" s="77" t="n">
        <f aca="false">IFERROR(INDEX(账户总表!$B:$B,COUNTA(账户总表!$A:$A))*N147,0)</f>
        <v>7294.812</v>
      </c>
      <c r="P147" s="78" t="n">
        <f aca="false">IFERROR(O147/D147,0)</f>
        <v>0</v>
      </c>
      <c r="Q147" s="78" t="n">
        <f aca="false">IFERROR(FLOOR(P147,100),0)</f>
        <v>0</v>
      </c>
      <c r="R147" s="78" t="n">
        <f aca="false">IFERROR(CEILING(800/(100*D147),1)*100,0)</f>
        <v>0</v>
      </c>
      <c r="S147" s="79"/>
      <c r="T147" s="77" t="n">
        <f aca="false">IFERROR(S147*D147,0)</f>
        <v>0</v>
      </c>
      <c r="U147" s="76" t="n">
        <f aca="false">IFERROR(T147/INDEX(账户总表!$B:$B,COUNTA(账户总表!$A:$A)),0)</f>
        <v>0</v>
      </c>
      <c r="V147" s="76" t="n">
        <f aca="false">IFERROR(INDEX(账户总表!$E:$E,COUNTA(账户总表!$A:$A))+U147,0)</f>
        <v>0.407056412146057</v>
      </c>
      <c r="W147" s="75" t="str">
        <f aca="false">IF($A147="","",IFERROR(IF(V147&lt;=INDEX(账户总表!$N:$N,COUNTA(账户总表!$A:$A)),"是","否"),"否"))</f>
        <v/>
      </c>
      <c r="X147" s="77" t="str">
        <f aca="false">IF($A147="","",MAX(F147*0.98,D147*0.92))</f>
        <v/>
      </c>
      <c r="Y147" s="72"/>
      <c r="Z147" s="75" t="str">
        <f aca="false">IF($A147="","",IFERROR(IF(AND(T147&gt;INDEX(账户总表!$C:$C,COUNTA(账户总表!$A:$A)),L147="是"),"是","否"),"否"))</f>
        <v/>
      </c>
      <c r="AA147" s="77" t="str">
        <f aca="false">IF($A147="","",IFERROR(IF(Z147="是",MAX(0,T147-INDEX(账户总表!$C:$C,COUNTA(账户总表!$A:$A)),IF(N147&gt;0,T147/N147-INDEX(账户总表!$B:$B,COUNTA(账户总表!$A:$A)),0)),0),0))</f>
        <v/>
      </c>
      <c r="AB147" s="77" t="str">
        <f aca="false">IF($A147="","",IF(AND(Z147="是",INDEX(账户总表!$U:$U,COUNTA(账户总表!$A:$A))="是"),IF(INDEX(账户总表!$L:$L,COUNTA(账户总表!$A:$A))&gt;=4,AA147*1.5,AA147),0))</f>
        <v/>
      </c>
      <c r="AC147" s="75" t="str">
        <f aca="false">IF($A147="","",IF(AND(L147="是",Q147&gt;=R147,S147&lt;=Q147,S147&gt;=R147,W147="是",X147&gt;0,M147="是",INDEX(账户总表!$M:$M,COUNTA(账户总表!$A:$A))&lt;=2,INDEX(账户总表!$V:$V,COUNTA(账户总表!$A:$A))="是",OR(T147&lt;=INDEX(账户总表!$C:$C,COUNTA(账户总表!$A:$A)),AND(Z147="是",INDEX(账户总表!$U:$U,COUNTA(账户总表!$A:$A))="是",AB147&gt;0))),"是","否"))</f>
        <v/>
      </c>
      <c r="AD147" s="75" t="str">
        <f aca="false">IF($A147="","",IF(L147&lt;&gt;"是","信号未确认",IF(X147&lt;=0,"止损价未定义",IF(Q147&lt;R147,"100股约束不满足",IF(S147&gt;Q147,"计划股数超单股上限",IF(S147&lt;R147,"计划股数低于最小门槛",IF(W147&lt;&gt;"是","总仓位超限",IF(M147&lt;&gt;"是","追价",IF(INDEX(账户总表!$M:$M,COUNTA(账户总表!$A:$A))&gt;2,"亏钱效应偏高",IF(INDEX(账户总表!$V:$V,COUNTA(账户总表!$A:$A))&lt;&gt;"是","账户不允许新开仓",IF(AND(T147&gt;INDEX(账户总表!$C:$C,COUNTA(账户总表!$A:$A)),INDEX(账户总表!$U:$U,COUNTA(账户总表!$A:$A))&lt;&gt;"是"),"现金不足且不允许转入",IF(AND(Z147="是",AB147&lt;=0),"转入金额未满足",""))))))))))))</f>
        <v/>
      </c>
      <c r="AE147" s="71"/>
      <c r="AF147" s="1" t="str">
        <f aca="false">IF($A147="","",D147*100)</f>
        <v/>
      </c>
      <c r="AG147" s="1" t="str">
        <f aca="false">IF($A147="","",IFERROR(AF147/INDEX(账户总表!$B:$B,COUNTA(账户总表!$A:$A)),0))</f>
        <v/>
      </c>
      <c r="AH147" s="1" t="str">
        <f aca="false">IF($A147="","",IFERROR(INDEX(账户总表!$B:$B,COUNTA(账户总表!$A:$A))*INDEX(账户总表!$O:$O,COUNTA(账户总表!$A:$A)),0))</f>
        <v/>
      </c>
      <c r="AI147" s="1" t="str">
        <f aca="false">IF($A147="","",IF(AF147&gt;AH147,"超限","合规"))</f>
        <v/>
      </c>
      <c r="AJ147" s="1" t="str">
        <f aca="false">IF($A147="","",IFERROR(AF147/INDEX(账户总表!$O:$O,COUNTA(账户总表!$A:$A)),0))</f>
        <v/>
      </c>
      <c r="AK147" s="1" t="str">
        <f aca="false">IF($A147="","",IFERROR(MAX(0,AJ147-INDEX(账户总表!$B:$B,COUNTA(账户总表!$A:$A)),AF147-INDEX(账户总表!$C:$C,COUNTA(账户总表!$A:$A))),0))</f>
        <v/>
      </c>
      <c r="AL147" s="1" t="str">
        <f aca="false">IF($A147="","",IF(COUNTIF(持仓表!$C$2:$C$201,C147)&gt;0,"已有","新标的"))</f>
        <v/>
      </c>
      <c r="AM147" s="1" t="str">
        <f aca="false">IF($A147="","",IFERROR(SUMIFS(持仓表!$N$2:$N$201,持仓表!$C$2:$C$201,C147,持仓表!$A$2:$A$201,$A147),0))</f>
        <v/>
      </c>
      <c r="AN147" s="1" t="str">
        <f aca="false">IF($A147="","",IFERROR(AM147+AF147/INDEX(账户总表!$B:$B,COUNTA(账户总表!$A:$A)),0))</f>
        <v/>
      </c>
      <c r="AO147" s="1" t="str">
        <f aca="false">IF($A147="","",IF(AN147&gt;INDEX(账户总表!$O:$O,COUNTA(账户总表!$A:$A)),"超限","合规"))</f>
        <v/>
      </c>
      <c r="AP147" s="1" t="str">
        <f aca="false">IF($A147="","",IF(AND(AL147="新标的",INDEX(账户总表!$R:$R,COUNTA(账户总表!$A:$A))&gt;=INDEX(账户总表!$S:$S,COUNTA(账户总表!$A:$A))),"新增受限","可通过"))</f>
        <v/>
      </c>
      <c r="AQ147" s="1" t="str">
        <f aca="false">IF($A147="","",IF(K147&lt;&gt;"核心池","非核心池",IF(OR(AI147="超限",AO147="超限",AP147="新增受限"),"不可加仓","可加仓")))</f>
        <v/>
      </c>
      <c r="AR147" s="1" t="str">
        <f aca="false">IF($A147="","",TRIM(IF(AI147="超限","1手超单股上限；","")&amp;IF(AO147="超限","买后仓位超限；","")&amp;IF(AP147="新增受限","有效持仓数超限；","")&amp;IF(AF147&gt;INDEX(账户总表!$C:$C,COUNTA(账户总表!$A:$A)),"现金不足；","")))</f>
        <v/>
      </c>
      <c r="AS147" s="1" t="str">
        <f aca="false">IF($A147="","",IFERROR(INDEX(候选池历史!$L:$L,MATCH(1,(候选池历史!$B:$B=C147)*(候选池历史!$A:$A=$A147),0)),0))</f>
        <v/>
      </c>
      <c r="AT147" s="1" t="str">
        <f aca="false">IF($A147="","",IF(AS147&gt;=3,"★信号强化",IF(K147="核心池","核心观察","")))</f>
        <v/>
      </c>
      <c r="AU147" s="1" t="str">
        <f aca="false">IF($A147="","",IF(AK147&gt;30000-INDEX(账户总表!$B:$B,COUNTA(账户总表!$A:$A)),"不适合婴儿阶段","可纳入幼儿路径"))</f>
        <v/>
      </c>
    </row>
    <row r="148" customFormat="false" ht="15" hidden="false" customHeight="true" outlineLevel="0" collapsed="false">
      <c r="A148" s="70"/>
      <c r="B148" s="71"/>
      <c r="C148" s="72"/>
      <c r="D148" s="73"/>
      <c r="E148" s="73"/>
      <c r="F148" s="73"/>
      <c r="G148" s="74"/>
      <c r="H148" s="72"/>
      <c r="I148" s="72"/>
      <c r="J148" s="71"/>
      <c r="K148" s="75" t="str">
        <f aca="false">IF($A148="","",IF(AND(G148&lt;45%,H148&gt;=0.9),"A",IF(AND(G148&lt;60%,H148&gt;0.8),"B","C")))</f>
        <v/>
      </c>
      <c r="L148" s="75" t="str">
        <f aca="false">IF($A148="","",IF(AND(G148&lt;60%,H148&gt;0.8,I148="True"),"是","否"))</f>
        <v/>
      </c>
      <c r="M148" s="75" t="str">
        <f aca="false">IF($A148="","",IF(AND(D148&gt;0,E148&gt;0,D148&lt;=E148*1.02),"是","否"))</f>
        <v/>
      </c>
      <c r="N148" s="76" t="n">
        <f aca="false">IFERROR(INDEX(账户总表!$O:$O,COUNTA(账户总表!$A:$A)),0)</f>
        <v>0.35</v>
      </c>
      <c r="O148" s="77" t="n">
        <f aca="false">IFERROR(INDEX(账户总表!$B:$B,COUNTA(账户总表!$A:$A))*N148,0)</f>
        <v>7294.812</v>
      </c>
      <c r="P148" s="78" t="n">
        <f aca="false">IFERROR(O148/D148,0)</f>
        <v>0</v>
      </c>
      <c r="Q148" s="78" t="n">
        <f aca="false">IFERROR(FLOOR(P148,100),0)</f>
        <v>0</v>
      </c>
      <c r="R148" s="78" t="n">
        <f aca="false">IFERROR(CEILING(800/(100*D148),1)*100,0)</f>
        <v>0</v>
      </c>
      <c r="S148" s="79"/>
      <c r="T148" s="77" t="n">
        <f aca="false">IFERROR(S148*D148,0)</f>
        <v>0</v>
      </c>
      <c r="U148" s="76" t="n">
        <f aca="false">IFERROR(T148/INDEX(账户总表!$B:$B,COUNTA(账户总表!$A:$A)),0)</f>
        <v>0</v>
      </c>
      <c r="V148" s="76" t="n">
        <f aca="false">IFERROR(INDEX(账户总表!$E:$E,COUNTA(账户总表!$A:$A))+U148,0)</f>
        <v>0.407056412146057</v>
      </c>
      <c r="W148" s="75" t="str">
        <f aca="false">IF($A148="","",IFERROR(IF(V148&lt;=INDEX(账户总表!$N:$N,COUNTA(账户总表!$A:$A)),"是","否"),"否"))</f>
        <v/>
      </c>
      <c r="X148" s="77" t="str">
        <f aca="false">IF($A148="","",MAX(F148*0.98,D148*0.92))</f>
        <v/>
      </c>
      <c r="Y148" s="72"/>
      <c r="Z148" s="75" t="str">
        <f aca="false">IF($A148="","",IFERROR(IF(AND(T148&gt;INDEX(账户总表!$C:$C,COUNTA(账户总表!$A:$A)),L148="是"),"是","否"),"否"))</f>
        <v/>
      </c>
      <c r="AA148" s="77" t="str">
        <f aca="false">IF($A148="","",IFERROR(IF(Z148="是",MAX(0,T148-INDEX(账户总表!$C:$C,COUNTA(账户总表!$A:$A)),IF(N148&gt;0,T148/N148-INDEX(账户总表!$B:$B,COUNTA(账户总表!$A:$A)),0)),0),0))</f>
        <v/>
      </c>
      <c r="AB148" s="77" t="str">
        <f aca="false">IF($A148="","",IF(AND(Z148="是",INDEX(账户总表!$U:$U,COUNTA(账户总表!$A:$A))="是"),IF(INDEX(账户总表!$L:$L,COUNTA(账户总表!$A:$A))&gt;=4,AA148*1.5,AA148),0))</f>
        <v/>
      </c>
      <c r="AC148" s="75" t="str">
        <f aca="false">IF($A148="","",IF(AND(L148="是",Q148&gt;=R148,S148&lt;=Q148,S148&gt;=R148,W148="是",X148&gt;0,M148="是",INDEX(账户总表!$M:$M,COUNTA(账户总表!$A:$A))&lt;=2,INDEX(账户总表!$V:$V,COUNTA(账户总表!$A:$A))="是",OR(T148&lt;=INDEX(账户总表!$C:$C,COUNTA(账户总表!$A:$A)),AND(Z148="是",INDEX(账户总表!$U:$U,COUNTA(账户总表!$A:$A))="是",AB148&gt;0))),"是","否"))</f>
        <v/>
      </c>
      <c r="AD148" s="75" t="str">
        <f aca="false">IF($A148="","",IF(L148&lt;&gt;"是","信号未确认",IF(X148&lt;=0,"止损价未定义",IF(Q148&lt;R148,"100股约束不满足",IF(S148&gt;Q148,"计划股数超单股上限",IF(S148&lt;R148,"计划股数低于最小门槛",IF(W148&lt;&gt;"是","总仓位超限",IF(M148&lt;&gt;"是","追价",IF(INDEX(账户总表!$M:$M,COUNTA(账户总表!$A:$A))&gt;2,"亏钱效应偏高",IF(INDEX(账户总表!$V:$V,COUNTA(账户总表!$A:$A))&lt;&gt;"是","账户不允许新开仓",IF(AND(T148&gt;INDEX(账户总表!$C:$C,COUNTA(账户总表!$A:$A)),INDEX(账户总表!$U:$U,COUNTA(账户总表!$A:$A))&lt;&gt;"是"),"现金不足且不允许转入",IF(AND(Z148="是",AB148&lt;=0),"转入金额未满足",""))))))))))))</f>
        <v/>
      </c>
      <c r="AE148" s="71"/>
      <c r="AF148" s="1" t="str">
        <f aca="false">IF($A148="","",D148*100)</f>
        <v/>
      </c>
      <c r="AG148" s="1" t="str">
        <f aca="false">IF($A148="","",IFERROR(AF148/INDEX(账户总表!$B:$B,COUNTA(账户总表!$A:$A)),0))</f>
        <v/>
      </c>
      <c r="AH148" s="1" t="str">
        <f aca="false">IF($A148="","",IFERROR(INDEX(账户总表!$B:$B,COUNTA(账户总表!$A:$A))*INDEX(账户总表!$O:$O,COUNTA(账户总表!$A:$A)),0))</f>
        <v/>
      </c>
      <c r="AI148" s="1" t="str">
        <f aca="false">IF($A148="","",IF(AF148&gt;AH148,"超限","合规"))</f>
        <v/>
      </c>
      <c r="AJ148" s="1" t="str">
        <f aca="false">IF($A148="","",IFERROR(AF148/INDEX(账户总表!$O:$O,COUNTA(账户总表!$A:$A)),0))</f>
        <v/>
      </c>
      <c r="AK148" s="1" t="str">
        <f aca="false">IF($A148="","",IFERROR(MAX(0,AJ148-INDEX(账户总表!$B:$B,COUNTA(账户总表!$A:$A)),AF148-INDEX(账户总表!$C:$C,COUNTA(账户总表!$A:$A))),0))</f>
        <v/>
      </c>
      <c r="AL148" s="1" t="str">
        <f aca="false">IF($A148="","",IF(COUNTIF(持仓表!$C$2:$C$201,C148)&gt;0,"已有","新标的"))</f>
        <v/>
      </c>
      <c r="AM148" s="1" t="str">
        <f aca="false">IF($A148="","",IFERROR(SUMIFS(持仓表!$N$2:$N$201,持仓表!$C$2:$C$201,C148,持仓表!$A$2:$A$201,$A148),0))</f>
        <v/>
      </c>
      <c r="AN148" s="1" t="str">
        <f aca="false">IF($A148="","",IFERROR(AM148+AF148/INDEX(账户总表!$B:$B,COUNTA(账户总表!$A:$A)),0))</f>
        <v/>
      </c>
      <c r="AO148" s="1" t="str">
        <f aca="false">IF($A148="","",IF(AN148&gt;INDEX(账户总表!$O:$O,COUNTA(账户总表!$A:$A)),"超限","合规"))</f>
        <v/>
      </c>
      <c r="AP148" s="1" t="str">
        <f aca="false">IF($A148="","",IF(AND(AL148="新标的",INDEX(账户总表!$R:$R,COUNTA(账户总表!$A:$A))&gt;=INDEX(账户总表!$S:$S,COUNTA(账户总表!$A:$A))),"新增受限","可通过"))</f>
        <v/>
      </c>
      <c r="AQ148" s="1" t="str">
        <f aca="false">IF($A148="","",IF(K148&lt;&gt;"核心池","非核心池",IF(OR(AI148="超限",AO148="超限",AP148="新增受限"),"不可加仓","可加仓")))</f>
        <v/>
      </c>
      <c r="AR148" s="1" t="str">
        <f aca="false">IF($A148="","",TRIM(IF(AI148="超限","1手超单股上限；","")&amp;IF(AO148="超限","买后仓位超限；","")&amp;IF(AP148="新增受限","有效持仓数超限；","")&amp;IF(AF148&gt;INDEX(账户总表!$C:$C,COUNTA(账户总表!$A:$A)),"现金不足；","")))</f>
        <v/>
      </c>
      <c r="AS148" s="1" t="str">
        <f aca="false">IF($A148="","",IFERROR(INDEX(候选池历史!$L:$L,MATCH(1,(候选池历史!$B:$B=C148)*(候选池历史!$A:$A=$A148),0)),0))</f>
        <v/>
      </c>
      <c r="AT148" s="1" t="str">
        <f aca="false">IF($A148="","",IF(AS148&gt;=3,"★信号强化",IF(K148="核心池","核心观察","")))</f>
        <v/>
      </c>
      <c r="AU148" s="1" t="str">
        <f aca="false">IF($A148="","",IF(AK148&gt;30000-INDEX(账户总表!$B:$B,COUNTA(账户总表!$A:$A)),"不适合婴儿阶段","可纳入幼儿路径"))</f>
        <v/>
      </c>
    </row>
    <row r="149" customFormat="false" ht="15" hidden="false" customHeight="true" outlineLevel="0" collapsed="false">
      <c r="A149" s="70"/>
      <c r="B149" s="72"/>
      <c r="C149" s="72"/>
      <c r="D149" s="73"/>
      <c r="E149" s="73"/>
      <c r="F149" s="73"/>
      <c r="G149" s="74"/>
      <c r="H149" s="72"/>
      <c r="I149" s="72"/>
      <c r="J149" s="71"/>
      <c r="K149" s="75" t="str">
        <f aca="false">IF($A149="","",IF(AND(G149&lt;45%,H149&gt;=0.9),"A",IF(AND(G149&lt;60%,H149&gt;0.8),"B","C")))</f>
        <v/>
      </c>
      <c r="L149" s="75" t="str">
        <f aca="false">IF($A149="","",IF(AND(G149&lt;60%,H149&gt;0.8,I149="True"),"是","否"))</f>
        <v/>
      </c>
      <c r="M149" s="75" t="str">
        <f aca="false">IF($A149="","",IF(AND(D149&gt;0,E149&gt;0,D149&lt;=E149*1.02),"是","否"))</f>
        <v/>
      </c>
      <c r="N149" s="76" t="n">
        <f aca="false">IFERROR(INDEX(账户总表!$O:$O,COUNTA(账户总表!$A:$A)),0)</f>
        <v>0.35</v>
      </c>
      <c r="O149" s="77" t="n">
        <f aca="false">IFERROR(INDEX(账户总表!$B:$B,COUNTA(账户总表!$A:$A))*N149,0)</f>
        <v>7294.812</v>
      </c>
      <c r="P149" s="78" t="n">
        <f aca="false">IFERROR(O149/D149,0)</f>
        <v>0</v>
      </c>
      <c r="Q149" s="78" t="n">
        <f aca="false">IFERROR(FLOOR(P149,100),0)</f>
        <v>0</v>
      </c>
      <c r="R149" s="78" t="n">
        <f aca="false">IFERROR(CEILING(800/(100*D149),1)*100,0)</f>
        <v>0</v>
      </c>
      <c r="S149" s="79"/>
      <c r="T149" s="77" t="n">
        <f aca="false">IFERROR(S149*D149,0)</f>
        <v>0</v>
      </c>
      <c r="U149" s="76" t="n">
        <f aca="false">IFERROR(T149/INDEX(账户总表!$B:$B,COUNTA(账户总表!$A:$A)),0)</f>
        <v>0</v>
      </c>
      <c r="V149" s="76" t="n">
        <f aca="false">IFERROR(INDEX(账户总表!$E:$E,COUNTA(账户总表!$A:$A))+U149,0)</f>
        <v>0.407056412146057</v>
      </c>
      <c r="W149" s="75" t="str">
        <f aca="false">IF($A149="","",IFERROR(IF(V149&lt;=INDEX(账户总表!$N:$N,COUNTA(账户总表!$A:$A)),"是","否"),"否"))</f>
        <v/>
      </c>
      <c r="X149" s="77" t="str">
        <f aca="false">IF($A149="","",MAX(F149*0.98,D149*0.92))</f>
        <v/>
      </c>
      <c r="Y149" s="72"/>
      <c r="Z149" s="75" t="str">
        <f aca="false">IF($A149="","",IFERROR(IF(AND(T149&gt;INDEX(账户总表!$C:$C,COUNTA(账户总表!$A:$A)),L149="是"),"是","否"),"否"))</f>
        <v/>
      </c>
      <c r="AA149" s="77" t="str">
        <f aca="false">IF($A149="","",IFERROR(IF(Z149="是",MAX(0,T149-INDEX(账户总表!$C:$C,COUNTA(账户总表!$A:$A)),IF(N149&gt;0,T149/N149-INDEX(账户总表!$B:$B,COUNTA(账户总表!$A:$A)),0)),0),0))</f>
        <v/>
      </c>
      <c r="AB149" s="77" t="str">
        <f aca="false">IF($A149="","",IF(AND(Z149="是",INDEX(账户总表!$U:$U,COUNTA(账户总表!$A:$A))="是"),IF(INDEX(账户总表!$L:$L,COUNTA(账户总表!$A:$A))&gt;=4,AA149*1.5,AA149),0))</f>
        <v/>
      </c>
      <c r="AC149" s="75" t="str">
        <f aca="false">IF($A149="","",IF(AND(L149="是",Q149&gt;=R149,S149&lt;=Q149,S149&gt;=R149,W149="是",X149&gt;0,M149="是",INDEX(账户总表!$M:$M,COUNTA(账户总表!$A:$A))&lt;=2,INDEX(账户总表!$V:$V,COUNTA(账户总表!$A:$A))="是",OR(T149&lt;=INDEX(账户总表!$C:$C,COUNTA(账户总表!$A:$A)),AND(Z149="是",INDEX(账户总表!$U:$U,COUNTA(账户总表!$A:$A))="是",AB149&gt;0))),"是","否"))</f>
        <v/>
      </c>
      <c r="AD149" s="75" t="str">
        <f aca="false">IF($A149="","",IF(L149&lt;&gt;"是","信号未确认",IF(X149&lt;=0,"止损价未定义",IF(Q149&lt;R149,"100股约束不满足",IF(S149&gt;Q149,"计划股数超单股上限",IF(S149&lt;R149,"计划股数低于最小门槛",IF(W149&lt;&gt;"是","总仓位超限",IF(M149&lt;&gt;"是","追价",IF(INDEX(账户总表!$M:$M,COUNTA(账户总表!$A:$A))&gt;2,"亏钱效应偏高",IF(INDEX(账户总表!$V:$V,COUNTA(账户总表!$A:$A))&lt;&gt;"是","账户不允许新开仓",IF(AND(T149&gt;INDEX(账户总表!$C:$C,COUNTA(账户总表!$A:$A)),INDEX(账户总表!$U:$U,COUNTA(账户总表!$A:$A))&lt;&gt;"是"),"现金不足且不允许转入",IF(AND(Z149="是",AB149&lt;=0),"转入金额未满足",""))))))))))))</f>
        <v/>
      </c>
      <c r="AE149" s="71"/>
      <c r="AF149" s="1" t="str">
        <f aca="false">IF($A149="","",D149*100)</f>
        <v/>
      </c>
      <c r="AG149" s="1" t="str">
        <f aca="false">IF($A149="","",IFERROR(AF149/INDEX(账户总表!$B:$B,COUNTA(账户总表!$A:$A)),0))</f>
        <v/>
      </c>
      <c r="AH149" s="1" t="str">
        <f aca="false">IF($A149="","",IFERROR(INDEX(账户总表!$B:$B,COUNTA(账户总表!$A:$A))*INDEX(账户总表!$O:$O,COUNTA(账户总表!$A:$A)),0))</f>
        <v/>
      </c>
      <c r="AI149" s="1" t="str">
        <f aca="false">IF($A149="","",IF(AF149&gt;AH149,"超限","合规"))</f>
        <v/>
      </c>
      <c r="AJ149" s="1" t="str">
        <f aca="false">IF($A149="","",IFERROR(AF149/INDEX(账户总表!$O:$O,COUNTA(账户总表!$A:$A)),0))</f>
        <v/>
      </c>
      <c r="AK149" s="1" t="str">
        <f aca="false">IF($A149="","",IFERROR(MAX(0,AJ149-INDEX(账户总表!$B:$B,COUNTA(账户总表!$A:$A)),AF149-INDEX(账户总表!$C:$C,COUNTA(账户总表!$A:$A))),0))</f>
        <v/>
      </c>
      <c r="AL149" s="1" t="str">
        <f aca="false">IF($A149="","",IF(COUNTIF(持仓表!$C$2:$C$201,C149)&gt;0,"已有","新标的"))</f>
        <v/>
      </c>
      <c r="AM149" s="1" t="str">
        <f aca="false">IF($A149="","",IFERROR(SUMIFS(持仓表!$N$2:$N$201,持仓表!$C$2:$C$201,C149,持仓表!$A$2:$A$201,$A149),0))</f>
        <v/>
      </c>
      <c r="AN149" s="1" t="str">
        <f aca="false">IF($A149="","",IFERROR(AM149+AF149/INDEX(账户总表!$B:$B,COUNTA(账户总表!$A:$A)),0))</f>
        <v/>
      </c>
      <c r="AO149" s="1" t="str">
        <f aca="false">IF($A149="","",IF(AN149&gt;INDEX(账户总表!$O:$O,COUNTA(账户总表!$A:$A)),"超限","合规"))</f>
        <v/>
      </c>
      <c r="AP149" s="1" t="str">
        <f aca="false">IF($A149="","",IF(AND(AL149="新标的",INDEX(账户总表!$R:$R,COUNTA(账户总表!$A:$A))&gt;=INDEX(账户总表!$S:$S,COUNTA(账户总表!$A:$A))),"新增受限","可通过"))</f>
        <v/>
      </c>
      <c r="AQ149" s="1" t="str">
        <f aca="false">IF($A149="","",IF(K149&lt;&gt;"核心池","非核心池",IF(OR(AI149="超限",AO149="超限",AP149="新增受限"),"不可加仓","可加仓")))</f>
        <v/>
      </c>
      <c r="AR149" s="1" t="str">
        <f aca="false">IF($A149="","",TRIM(IF(AI149="超限","1手超单股上限；","")&amp;IF(AO149="超限","买后仓位超限；","")&amp;IF(AP149="新增受限","有效持仓数超限；","")&amp;IF(AF149&gt;INDEX(账户总表!$C:$C,COUNTA(账户总表!$A:$A)),"现金不足；","")))</f>
        <v/>
      </c>
      <c r="AS149" s="1" t="str">
        <f aca="false">IF($A149="","",IFERROR(INDEX(候选池历史!$L:$L,MATCH(1,(候选池历史!$B:$B=C149)*(候选池历史!$A:$A=$A149),0)),0))</f>
        <v/>
      </c>
      <c r="AT149" s="1" t="str">
        <f aca="false">IF($A149="","",IF(AS149&gt;=3,"★信号强化",IF(K149="核心池","核心观察","")))</f>
        <v/>
      </c>
      <c r="AU149" s="1" t="str">
        <f aca="false">IF($A149="","",IF(AK149&gt;30000-INDEX(账户总表!$B:$B,COUNTA(账户总表!$A:$A)),"不适合婴儿阶段","可纳入幼儿路径"))</f>
        <v/>
      </c>
    </row>
    <row r="150" customFormat="false" ht="15" hidden="false" customHeight="true" outlineLevel="0" collapsed="false">
      <c r="A150" s="70"/>
      <c r="B150" s="71"/>
      <c r="C150" s="72"/>
      <c r="D150" s="73"/>
      <c r="E150" s="73"/>
      <c r="F150" s="73"/>
      <c r="G150" s="74"/>
      <c r="H150" s="72"/>
      <c r="I150" s="72"/>
      <c r="J150" s="71"/>
      <c r="K150" s="75" t="str">
        <f aca="false">IF($A150="","",IF(AND(G150&lt;45%,H150&gt;=0.9),"A",IF(AND(G150&lt;60%,H150&gt;0.8),"B","C")))</f>
        <v/>
      </c>
      <c r="L150" s="75" t="str">
        <f aca="false">IF($A150="","",IF(AND(G150&lt;60%,H150&gt;0.8,I150="True"),"是","否"))</f>
        <v/>
      </c>
      <c r="M150" s="75" t="str">
        <f aca="false">IF($A150="","",IF(AND(D150&gt;0,E150&gt;0,D150&lt;=E150*1.02),"是","否"))</f>
        <v/>
      </c>
      <c r="N150" s="76" t="n">
        <f aca="false">IFERROR(INDEX(账户总表!$O:$O,COUNTA(账户总表!$A:$A)),0)</f>
        <v>0.35</v>
      </c>
      <c r="O150" s="77" t="n">
        <f aca="false">IFERROR(INDEX(账户总表!$B:$B,COUNTA(账户总表!$A:$A))*N150,0)</f>
        <v>7294.812</v>
      </c>
      <c r="P150" s="78" t="n">
        <f aca="false">IFERROR(O150/D150,0)</f>
        <v>0</v>
      </c>
      <c r="Q150" s="78" t="n">
        <f aca="false">IFERROR(FLOOR(P150,100),0)</f>
        <v>0</v>
      </c>
      <c r="R150" s="78" t="n">
        <f aca="false">IFERROR(CEILING(800/(100*D150),1)*100,0)</f>
        <v>0</v>
      </c>
      <c r="S150" s="79"/>
      <c r="T150" s="77" t="n">
        <f aca="false">IFERROR(S150*D150,0)</f>
        <v>0</v>
      </c>
      <c r="U150" s="76" t="n">
        <f aca="false">IFERROR(T150/INDEX(账户总表!$B:$B,COUNTA(账户总表!$A:$A)),0)</f>
        <v>0</v>
      </c>
      <c r="V150" s="76" t="n">
        <f aca="false">IFERROR(INDEX(账户总表!$E:$E,COUNTA(账户总表!$A:$A))+U150,0)</f>
        <v>0.407056412146057</v>
      </c>
      <c r="W150" s="75" t="str">
        <f aca="false">IF($A150="","",IFERROR(IF(V150&lt;=INDEX(账户总表!$N:$N,COUNTA(账户总表!$A:$A)),"是","否"),"否"))</f>
        <v/>
      </c>
      <c r="X150" s="77" t="str">
        <f aca="false">IF($A150="","",MAX(F150*0.98,D150*0.92))</f>
        <v/>
      </c>
      <c r="Y150" s="72"/>
      <c r="Z150" s="75" t="str">
        <f aca="false">IF($A150="","",IFERROR(IF(AND(T150&gt;INDEX(账户总表!$C:$C,COUNTA(账户总表!$A:$A)),L150="是"),"是","否"),"否"))</f>
        <v/>
      </c>
      <c r="AA150" s="77" t="str">
        <f aca="false">IF($A150="","",IFERROR(IF(Z150="是",MAX(0,T150-INDEX(账户总表!$C:$C,COUNTA(账户总表!$A:$A)),IF(N150&gt;0,T150/N150-INDEX(账户总表!$B:$B,COUNTA(账户总表!$A:$A)),0)),0),0))</f>
        <v/>
      </c>
      <c r="AB150" s="77" t="str">
        <f aca="false">IF($A150="","",IF(AND(Z150="是",INDEX(账户总表!$U:$U,COUNTA(账户总表!$A:$A))="是"),IF(INDEX(账户总表!$L:$L,COUNTA(账户总表!$A:$A))&gt;=4,AA150*1.5,AA150),0))</f>
        <v/>
      </c>
      <c r="AC150" s="75" t="str">
        <f aca="false">IF($A150="","",IF(AND(L150="是",Q150&gt;=R150,S150&lt;=Q150,S150&gt;=R150,W150="是",X150&gt;0,M150="是",INDEX(账户总表!$M:$M,COUNTA(账户总表!$A:$A))&lt;=2,INDEX(账户总表!$V:$V,COUNTA(账户总表!$A:$A))="是",OR(T150&lt;=INDEX(账户总表!$C:$C,COUNTA(账户总表!$A:$A)),AND(Z150="是",INDEX(账户总表!$U:$U,COUNTA(账户总表!$A:$A))="是",AB150&gt;0))),"是","否"))</f>
        <v/>
      </c>
      <c r="AD150" s="75" t="str">
        <f aca="false">IF($A150="","",IF(L150&lt;&gt;"是","信号未确认",IF(X150&lt;=0,"止损价未定义",IF(Q150&lt;R150,"100股约束不满足",IF(S150&gt;Q150,"计划股数超单股上限",IF(S150&lt;R150,"计划股数低于最小门槛",IF(W150&lt;&gt;"是","总仓位超限",IF(M150&lt;&gt;"是","追价",IF(INDEX(账户总表!$M:$M,COUNTA(账户总表!$A:$A))&gt;2,"亏钱效应偏高",IF(INDEX(账户总表!$V:$V,COUNTA(账户总表!$A:$A))&lt;&gt;"是","账户不允许新开仓",IF(AND(T150&gt;INDEX(账户总表!$C:$C,COUNTA(账户总表!$A:$A)),INDEX(账户总表!$U:$U,COUNTA(账户总表!$A:$A))&lt;&gt;"是"),"现金不足且不允许转入",IF(AND(Z150="是",AB150&lt;=0),"转入金额未满足",""))))))))))))</f>
        <v/>
      </c>
      <c r="AE150" s="71"/>
      <c r="AF150" s="1" t="str">
        <f aca="false">IF($A150="","",D150*100)</f>
        <v/>
      </c>
      <c r="AG150" s="1" t="str">
        <f aca="false">IF($A150="","",IFERROR(AF150/INDEX(账户总表!$B:$B,COUNTA(账户总表!$A:$A)),0))</f>
        <v/>
      </c>
      <c r="AH150" s="1" t="str">
        <f aca="false">IF($A150="","",IFERROR(INDEX(账户总表!$B:$B,COUNTA(账户总表!$A:$A))*INDEX(账户总表!$O:$O,COUNTA(账户总表!$A:$A)),0))</f>
        <v/>
      </c>
      <c r="AI150" s="1" t="str">
        <f aca="false">IF($A150="","",IF(AF150&gt;AH150,"超限","合规"))</f>
        <v/>
      </c>
      <c r="AJ150" s="1" t="str">
        <f aca="false">IF($A150="","",IFERROR(AF150/INDEX(账户总表!$O:$O,COUNTA(账户总表!$A:$A)),0))</f>
        <v/>
      </c>
      <c r="AK150" s="1" t="str">
        <f aca="false">IF($A150="","",IFERROR(MAX(0,AJ150-INDEX(账户总表!$B:$B,COUNTA(账户总表!$A:$A)),AF150-INDEX(账户总表!$C:$C,COUNTA(账户总表!$A:$A))),0))</f>
        <v/>
      </c>
      <c r="AL150" s="1" t="str">
        <f aca="false">IF($A150="","",IF(COUNTIF(持仓表!$C$2:$C$201,C150)&gt;0,"已有","新标的"))</f>
        <v/>
      </c>
      <c r="AM150" s="1" t="str">
        <f aca="false">IF($A150="","",IFERROR(SUMIFS(持仓表!$N$2:$N$201,持仓表!$C$2:$C$201,C150,持仓表!$A$2:$A$201,$A150),0))</f>
        <v/>
      </c>
      <c r="AN150" s="1" t="str">
        <f aca="false">IF($A150="","",IFERROR(AM150+AF150/INDEX(账户总表!$B:$B,COUNTA(账户总表!$A:$A)),0))</f>
        <v/>
      </c>
      <c r="AO150" s="1" t="str">
        <f aca="false">IF($A150="","",IF(AN150&gt;INDEX(账户总表!$O:$O,COUNTA(账户总表!$A:$A)),"超限","合规"))</f>
        <v/>
      </c>
      <c r="AP150" s="1" t="str">
        <f aca="false">IF($A150="","",IF(AND(AL150="新标的",INDEX(账户总表!$R:$R,COUNTA(账户总表!$A:$A))&gt;=INDEX(账户总表!$S:$S,COUNTA(账户总表!$A:$A))),"新增受限","可通过"))</f>
        <v/>
      </c>
      <c r="AQ150" s="1" t="str">
        <f aca="false">IF($A150="","",IF(K150&lt;&gt;"核心池","非核心池",IF(OR(AI150="超限",AO150="超限",AP150="新增受限"),"不可加仓","可加仓")))</f>
        <v/>
      </c>
      <c r="AR150" s="1" t="str">
        <f aca="false">IF($A150="","",TRIM(IF(AI150="超限","1手超单股上限；","")&amp;IF(AO150="超限","买后仓位超限；","")&amp;IF(AP150="新增受限","有效持仓数超限；","")&amp;IF(AF150&gt;INDEX(账户总表!$C:$C,COUNTA(账户总表!$A:$A)),"现金不足；","")))</f>
        <v/>
      </c>
      <c r="AS150" s="1" t="str">
        <f aca="false">IF($A150="","",IFERROR(INDEX(候选池历史!$L:$L,MATCH(1,(候选池历史!$B:$B=C150)*(候选池历史!$A:$A=$A150),0)),0))</f>
        <v/>
      </c>
      <c r="AT150" s="1" t="str">
        <f aca="false">IF($A150="","",IF(AS150&gt;=3,"★信号强化",IF(K150="核心池","核心观察","")))</f>
        <v/>
      </c>
      <c r="AU150" s="1" t="str">
        <f aca="false">IF($A150="","",IF(AK150&gt;30000-INDEX(账户总表!$B:$B,COUNTA(账户总表!$A:$A)),"不适合婴儿阶段","可纳入幼儿路径"))</f>
        <v/>
      </c>
    </row>
    <row r="151" customFormat="false" ht="15" hidden="false" customHeight="true" outlineLevel="0" collapsed="false">
      <c r="A151" s="31"/>
      <c r="B151" s="9"/>
      <c r="C151" s="9"/>
      <c r="D151" s="26"/>
      <c r="E151" s="26"/>
      <c r="F151" s="26"/>
      <c r="G151" s="28"/>
      <c r="H151" s="9"/>
      <c r="I151" s="14"/>
      <c r="J151" s="9"/>
      <c r="K151" s="5" t="str">
        <f aca="false">IF($A151="","",IF(AND(G151&lt;45%,H151&gt;=0.9),"A",IF(AND(G151&lt;60%,H151&gt;0.8),"B","C")))</f>
        <v/>
      </c>
      <c r="L151" s="5" t="str">
        <f aca="false">IF($A151="","",IF(AND(G151&lt;60%,H151&gt;0.8,I151="True"),"是","否"))</f>
        <v/>
      </c>
      <c r="M151" s="5" t="str">
        <f aca="false">IF($A151="","",IF(AND(D151&gt;0,E151&gt;0,D151&lt;=E151*1.02),"是","否"))</f>
        <v/>
      </c>
      <c r="N151" s="19" t="n">
        <f aca="false">IFERROR(INDEX(账户总表!$O:$O,COUNTA(账户总表!$A:$A)),0)</f>
        <v>0.35</v>
      </c>
      <c r="O151" s="18" t="n">
        <f aca="false">IFERROR(INDEX(账户总表!$B:$B,COUNTA(账户总表!$A:$A))*N151,0)</f>
        <v>7294.812</v>
      </c>
      <c r="P151" s="21" t="n">
        <f aca="false">IFERROR(O151/D151,0)</f>
        <v>0</v>
      </c>
      <c r="Q151" s="21" t="n">
        <f aca="false">IFERROR(FLOOR(P151,100),0)</f>
        <v>0</v>
      </c>
      <c r="R151" s="21" t="n">
        <f aca="false">IFERROR(CEILING(800/(100*D151),1)*100,0)</f>
        <v>0</v>
      </c>
      <c r="S151" s="27"/>
      <c r="T151" s="18" t="n">
        <f aca="false">IFERROR(S151*D151,0)</f>
        <v>0</v>
      </c>
      <c r="U151" s="19" t="n">
        <f aca="false">IFERROR(T151/INDEX(账户总表!$B:$B,COUNTA(账户总表!$A:$A)),0)</f>
        <v>0</v>
      </c>
      <c r="V151" s="19" t="n">
        <f aca="false">IFERROR(INDEX(账户总表!$E:$E,COUNTA(账户总表!$A:$A))+U151,0)</f>
        <v>0.407056412146057</v>
      </c>
      <c r="W151" s="5" t="str">
        <f aca="false">IF($A151="","",IFERROR(IF(V151&lt;=INDEX(账户总表!$N:$N,COUNTA(账户总表!$A:$A)),"是","否"),"否"))</f>
        <v/>
      </c>
      <c r="X151" s="18" t="str">
        <f aca="false">IF($A151="","",MAX(F151*0.98,D151*0.92))</f>
        <v/>
      </c>
      <c r="Y151" s="9"/>
      <c r="Z151" s="5" t="str">
        <f aca="false">IF($A151="","",IFERROR(IF(AND(T151&gt;INDEX(账户总表!$C:$C,COUNTA(账户总表!$A:$A)),L151="是"),"是","否"),"否"))</f>
        <v/>
      </c>
      <c r="AA151" s="18" t="str">
        <f aca="false">IF($A151="","",IFERROR(IF(Z151="是",MAX(0,T151-INDEX(账户总表!$C:$C,COUNTA(账户总表!$A:$A)),IF(N151&gt;0,T151/N151-INDEX(账户总表!$B:$B,COUNTA(账户总表!$A:$A)),0)),0),0))</f>
        <v/>
      </c>
      <c r="AB151" s="18" t="str">
        <f aca="false">IF($A151="","",IF(AND(Z151="是",INDEX(账户总表!$U:$U,COUNTA(账户总表!$A:$A))="是"),IF(INDEX(账户总表!$L:$L,COUNTA(账户总表!$A:$A))&gt;=4,AA151*1.5,AA151),0))</f>
        <v/>
      </c>
      <c r="AC151" s="5" t="str">
        <f aca="false">IF($A151="","",IF(AND(L151="是",Q151&gt;=R151,S151&lt;=Q151,S151&gt;=R151,W151="是",X151&gt;0,M151="是",INDEX(账户总表!$M:$M,COUNTA(账户总表!$A:$A))&lt;=2,INDEX(账户总表!$V:$V,COUNTA(账户总表!$A:$A))="是",OR(T151&lt;=INDEX(账户总表!$C:$C,COUNTA(账户总表!$A:$A)),AND(Z151="是",INDEX(账户总表!$U:$U,COUNTA(账户总表!$A:$A))="是",AB151&gt;0))),"是","否"))</f>
        <v/>
      </c>
      <c r="AD151" s="5" t="str">
        <f aca="false">IF($A151="","",IF(L151&lt;&gt;"是","信号未确认",IF(X151&lt;=0,"止损价未定义",IF(Q151&lt;R151,"100股约束不满足",IF(S151&gt;Q151,"计划股数超单股上限",IF(S151&lt;R151,"计划股数低于最小门槛",IF(W151&lt;&gt;"是","总仓位超限",IF(M151&lt;&gt;"是","追价",IF(INDEX(账户总表!$M:$M,COUNTA(账户总表!$A:$A))&gt;2,"亏钱效应偏高",IF(INDEX(账户总表!$V:$V,COUNTA(账户总表!$A:$A))&lt;&gt;"是","账户不允许新开仓",IF(AND(T151&gt;INDEX(账户总表!$C:$C,COUNTA(账户总表!$A:$A)),INDEX(账户总表!$U:$U,COUNTA(账户总表!$A:$A))&lt;&gt;"是"),"现金不足且不允许转入",IF(AND(Z151="是",AB151&lt;=0),"转入金额未满足",""))))))))))))</f>
        <v/>
      </c>
      <c r="AE151" s="9"/>
      <c r="AF151" s="1" t="str">
        <f aca="false">IF($A151="","",D151*100)</f>
        <v/>
      </c>
      <c r="AG151" s="1" t="str">
        <f aca="false">IF($A151="","",IFERROR(AF151/INDEX(账户总表!$B:$B,COUNTA(账户总表!$A:$A)),0))</f>
        <v/>
      </c>
      <c r="AH151" s="1" t="str">
        <f aca="false">IF($A151="","",IFERROR(INDEX(账户总表!$B:$B,COUNTA(账户总表!$A:$A))*INDEX(账户总表!$O:$O,COUNTA(账户总表!$A:$A)),0))</f>
        <v/>
      </c>
      <c r="AI151" s="1" t="str">
        <f aca="false">IF($A151="","",IF(AF151&gt;AH151,"超限","合规"))</f>
        <v/>
      </c>
      <c r="AJ151" s="1" t="str">
        <f aca="false">IF($A151="","",IFERROR(AF151/INDEX(账户总表!$O:$O,COUNTA(账户总表!$A:$A)),0))</f>
        <v/>
      </c>
      <c r="AK151" s="1" t="str">
        <f aca="false">IF($A151="","",IFERROR(MAX(0,AJ151-INDEX(账户总表!$B:$B,COUNTA(账户总表!$A:$A)),AF151-INDEX(账户总表!$C:$C,COUNTA(账户总表!$A:$A))),0))</f>
        <v/>
      </c>
      <c r="AL151" s="1" t="str">
        <f aca="false">IF($A151="","",IF(COUNTIF(持仓表!$C$2:$C$201,C151)&gt;0,"已有","新标的"))</f>
        <v/>
      </c>
      <c r="AM151" s="1" t="str">
        <f aca="false">IF($A151="","",IFERROR(SUMIFS(持仓表!$N$2:$N$201,持仓表!$C$2:$C$201,C151,持仓表!$A$2:$A$201,$A151),0))</f>
        <v/>
      </c>
      <c r="AN151" s="1" t="str">
        <f aca="false">IF($A151="","",IFERROR(AM151+AF151/INDEX(账户总表!$B:$B,COUNTA(账户总表!$A:$A)),0))</f>
        <v/>
      </c>
      <c r="AO151" s="1" t="str">
        <f aca="false">IF($A151="","",IF(AN151&gt;INDEX(账户总表!$O:$O,COUNTA(账户总表!$A:$A)),"超限","合规"))</f>
        <v/>
      </c>
      <c r="AP151" s="1" t="str">
        <f aca="false">IF($A151="","",IF(AND(AL151="新标的",INDEX(账户总表!$R:$R,COUNTA(账户总表!$A:$A))&gt;=INDEX(账户总表!$S:$S,COUNTA(账户总表!$A:$A))),"新增受限","可通过"))</f>
        <v/>
      </c>
      <c r="AQ151" s="1" t="str">
        <f aca="false">IF($A151="","",IF(K151&lt;&gt;"核心池","非核心池",IF(OR(AI151="超限",AO151="超限",AP151="新增受限"),"不可加仓","可加仓")))</f>
        <v/>
      </c>
      <c r="AR151" s="1" t="str">
        <f aca="false">IF($A151="","",TRIM(IF(AI151="超限","1手超单股上限；","")&amp;IF(AO151="超限","买后仓位超限；","")&amp;IF(AP151="新增受限","有效持仓数超限；","")&amp;IF(AF151&gt;INDEX(账户总表!$C:$C,COUNTA(账户总表!$A:$A)),"现金不足；","")))</f>
        <v/>
      </c>
      <c r="AS151" s="1" t="str">
        <f aca="false">IF($A151="","",IFERROR(INDEX(候选池历史!$L:$L,MATCH(1,(候选池历史!$B:$B=C151)*(候选池历史!$A:$A=$A151),0)),0))</f>
        <v/>
      </c>
      <c r="AT151" s="1" t="str">
        <f aca="false">IF($A151="","",IF(AS151&gt;=3,"★信号强化",IF(K151="核心池","核心观察","")))</f>
        <v/>
      </c>
      <c r="AU151" s="1" t="str">
        <f aca="false">IF($A151="","",IF(AK151&gt;30000-INDEX(账户总表!$B:$B,COUNTA(账户总表!$A:$A)),"不适合婴儿阶段","可纳入幼儿路径"))</f>
        <v/>
      </c>
    </row>
    <row r="152" customFormat="false" ht="15" hidden="false" customHeight="true" outlineLevel="0" collapsed="false">
      <c r="A152" s="32"/>
      <c r="B152" s="6"/>
      <c r="C152" s="6"/>
      <c r="D152" s="17"/>
      <c r="E152" s="17"/>
      <c r="F152" s="17"/>
      <c r="G152" s="22"/>
      <c r="H152" s="6"/>
      <c r="I152" s="13"/>
      <c r="J152" s="6"/>
      <c r="K152" s="5" t="str">
        <f aca="false">IF($A152="","",IF(AND(G152&lt;45%,H152&gt;=0.9),"A",IF(AND(G152&lt;60%,H152&gt;0.8),"B","C")))</f>
        <v/>
      </c>
      <c r="L152" s="5" t="str">
        <f aca="false">IF($A152="","",IF(AND(G152&lt;60%,H152&gt;0.8,I152="True"),"是","否"))</f>
        <v/>
      </c>
      <c r="M152" s="5" t="str">
        <f aca="false">IF($A152="","",IF(AND(D152&gt;0,E152&gt;0,D152&lt;=E152*1.02),"是","否"))</f>
        <v/>
      </c>
      <c r="N152" s="19" t="n">
        <f aca="false">IFERROR(INDEX(账户总表!$O:$O,COUNTA(账户总表!$A:$A)),0)</f>
        <v>0.35</v>
      </c>
      <c r="O152" s="18" t="n">
        <f aca="false">IFERROR(INDEX(账户总表!$B:$B,COUNTA(账户总表!$A:$A))*N152,0)</f>
        <v>7294.812</v>
      </c>
      <c r="P152" s="21" t="n">
        <f aca="false">IFERROR(O152/D152,0)</f>
        <v>0</v>
      </c>
      <c r="Q152" s="21" t="n">
        <f aca="false">IFERROR(FLOOR(P152,100),0)</f>
        <v>0</v>
      </c>
      <c r="R152" s="21" t="n">
        <f aca="false">IFERROR(CEILING(800/(100*D152),1)*100,0)</f>
        <v>0</v>
      </c>
      <c r="S152" s="20"/>
      <c r="T152" s="18" t="n">
        <f aca="false">IFERROR(S152*D152,0)</f>
        <v>0</v>
      </c>
      <c r="U152" s="19" t="n">
        <f aca="false">IFERROR(T152/INDEX(账户总表!$B:$B,COUNTA(账户总表!$A:$A)),0)</f>
        <v>0</v>
      </c>
      <c r="V152" s="19" t="n">
        <f aca="false">IFERROR(INDEX(账户总表!$E:$E,COUNTA(账户总表!$A:$A))+U152,0)</f>
        <v>0.407056412146057</v>
      </c>
      <c r="W152" s="5" t="str">
        <f aca="false">IF($A152="","",IFERROR(IF(V152&lt;=INDEX(账户总表!$N:$N,COUNTA(账户总表!$A:$A)),"是","否"),"否"))</f>
        <v/>
      </c>
      <c r="X152" s="18" t="str">
        <f aca="false">IF($A152="","",MAX(F152*0.98,D152*0.92))</f>
        <v/>
      </c>
      <c r="Y152" s="6"/>
      <c r="Z152" s="5" t="str">
        <f aca="false">IF($A152="","",IFERROR(IF(AND(T152&gt;INDEX(账户总表!$C:$C,COUNTA(账户总表!$A:$A)),L152="是"),"是","否"),"否"))</f>
        <v/>
      </c>
      <c r="AA152" s="18" t="str">
        <f aca="false">IF($A152="","",IFERROR(IF(Z152="是",MAX(0,T152-INDEX(账户总表!$C:$C,COUNTA(账户总表!$A:$A)),IF(N152&gt;0,T152/N152-INDEX(账户总表!$B:$B,COUNTA(账户总表!$A:$A)),0)),0),0))</f>
        <v/>
      </c>
      <c r="AB152" s="18" t="str">
        <f aca="false">IF($A152="","",IF(AND(Z152="是",INDEX(账户总表!$U:$U,COUNTA(账户总表!$A:$A))="是"),IF(INDEX(账户总表!$L:$L,COUNTA(账户总表!$A:$A))&gt;=4,AA152*1.5,AA152),0))</f>
        <v/>
      </c>
      <c r="AC152" s="5" t="str">
        <f aca="false">IF($A152="","",IF(AND(L152="是",Q152&gt;=R152,S152&lt;=Q152,S152&gt;=R152,W152="是",X152&gt;0,M152="是",INDEX(账户总表!$M:$M,COUNTA(账户总表!$A:$A))&lt;=2,INDEX(账户总表!$V:$V,COUNTA(账户总表!$A:$A))="是",OR(T152&lt;=INDEX(账户总表!$C:$C,COUNTA(账户总表!$A:$A)),AND(Z152="是",INDEX(账户总表!$U:$U,COUNTA(账户总表!$A:$A))="是",AB152&gt;0))),"是","否"))</f>
        <v/>
      </c>
      <c r="AD152" s="5" t="str">
        <f aca="false">IF($A152="","",IF(L152&lt;&gt;"是","信号未确认",IF(X152&lt;=0,"止损价未定义",IF(Q152&lt;R152,"100股约束不满足",IF(S152&gt;Q152,"计划股数超单股上限",IF(S152&lt;R152,"计划股数低于最小门槛",IF(W152&lt;&gt;"是","总仓位超限",IF(M152&lt;&gt;"是","追价",IF(INDEX(账户总表!$M:$M,COUNTA(账户总表!$A:$A))&gt;2,"亏钱效应偏高",IF(INDEX(账户总表!$V:$V,COUNTA(账户总表!$A:$A))&lt;&gt;"是","账户不允许新开仓",IF(AND(T152&gt;INDEX(账户总表!$C:$C,COUNTA(账户总表!$A:$A)),INDEX(账户总表!$U:$U,COUNTA(账户总表!$A:$A))&lt;&gt;"是"),"现金不足且不允许转入",IF(AND(Z152="是",AB152&lt;=0),"转入金额未满足",""))))))))))))</f>
        <v/>
      </c>
      <c r="AE152" s="6"/>
      <c r="AF152" s="1" t="str">
        <f aca="false">IF($A152="","",D152*100)</f>
        <v/>
      </c>
      <c r="AG152" s="1" t="str">
        <f aca="false">IF($A152="","",IFERROR(AF152/INDEX(账户总表!$B:$B,COUNTA(账户总表!$A:$A)),0))</f>
        <v/>
      </c>
      <c r="AH152" s="1" t="str">
        <f aca="false">IF($A152="","",IFERROR(INDEX(账户总表!$B:$B,COUNTA(账户总表!$A:$A))*INDEX(账户总表!$O:$O,COUNTA(账户总表!$A:$A)),0))</f>
        <v/>
      </c>
      <c r="AI152" s="1" t="str">
        <f aca="false">IF($A152="","",IF(AF152&gt;AH152,"超限","合规"))</f>
        <v/>
      </c>
      <c r="AJ152" s="1" t="str">
        <f aca="false">IF($A152="","",IFERROR(AF152/INDEX(账户总表!$O:$O,COUNTA(账户总表!$A:$A)),0))</f>
        <v/>
      </c>
      <c r="AK152" s="1" t="str">
        <f aca="false">IF($A152="","",IFERROR(MAX(0,AJ152-INDEX(账户总表!$B:$B,COUNTA(账户总表!$A:$A)),AF152-INDEX(账户总表!$C:$C,COUNTA(账户总表!$A:$A))),0))</f>
        <v/>
      </c>
      <c r="AL152" s="1" t="str">
        <f aca="false">IF($A152="","",IF(COUNTIF(持仓表!$C$2:$C$201,C152)&gt;0,"已有","新标的"))</f>
        <v/>
      </c>
      <c r="AM152" s="1" t="str">
        <f aca="false">IF($A152="","",IFERROR(SUMIFS(持仓表!$N$2:$N$201,持仓表!$C$2:$C$201,C152,持仓表!$A$2:$A$201,$A152),0))</f>
        <v/>
      </c>
      <c r="AN152" s="1" t="str">
        <f aca="false">IF($A152="","",IFERROR(AM152+AF152/INDEX(账户总表!$B:$B,COUNTA(账户总表!$A:$A)),0))</f>
        <v/>
      </c>
      <c r="AO152" s="1" t="str">
        <f aca="false">IF($A152="","",IF(AN152&gt;INDEX(账户总表!$O:$O,COUNTA(账户总表!$A:$A)),"超限","合规"))</f>
        <v/>
      </c>
      <c r="AP152" s="1" t="str">
        <f aca="false">IF($A152="","",IF(AND(AL152="新标的",INDEX(账户总表!$R:$R,COUNTA(账户总表!$A:$A))&gt;=INDEX(账户总表!$S:$S,COUNTA(账户总表!$A:$A))),"新增受限","可通过"))</f>
        <v/>
      </c>
      <c r="AQ152" s="1" t="str">
        <f aca="false">IF($A152="","",IF(K152&lt;&gt;"核心池","非核心池",IF(OR(AI152="超限",AO152="超限",AP152="新增受限"),"不可加仓","可加仓")))</f>
        <v/>
      </c>
      <c r="AR152" s="1" t="str">
        <f aca="false">IF($A152="","",TRIM(IF(AI152="超限","1手超单股上限；","")&amp;IF(AO152="超限","买后仓位超限；","")&amp;IF(AP152="新增受限","有效持仓数超限；","")&amp;IF(AF152&gt;INDEX(账户总表!$C:$C,COUNTA(账户总表!$A:$A)),"现金不足；","")))</f>
        <v/>
      </c>
      <c r="AS152" s="1" t="str">
        <f aca="false">IF($A152="","",IFERROR(INDEX(候选池历史!$L:$L,MATCH(1,(候选池历史!$B:$B=C152)*(候选池历史!$A:$A=$A152),0)),0))</f>
        <v/>
      </c>
      <c r="AT152" s="1" t="str">
        <f aca="false">IF($A152="","",IF(AS152&gt;=3,"★信号强化",IF(K152="核心池","核心观察","")))</f>
        <v/>
      </c>
      <c r="AU152" s="1" t="str">
        <f aca="false">IF($A152="","",IF(AK152&gt;30000-INDEX(账户总表!$B:$B,COUNTA(账户总表!$A:$A)),"不适合婴儿阶段","可纳入幼儿路径"))</f>
        <v/>
      </c>
    </row>
    <row r="153" customFormat="false" ht="15" hidden="false" customHeight="true" outlineLevel="0" collapsed="false">
      <c r="A153" s="31"/>
      <c r="B153" s="9"/>
      <c r="C153" s="9"/>
      <c r="D153" s="26"/>
      <c r="E153" s="26"/>
      <c r="F153" s="26"/>
      <c r="G153" s="28"/>
      <c r="H153" s="9"/>
      <c r="I153" s="14"/>
      <c r="J153" s="9"/>
      <c r="K153" s="5" t="str">
        <f aca="false">IF($A153="","",IF(AND(G153&lt;45%,H153&gt;=0.9),"A",IF(AND(G153&lt;60%,H153&gt;0.8),"B","C")))</f>
        <v/>
      </c>
      <c r="L153" s="5" t="str">
        <f aca="false">IF($A153="","",IF(AND(G153&lt;60%,H153&gt;0.8,I153="True"),"是","否"))</f>
        <v/>
      </c>
      <c r="M153" s="5" t="str">
        <f aca="false">IF($A153="","",IF(AND(D153&gt;0,E153&gt;0,D153&lt;=E153*1.02),"是","否"))</f>
        <v/>
      </c>
      <c r="N153" s="19" t="n">
        <f aca="false">IFERROR(INDEX(账户总表!$O:$O,COUNTA(账户总表!$A:$A)),0)</f>
        <v>0.35</v>
      </c>
      <c r="O153" s="18" t="n">
        <f aca="false">IFERROR(INDEX(账户总表!$B:$B,COUNTA(账户总表!$A:$A))*N153,0)</f>
        <v>7294.812</v>
      </c>
      <c r="P153" s="21" t="n">
        <f aca="false">IFERROR(O153/D153,0)</f>
        <v>0</v>
      </c>
      <c r="Q153" s="21" t="n">
        <f aca="false">IFERROR(FLOOR(P153,100),0)</f>
        <v>0</v>
      </c>
      <c r="R153" s="21" t="n">
        <f aca="false">IFERROR(CEILING(800/(100*D153),1)*100,0)</f>
        <v>0</v>
      </c>
      <c r="S153" s="27"/>
      <c r="T153" s="18" t="n">
        <f aca="false">IFERROR(S153*D153,0)</f>
        <v>0</v>
      </c>
      <c r="U153" s="19" t="n">
        <f aca="false">IFERROR(T153/INDEX(账户总表!$B:$B,COUNTA(账户总表!$A:$A)),0)</f>
        <v>0</v>
      </c>
      <c r="V153" s="19" t="n">
        <f aca="false">IFERROR(INDEX(账户总表!$E:$E,COUNTA(账户总表!$A:$A))+U153,0)</f>
        <v>0.407056412146057</v>
      </c>
      <c r="W153" s="5" t="str">
        <f aca="false">IF($A153="","",IFERROR(IF(V153&lt;=INDEX(账户总表!$N:$N,COUNTA(账户总表!$A:$A)),"是","否"),"否"))</f>
        <v/>
      </c>
      <c r="X153" s="18" t="str">
        <f aca="false">IF($A153="","",MAX(F153*0.98,D153*0.92))</f>
        <v/>
      </c>
      <c r="Y153" s="9"/>
      <c r="Z153" s="5" t="str">
        <f aca="false">IF($A153="","",IFERROR(IF(AND(T153&gt;INDEX(账户总表!$C:$C,COUNTA(账户总表!$A:$A)),L153="是"),"是","否"),"否"))</f>
        <v/>
      </c>
      <c r="AA153" s="18" t="str">
        <f aca="false">IF($A153="","",IFERROR(IF(Z153="是",MAX(0,T153-INDEX(账户总表!$C:$C,COUNTA(账户总表!$A:$A)),IF(N153&gt;0,T153/N153-INDEX(账户总表!$B:$B,COUNTA(账户总表!$A:$A)),0)),0),0))</f>
        <v/>
      </c>
      <c r="AB153" s="18" t="str">
        <f aca="false">IF($A153="","",IF(AND(Z153="是",INDEX(账户总表!$U:$U,COUNTA(账户总表!$A:$A))="是"),IF(INDEX(账户总表!$L:$L,COUNTA(账户总表!$A:$A))&gt;=4,AA153*1.5,AA153),0))</f>
        <v/>
      </c>
      <c r="AC153" s="5" t="str">
        <f aca="false">IF($A153="","",IF(AND(L153="是",Q153&gt;=R153,S153&lt;=Q153,S153&gt;=R153,W153="是",X153&gt;0,M153="是",INDEX(账户总表!$M:$M,COUNTA(账户总表!$A:$A))&lt;=2,INDEX(账户总表!$V:$V,COUNTA(账户总表!$A:$A))="是",OR(T153&lt;=INDEX(账户总表!$C:$C,COUNTA(账户总表!$A:$A)),AND(Z153="是",INDEX(账户总表!$U:$U,COUNTA(账户总表!$A:$A))="是",AB153&gt;0))),"是","否"))</f>
        <v/>
      </c>
      <c r="AD153" s="5" t="str">
        <f aca="false">IF($A153="","",IF(L153&lt;&gt;"是","信号未确认",IF(X153&lt;=0,"止损价未定义",IF(Q153&lt;R153,"100股约束不满足",IF(S153&gt;Q153,"计划股数超单股上限",IF(S153&lt;R153,"计划股数低于最小门槛",IF(W153&lt;&gt;"是","总仓位超限",IF(M153&lt;&gt;"是","追价",IF(INDEX(账户总表!$M:$M,COUNTA(账户总表!$A:$A))&gt;2,"亏钱效应偏高",IF(INDEX(账户总表!$V:$V,COUNTA(账户总表!$A:$A))&lt;&gt;"是","账户不允许新开仓",IF(AND(T153&gt;INDEX(账户总表!$C:$C,COUNTA(账户总表!$A:$A)),INDEX(账户总表!$U:$U,COUNTA(账户总表!$A:$A))&lt;&gt;"是"),"现金不足且不允许转入",IF(AND(Z153="是",AB153&lt;=0),"转入金额未满足",""))))))))))))</f>
        <v/>
      </c>
      <c r="AE153" s="9"/>
      <c r="AF153" s="1" t="str">
        <f aca="false">IF($A153="","",D153*100)</f>
        <v/>
      </c>
      <c r="AG153" s="1" t="str">
        <f aca="false">IF($A153="","",IFERROR(AF153/INDEX(账户总表!$B:$B,COUNTA(账户总表!$A:$A)),0))</f>
        <v/>
      </c>
      <c r="AH153" s="1" t="str">
        <f aca="false">IF($A153="","",IFERROR(INDEX(账户总表!$B:$B,COUNTA(账户总表!$A:$A))*INDEX(账户总表!$O:$O,COUNTA(账户总表!$A:$A)),0))</f>
        <v/>
      </c>
      <c r="AI153" s="1" t="str">
        <f aca="false">IF($A153="","",IF(AF153&gt;AH153,"超限","合规"))</f>
        <v/>
      </c>
      <c r="AJ153" s="1" t="str">
        <f aca="false">IF($A153="","",IFERROR(AF153/INDEX(账户总表!$O:$O,COUNTA(账户总表!$A:$A)),0))</f>
        <v/>
      </c>
      <c r="AK153" s="1" t="str">
        <f aca="false">IF($A153="","",IFERROR(MAX(0,AJ153-INDEX(账户总表!$B:$B,COUNTA(账户总表!$A:$A)),AF153-INDEX(账户总表!$C:$C,COUNTA(账户总表!$A:$A))),0))</f>
        <v/>
      </c>
      <c r="AL153" s="1" t="str">
        <f aca="false">IF($A153="","",IF(COUNTIF(持仓表!$C$2:$C$201,C153)&gt;0,"已有","新标的"))</f>
        <v/>
      </c>
      <c r="AM153" s="1" t="str">
        <f aca="false">IF($A153="","",IFERROR(SUMIFS(持仓表!$N$2:$N$201,持仓表!$C$2:$C$201,C153,持仓表!$A$2:$A$201,$A153),0))</f>
        <v/>
      </c>
      <c r="AN153" s="1" t="str">
        <f aca="false">IF($A153="","",IFERROR(AM153+AF153/INDEX(账户总表!$B:$B,COUNTA(账户总表!$A:$A)),0))</f>
        <v/>
      </c>
      <c r="AO153" s="1" t="str">
        <f aca="false">IF($A153="","",IF(AN153&gt;INDEX(账户总表!$O:$O,COUNTA(账户总表!$A:$A)),"超限","合规"))</f>
        <v/>
      </c>
      <c r="AP153" s="1" t="str">
        <f aca="false">IF($A153="","",IF(AND(AL153="新标的",INDEX(账户总表!$R:$R,COUNTA(账户总表!$A:$A))&gt;=INDEX(账户总表!$S:$S,COUNTA(账户总表!$A:$A))),"新增受限","可通过"))</f>
        <v/>
      </c>
      <c r="AQ153" s="1" t="str">
        <f aca="false">IF($A153="","",IF(K153&lt;&gt;"核心池","非核心池",IF(OR(AI153="超限",AO153="超限",AP153="新增受限"),"不可加仓","可加仓")))</f>
        <v/>
      </c>
      <c r="AR153" s="1" t="str">
        <f aca="false">IF($A153="","",TRIM(IF(AI153="超限","1手超单股上限；","")&amp;IF(AO153="超限","买后仓位超限；","")&amp;IF(AP153="新增受限","有效持仓数超限；","")&amp;IF(AF153&gt;INDEX(账户总表!$C:$C,COUNTA(账户总表!$A:$A)),"现金不足；","")))</f>
        <v/>
      </c>
      <c r="AS153" s="1" t="str">
        <f aca="false">IF($A153="","",IFERROR(INDEX(候选池历史!$L:$L,MATCH(1,(候选池历史!$B:$B=C153)*(候选池历史!$A:$A=$A153),0)),0))</f>
        <v/>
      </c>
      <c r="AT153" s="1" t="str">
        <f aca="false">IF($A153="","",IF(AS153&gt;=3,"★信号强化",IF(K153="核心池","核心观察","")))</f>
        <v/>
      </c>
      <c r="AU153" s="1" t="str">
        <f aca="false">IF($A153="","",IF(AK153&gt;30000-INDEX(账户总表!$B:$B,COUNTA(账户总表!$A:$A)),"不适合婴儿阶段","可纳入幼儿路径"))</f>
        <v/>
      </c>
    </row>
    <row r="154" customFormat="false" ht="15" hidden="false" customHeight="true" outlineLevel="0" collapsed="false">
      <c r="A154" s="32"/>
      <c r="B154" s="6"/>
      <c r="C154" s="6"/>
      <c r="D154" s="17"/>
      <c r="E154" s="17"/>
      <c r="F154" s="17"/>
      <c r="G154" s="22"/>
      <c r="H154" s="6"/>
      <c r="I154" s="13"/>
      <c r="J154" s="6"/>
      <c r="K154" s="5" t="str">
        <f aca="false">IF($A154="","",IF(AND(G154&lt;45%,H154&gt;=0.9),"A",IF(AND(G154&lt;60%,H154&gt;0.8),"B","C")))</f>
        <v/>
      </c>
      <c r="L154" s="5" t="str">
        <f aca="false">IF($A154="","",IF(AND(G154&lt;60%,H154&gt;0.8,I154="True"),"是","否"))</f>
        <v/>
      </c>
      <c r="M154" s="5" t="str">
        <f aca="false">IF($A154="","",IF(AND(D154&gt;0,E154&gt;0,D154&lt;=E154*1.02),"是","否"))</f>
        <v/>
      </c>
      <c r="N154" s="19" t="n">
        <f aca="false">IFERROR(INDEX(账户总表!$O:$O,COUNTA(账户总表!$A:$A)),0)</f>
        <v>0.35</v>
      </c>
      <c r="O154" s="18" t="n">
        <f aca="false">IFERROR(INDEX(账户总表!$B:$B,COUNTA(账户总表!$A:$A))*N154,0)</f>
        <v>7294.812</v>
      </c>
      <c r="P154" s="21" t="n">
        <f aca="false">IFERROR(O154/D154,0)</f>
        <v>0</v>
      </c>
      <c r="Q154" s="21" t="n">
        <f aca="false">IFERROR(FLOOR(P154,100),0)</f>
        <v>0</v>
      </c>
      <c r="R154" s="21" t="n">
        <f aca="false">IFERROR(CEILING(800/(100*D154),1)*100,0)</f>
        <v>0</v>
      </c>
      <c r="S154" s="20"/>
      <c r="T154" s="18" t="n">
        <f aca="false">IFERROR(S154*D154,0)</f>
        <v>0</v>
      </c>
      <c r="U154" s="19" t="n">
        <f aca="false">IFERROR(T154/INDEX(账户总表!$B:$B,COUNTA(账户总表!$A:$A)),0)</f>
        <v>0</v>
      </c>
      <c r="V154" s="19" t="n">
        <f aca="false">IFERROR(INDEX(账户总表!$E:$E,COUNTA(账户总表!$A:$A))+U154,0)</f>
        <v>0.407056412146057</v>
      </c>
      <c r="W154" s="5" t="str">
        <f aca="false">IF($A154="","",IFERROR(IF(V154&lt;=INDEX(账户总表!$N:$N,COUNTA(账户总表!$A:$A)),"是","否"),"否"))</f>
        <v/>
      </c>
      <c r="X154" s="18" t="str">
        <f aca="false">IF($A154="","",MAX(F154*0.98,D154*0.92))</f>
        <v/>
      </c>
      <c r="Y154" s="6"/>
      <c r="Z154" s="5" t="str">
        <f aca="false">IF($A154="","",IFERROR(IF(AND(T154&gt;INDEX(账户总表!$C:$C,COUNTA(账户总表!$A:$A)),L154="是"),"是","否"),"否"))</f>
        <v/>
      </c>
      <c r="AA154" s="18" t="str">
        <f aca="false">IF($A154="","",IFERROR(IF(Z154="是",MAX(0,T154-INDEX(账户总表!$C:$C,COUNTA(账户总表!$A:$A)),IF(N154&gt;0,T154/N154-INDEX(账户总表!$B:$B,COUNTA(账户总表!$A:$A)),0)),0),0))</f>
        <v/>
      </c>
      <c r="AB154" s="18" t="str">
        <f aca="false">IF($A154="","",IF(AND(Z154="是",INDEX(账户总表!$U:$U,COUNTA(账户总表!$A:$A))="是"),IF(INDEX(账户总表!$L:$L,COUNTA(账户总表!$A:$A))&gt;=4,AA154*1.5,AA154),0))</f>
        <v/>
      </c>
      <c r="AC154" s="5" t="str">
        <f aca="false">IF($A154="","",IF(AND(L154="是",Q154&gt;=R154,S154&lt;=Q154,S154&gt;=R154,W154="是",X154&gt;0,M154="是",INDEX(账户总表!$M:$M,COUNTA(账户总表!$A:$A))&lt;=2,INDEX(账户总表!$V:$V,COUNTA(账户总表!$A:$A))="是",OR(T154&lt;=INDEX(账户总表!$C:$C,COUNTA(账户总表!$A:$A)),AND(Z154="是",INDEX(账户总表!$U:$U,COUNTA(账户总表!$A:$A))="是",AB154&gt;0))),"是","否"))</f>
        <v/>
      </c>
      <c r="AD154" s="5" t="str">
        <f aca="false">IF($A154="","",IF(L154&lt;&gt;"是","信号未确认",IF(X154&lt;=0,"止损价未定义",IF(Q154&lt;R154,"100股约束不满足",IF(S154&gt;Q154,"计划股数超单股上限",IF(S154&lt;R154,"计划股数低于最小门槛",IF(W154&lt;&gt;"是","总仓位超限",IF(M154&lt;&gt;"是","追价",IF(INDEX(账户总表!$M:$M,COUNTA(账户总表!$A:$A))&gt;2,"亏钱效应偏高",IF(INDEX(账户总表!$V:$V,COUNTA(账户总表!$A:$A))&lt;&gt;"是","账户不允许新开仓",IF(AND(T154&gt;INDEX(账户总表!$C:$C,COUNTA(账户总表!$A:$A)),INDEX(账户总表!$U:$U,COUNTA(账户总表!$A:$A))&lt;&gt;"是"),"现金不足且不允许转入",IF(AND(Z154="是",AB154&lt;=0),"转入金额未满足",""))))))))))))</f>
        <v/>
      </c>
      <c r="AE154" s="6"/>
      <c r="AF154" s="1" t="str">
        <f aca="false">IF($A154="","",D154*100)</f>
        <v/>
      </c>
      <c r="AG154" s="1" t="str">
        <f aca="false">IF($A154="","",IFERROR(AF154/INDEX(账户总表!$B:$B,COUNTA(账户总表!$A:$A)),0))</f>
        <v/>
      </c>
      <c r="AH154" s="1" t="str">
        <f aca="false">IF($A154="","",IFERROR(INDEX(账户总表!$B:$B,COUNTA(账户总表!$A:$A))*INDEX(账户总表!$O:$O,COUNTA(账户总表!$A:$A)),0))</f>
        <v/>
      </c>
      <c r="AI154" s="1" t="str">
        <f aca="false">IF($A154="","",IF(AF154&gt;AH154,"超限","合规"))</f>
        <v/>
      </c>
      <c r="AJ154" s="1" t="str">
        <f aca="false">IF($A154="","",IFERROR(AF154/INDEX(账户总表!$O:$O,COUNTA(账户总表!$A:$A)),0))</f>
        <v/>
      </c>
      <c r="AK154" s="1" t="str">
        <f aca="false">IF($A154="","",IFERROR(MAX(0,AJ154-INDEX(账户总表!$B:$B,COUNTA(账户总表!$A:$A)),AF154-INDEX(账户总表!$C:$C,COUNTA(账户总表!$A:$A))),0))</f>
        <v/>
      </c>
      <c r="AL154" s="1" t="str">
        <f aca="false">IF($A154="","",IF(COUNTIF(持仓表!$C$2:$C$201,C154)&gt;0,"已有","新标的"))</f>
        <v/>
      </c>
      <c r="AM154" s="1" t="str">
        <f aca="false">IF($A154="","",IFERROR(SUMIFS(持仓表!$N$2:$N$201,持仓表!$C$2:$C$201,C154,持仓表!$A$2:$A$201,$A154),0))</f>
        <v/>
      </c>
      <c r="AN154" s="1" t="str">
        <f aca="false">IF($A154="","",IFERROR(AM154+AF154/INDEX(账户总表!$B:$B,COUNTA(账户总表!$A:$A)),0))</f>
        <v/>
      </c>
      <c r="AO154" s="1" t="str">
        <f aca="false">IF($A154="","",IF(AN154&gt;INDEX(账户总表!$O:$O,COUNTA(账户总表!$A:$A)),"超限","合规"))</f>
        <v/>
      </c>
      <c r="AP154" s="1" t="str">
        <f aca="false">IF($A154="","",IF(AND(AL154="新标的",INDEX(账户总表!$R:$R,COUNTA(账户总表!$A:$A))&gt;=INDEX(账户总表!$S:$S,COUNTA(账户总表!$A:$A))),"新增受限","可通过"))</f>
        <v/>
      </c>
      <c r="AQ154" s="1" t="str">
        <f aca="false">IF($A154="","",IF(K154&lt;&gt;"核心池","非核心池",IF(OR(AI154="超限",AO154="超限",AP154="新增受限"),"不可加仓","可加仓")))</f>
        <v/>
      </c>
      <c r="AR154" s="1" t="str">
        <f aca="false">IF($A154="","",TRIM(IF(AI154="超限","1手超单股上限；","")&amp;IF(AO154="超限","买后仓位超限；","")&amp;IF(AP154="新增受限","有效持仓数超限；","")&amp;IF(AF154&gt;INDEX(账户总表!$C:$C,COUNTA(账户总表!$A:$A)),"现金不足；","")))</f>
        <v/>
      </c>
      <c r="AS154" s="1" t="str">
        <f aca="false">IF($A154="","",IFERROR(INDEX(候选池历史!$L:$L,MATCH(1,(候选池历史!$B:$B=C154)*(候选池历史!$A:$A=$A154),0)),0))</f>
        <v/>
      </c>
      <c r="AT154" s="1" t="str">
        <f aca="false">IF($A154="","",IF(AS154&gt;=3,"★信号强化",IF(K154="核心池","核心观察","")))</f>
        <v/>
      </c>
      <c r="AU154" s="1" t="str">
        <f aca="false">IF($A154="","",IF(AK154&gt;30000-INDEX(账户总表!$B:$B,COUNTA(账户总表!$A:$A)),"不适合婴儿阶段","可纳入幼儿路径"))</f>
        <v/>
      </c>
    </row>
    <row r="155" customFormat="false" ht="15" hidden="false" customHeight="true" outlineLevel="0" collapsed="false">
      <c r="A155" s="31"/>
      <c r="B155" s="9"/>
      <c r="C155" s="9"/>
      <c r="D155" s="26"/>
      <c r="E155" s="26"/>
      <c r="F155" s="26"/>
      <c r="G155" s="28"/>
      <c r="H155" s="9"/>
      <c r="I155" s="14"/>
      <c r="J155" s="9"/>
      <c r="K155" s="5" t="str">
        <f aca="false">IF($A155="","",IF(AND(G155&lt;45%,H155&gt;=0.9),"A",IF(AND(G155&lt;60%,H155&gt;0.8),"B","C")))</f>
        <v/>
      </c>
      <c r="L155" s="5" t="str">
        <f aca="false">IF($A155="","",IF(AND(G155&lt;60%,H155&gt;0.8,I155="True"),"是","否"))</f>
        <v/>
      </c>
      <c r="M155" s="5" t="str">
        <f aca="false">IF($A155="","",IF(AND(D155&gt;0,E155&gt;0,D155&lt;=E155*1.02),"是","否"))</f>
        <v/>
      </c>
      <c r="N155" s="19" t="n">
        <f aca="false">IFERROR(INDEX(账户总表!$O:$O,COUNTA(账户总表!$A:$A)),0)</f>
        <v>0.35</v>
      </c>
      <c r="O155" s="18" t="n">
        <f aca="false">IFERROR(INDEX(账户总表!$B:$B,COUNTA(账户总表!$A:$A))*N155,0)</f>
        <v>7294.812</v>
      </c>
      <c r="P155" s="21" t="n">
        <f aca="false">IFERROR(O155/D155,0)</f>
        <v>0</v>
      </c>
      <c r="Q155" s="21" t="n">
        <f aca="false">IFERROR(FLOOR(P155,100),0)</f>
        <v>0</v>
      </c>
      <c r="R155" s="21" t="n">
        <f aca="false">IFERROR(CEILING(800/(100*D155),1)*100,0)</f>
        <v>0</v>
      </c>
      <c r="S155" s="27"/>
      <c r="T155" s="18" t="n">
        <f aca="false">IFERROR(S155*D155,0)</f>
        <v>0</v>
      </c>
      <c r="U155" s="19" t="n">
        <f aca="false">IFERROR(T155/INDEX(账户总表!$B:$B,COUNTA(账户总表!$A:$A)),0)</f>
        <v>0</v>
      </c>
      <c r="V155" s="19" t="n">
        <f aca="false">IFERROR(INDEX(账户总表!$E:$E,COUNTA(账户总表!$A:$A))+U155,0)</f>
        <v>0.407056412146057</v>
      </c>
      <c r="W155" s="5" t="str">
        <f aca="false">IF($A155="","",IFERROR(IF(V155&lt;=INDEX(账户总表!$N:$N,COUNTA(账户总表!$A:$A)),"是","否"),"否"))</f>
        <v/>
      </c>
      <c r="X155" s="18" t="str">
        <f aca="false">IF($A155="","",MAX(F155*0.98,D155*0.92))</f>
        <v/>
      </c>
      <c r="Y155" s="9"/>
      <c r="Z155" s="5" t="str">
        <f aca="false">IF($A155="","",IFERROR(IF(AND(T155&gt;INDEX(账户总表!$C:$C,COUNTA(账户总表!$A:$A)),L155="是"),"是","否"),"否"))</f>
        <v/>
      </c>
      <c r="AA155" s="18" t="str">
        <f aca="false">IF($A155="","",IFERROR(IF(Z155="是",MAX(0,T155-INDEX(账户总表!$C:$C,COUNTA(账户总表!$A:$A)),IF(N155&gt;0,T155/N155-INDEX(账户总表!$B:$B,COUNTA(账户总表!$A:$A)),0)),0),0))</f>
        <v/>
      </c>
      <c r="AB155" s="18" t="str">
        <f aca="false">IF($A155="","",IF(AND(Z155="是",INDEX(账户总表!$U:$U,COUNTA(账户总表!$A:$A))="是"),IF(INDEX(账户总表!$L:$L,COUNTA(账户总表!$A:$A))&gt;=4,AA155*1.5,AA155),0))</f>
        <v/>
      </c>
      <c r="AC155" s="5" t="str">
        <f aca="false">IF($A155="","",IF(AND(L155="是",Q155&gt;=R155,S155&lt;=Q155,S155&gt;=R155,W155="是",X155&gt;0,M155="是",INDEX(账户总表!$M:$M,COUNTA(账户总表!$A:$A))&lt;=2,INDEX(账户总表!$V:$V,COUNTA(账户总表!$A:$A))="是",OR(T155&lt;=INDEX(账户总表!$C:$C,COUNTA(账户总表!$A:$A)),AND(Z155="是",INDEX(账户总表!$U:$U,COUNTA(账户总表!$A:$A))="是",AB155&gt;0))),"是","否"))</f>
        <v/>
      </c>
      <c r="AD155" s="5" t="str">
        <f aca="false">IF($A155="","",IF(L155&lt;&gt;"是","信号未确认",IF(X155&lt;=0,"止损价未定义",IF(Q155&lt;R155,"100股约束不满足",IF(S155&gt;Q155,"计划股数超单股上限",IF(S155&lt;R155,"计划股数低于最小门槛",IF(W155&lt;&gt;"是","总仓位超限",IF(M155&lt;&gt;"是","追价",IF(INDEX(账户总表!$M:$M,COUNTA(账户总表!$A:$A))&gt;2,"亏钱效应偏高",IF(INDEX(账户总表!$V:$V,COUNTA(账户总表!$A:$A))&lt;&gt;"是","账户不允许新开仓",IF(AND(T155&gt;INDEX(账户总表!$C:$C,COUNTA(账户总表!$A:$A)),INDEX(账户总表!$U:$U,COUNTA(账户总表!$A:$A))&lt;&gt;"是"),"现金不足且不允许转入",IF(AND(Z155="是",AB155&lt;=0),"转入金额未满足",""))))))))))))</f>
        <v/>
      </c>
      <c r="AE155" s="9"/>
      <c r="AF155" s="1" t="str">
        <f aca="false">IF($A155="","",D155*100)</f>
        <v/>
      </c>
      <c r="AG155" s="1" t="str">
        <f aca="false">IF($A155="","",IFERROR(AF155/INDEX(账户总表!$B:$B,COUNTA(账户总表!$A:$A)),0))</f>
        <v/>
      </c>
      <c r="AH155" s="1" t="str">
        <f aca="false">IF($A155="","",IFERROR(INDEX(账户总表!$B:$B,COUNTA(账户总表!$A:$A))*INDEX(账户总表!$O:$O,COUNTA(账户总表!$A:$A)),0))</f>
        <v/>
      </c>
      <c r="AI155" s="1" t="str">
        <f aca="false">IF($A155="","",IF(AF155&gt;AH155,"超限","合规"))</f>
        <v/>
      </c>
      <c r="AJ155" s="1" t="str">
        <f aca="false">IF($A155="","",IFERROR(AF155/INDEX(账户总表!$O:$O,COUNTA(账户总表!$A:$A)),0))</f>
        <v/>
      </c>
      <c r="AK155" s="1" t="str">
        <f aca="false">IF($A155="","",IFERROR(MAX(0,AJ155-INDEX(账户总表!$B:$B,COUNTA(账户总表!$A:$A)),AF155-INDEX(账户总表!$C:$C,COUNTA(账户总表!$A:$A))),0))</f>
        <v/>
      </c>
      <c r="AL155" s="1" t="str">
        <f aca="false">IF($A155="","",IF(COUNTIF(持仓表!$C$2:$C$201,C155)&gt;0,"已有","新标的"))</f>
        <v/>
      </c>
      <c r="AM155" s="1" t="str">
        <f aca="false">IF($A155="","",IFERROR(SUMIFS(持仓表!$N$2:$N$201,持仓表!$C$2:$C$201,C155,持仓表!$A$2:$A$201,$A155),0))</f>
        <v/>
      </c>
      <c r="AN155" s="1" t="str">
        <f aca="false">IF($A155="","",IFERROR(AM155+AF155/INDEX(账户总表!$B:$B,COUNTA(账户总表!$A:$A)),0))</f>
        <v/>
      </c>
      <c r="AO155" s="1" t="str">
        <f aca="false">IF($A155="","",IF(AN155&gt;INDEX(账户总表!$O:$O,COUNTA(账户总表!$A:$A)),"超限","合规"))</f>
        <v/>
      </c>
      <c r="AP155" s="1" t="str">
        <f aca="false">IF($A155="","",IF(AND(AL155="新标的",INDEX(账户总表!$R:$R,COUNTA(账户总表!$A:$A))&gt;=INDEX(账户总表!$S:$S,COUNTA(账户总表!$A:$A))),"新增受限","可通过"))</f>
        <v/>
      </c>
      <c r="AQ155" s="1" t="str">
        <f aca="false">IF($A155="","",IF(K155&lt;&gt;"核心池","非核心池",IF(OR(AI155="超限",AO155="超限",AP155="新增受限"),"不可加仓","可加仓")))</f>
        <v/>
      </c>
      <c r="AR155" s="1" t="str">
        <f aca="false">IF($A155="","",TRIM(IF(AI155="超限","1手超单股上限；","")&amp;IF(AO155="超限","买后仓位超限；","")&amp;IF(AP155="新增受限","有效持仓数超限；","")&amp;IF(AF155&gt;INDEX(账户总表!$C:$C,COUNTA(账户总表!$A:$A)),"现金不足；","")))</f>
        <v/>
      </c>
      <c r="AS155" s="1" t="str">
        <f aca="false">IF($A155="","",IFERROR(INDEX(候选池历史!$L:$L,MATCH(1,(候选池历史!$B:$B=C155)*(候选池历史!$A:$A=$A155),0)),0))</f>
        <v/>
      </c>
      <c r="AT155" s="1" t="str">
        <f aca="false">IF($A155="","",IF(AS155&gt;=3,"★信号强化",IF(K155="核心池","核心观察","")))</f>
        <v/>
      </c>
      <c r="AU155" s="1" t="str">
        <f aca="false">IF($A155="","",IF(AK155&gt;30000-INDEX(账户总表!$B:$B,COUNTA(账户总表!$A:$A)),"不适合婴儿阶段","可纳入幼儿路径"))</f>
        <v/>
      </c>
    </row>
    <row r="156" customFormat="false" ht="15" hidden="false" customHeight="true" outlineLevel="0" collapsed="false">
      <c r="A156" s="32"/>
      <c r="B156" s="6"/>
      <c r="C156" s="6"/>
      <c r="D156" s="17"/>
      <c r="E156" s="17"/>
      <c r="F156" s="17"/>
      <c r="G156" s="22"/>
      <c r="H156" s="6"/>
      <c r="I156" s="13"/>
      <c r="J156" s="6"/>
      <c r="K156" s="5" t="str">
        <f aca="false">IF($A156="","",IF(AND(G156&lt;45%,H156&gt;=0.9),"A",IF(AND(G156&lt;60%,H156&gt;0.8),"B","C")))</f>
        <v/>
      </c>
      <c r="L156" s="5" t="str">
        <f aca="false">IF($A156="","",IF(AND(G156&lt;60%,H156&gt;0.8,I156="True"),"是","否"))</f>
        <v/>
      </c>
      <c r="M156" s="5" t="str">
        <f aca="false">IF($A156="","",IF(AND(D156&gt;0,E156&gt;0,D156&lt;=E156*1.02),"是","否"))</f>
        <v/>
      </c>
      <c r="N156" s="19" t="n">
        <f aca="false">IFERROR(INDEX(账户总表!$O:$O,COUNTA(账户总表!$A:$A)),0)</f>
        <v>0.35</v>
      </c>
      <c r="O156" s="18" t="n">
        <f aca="false">IFERROR(INDEX(账户总表!$B:$B,COUNTA(账户总表!$A:$A))*N156,0)</f>
        <v>7294.812</v>
      </c>
      <c r="P156" s="21" t="n">
        <f aca="false">IFERROR(O156/D156,0)</f>
        <v>0</v>
      </c>
      <c r="Q156" s="21" t="n">
        <f aca="false">IFERROR(FLOOR(P156,100),0)</f>
        <v>0</v>
      </c>
      <c r="R156" s="21" t="n">
        <f aca="false">IFERROR(CEILING(800/(100*D156),1)*100,0)</f>
        <v>0</v>
      </c>
      <c r="S156" s="20"/>
      <c r="T156" s="18" t="n">
        <f aca="false">IFERROR(S156*D156,0)</f>
        <v>0</v>
      </c>
      <c r="U156" s="19" t="n">
        <f aca="false">IFERROR(T156/INDEX(账户总表!$B:$B,COUNTA(账户总表!$A:$A)),0)</f>
        <v>0</v>
      </c>
      <c r="V156" s="19" t="n">
        <f aca="false">IFERROR(INDEX(账户总表!$E:$E,COUNTA(账户总表!$A:$A))+U156,0)</f>
        <v>0.407056412146057</v>
      </c>
      <c r="W156" s="5" t="str">
        <f aca="false">IF($A156="","",IFERROR(IF(V156&lt;=INDEX(账户总表!$N:$N,COUNTA(账户总表!$A:$A)),"是","否"),"否"))</f>
        <v/>
      </c>
      <c r="X156" s="18" t="str">
        <f aca="false">IF($A156="","",MAX(F156*0.98,D156*0.92))</f>
        <v/>
      </c>
      <c r="Y156" s="6"/>
      <c r="Z156" s="5" t="str">
        <f aca="false">IF($A156="","",IFERROR(IF(AND(T156&gt;INDEX(账户总表!$C:$C,COUNTA(账户总表!$A:$A)),L156="是"),"是","否"),"否"))</f>
        <v/>
      </c>
      <c r="AA156" s="18" t="str">
        <f aca="false">IF($A156="","",IFERROR(IF(Z156="是",MAX(0,T156-INDEX(账户总表!$C:$C,COUNTA(账户总表!$A:$A)),IF(N156&gt;0,T156/N156-INDEX(账户总表!$B:$B,COUNTA(账户总表!$A:$A)),0)),0),0))</f>
        <v/>
      </c>
      <c r="AB156" s="18" t="str">
        <f aca="false">IF($A156="","",IF(AND(Z156="是",INDEX(账户总表!$U:$U,COUNTA(账户总表!$A:$A))="是"),IF(INDEX(账户总表!$L:$L,COUNTA(账户总表!$A:$A))&gt;=4,AA156*1.5,AA156),0))</f>
        <v/>
      </c>
      <c r="AC156" s="5" t="str">
        <f aca="false">IF($A156="","",IF(AND(L156="是",Q156&gt;=R156,S156&lt;=Q156,S156&gt;=R156,W156="是",X156&gt;0,M156="是",INDEX(账户总表!$M:$M,COUNTA(账户总表!$A:$A))&lt;=2,INDEX(账户总表!$V:$V,COUNTA(账户总表!$A:$A))="是",OR(T156&lt;=INDEX(账户总表!$C:$C,COUNTA(账户总表!$A:$A)),AND(Z156="是",INDEX(账户总表!$U:$U,COUNTA(账户总表!$A:$A))="是",AB156&gt;0))),"是","否"))</f>
        <v/>
      </c>
      <c r="AD156" s="5" t="str">
        <f aca="false">IF($A156="","",IF(L156&lt;&gt;"是","信号未确认",IF(X156&lt;=0,"止损价未定义",IF(Q156&lt;R156,"100股约束不满足",IF(S156&gt;Q156,"计划股数超单股上限",IF(S156&lt;R156,"计划股数低于最小门槛",IF(W156&lt;&gt;"是","总仓位超限",IF(M156&lt;&gt;"是","追价",IF(INDEX(账户总表!$M:$M,COUNTA(账户总表!$A:$A))&gt;2,"亏钱效应偏高",IF(INDEX(账户总表!$V:$V,COUNTA(账户总表!$A:$A))&lt;&gt;"是","账户不允许新开仓",IF(AND(T156&gt;INDEX(账户总表!$C:$C,COUNTA(账户总表!$A:$A)),INDEX(账户总表!$U:$U,COUNTA(账户总表!$A:$A))&lt;&gt;"是"),"现金不足且不允许转入",IF(AND(Z156="是",AB156&lt;=0),"转入金额未满足",""))))))))))))</f>
        <v/>
      </c>
      <c r="AE156" s="6"/>
      <c r="AF156" s="1" t="str">
        <f aca="false">IF($A156="","",D156*100)</f>
        <v/>
      </c>
      <c r="AG156" s="1" t="str">
        <f aca="false">IF($A156="","",IFERROR(AF156/INDEX(账户总表!$B:$B,COUNTA(账户总表!$A:$A)),0))</f>
        <v/>
      </c>
      <c r="AH156" s="1" t="str">
        <f aca="false">IF($A156="","",IFERROR(INDEX(账户总表!$B:$B,COUNTA(账户总表!$A:$A))*INDEX(账户总表!$O:$O,COUNTA(账户总表!$A:$A)),0))</f>
        <v/>
      </c>
      <c r="AI156" s="1" t="str">
        <f aca="false">IF($A156="","",IF(AF156&gt;AH156,"超限","合规"))</f>
        <v/>
      </c>
      <c r="AJ156" s="1" t="str">
        <f aca="false">IF($A156="","",IFERROR(AF156/INDEX(账户总表!$O:$O,COUNTA(账户总表!$A:$A)),0))</f>
        <v/>
      </c>
      <c r="AK156" s="1" t="str">
        <f aca="false">IF($A156="","",IFERROR(MAX(0,AJ156-INDEX(账户总表!$B:$B,COUNTA(账户总表!$A:$A)),AF156-INDEX(账户总表!$C:$C,COUNTA(账户总表!$A:$A))),0))</f>
        <v/>
      </c>
      <c r="AL156" s="1" t="str">
        <f aca="false">IF($A156="","",IF(COUNTIF(持仓表!$C$2:$C$201,C156)&gt;0,"已有","新标的"))</f>
        <v/>
      </c>
      <c r="AM156" s="1" t="str">
        <f aca="false">IF($A156="","",IFERROR(SUMIFS(持仓表!$N$2:$N$201,持仓表!$C$2:$C$201,C156,持仓表!$A$2:$A$201,$A156),0))</f>
        <v/>
      </c>
      <c r="AN156" s="1" t="str">
        <f aca="false">IF($A156="","",IFERROR(AM156+AF156/INDEX(账户总表!$B:$B,COUNTA(账户总表!$A:$A)),0))</f>
        <v/>
      </c>
      <c r="AO156" s="1" t="str">
        <f aca="false">IF($A156="","",IF(AN156&gt;INDEX(账户总表!$O:$O,COUNTA(账户总表!$A:$A)),"超限","合规"))</f>
        <v/>
      </c>
      <c r="AP156" s="1" t="str">
        <f aca="false">IF($A156="","",IF(AND(AL156="新标的",INDEX(账户总表!$R:$R,COUNTA(账户总表!$A:$A))&gt;=INDEX(账户总表!$S:$S,COUNTA(账户总表!$A:$A))),"新增受限","可通过"))</f>
        <v/>
      </c>
      <c r="AQ156" s="1" t="str">
        <f aca="false">IF($A156="","",IF(K156&lt;&gt;"核心池","非核心池",IF(OR(AI156="超限",AO156="超限",AP156="新增受限"),"不可加仓","可加仓")))</f>
        <v/>
      </c>
      <c r="AR156" s="1" t="str">
        <f aca="false">IF($A156="","",TRIM(IF(AI156="超限","1手超单股上限；","")&amp;IF(AO156="超限","买后仓位超限；","")&amp;IF(AP156="新增受限","有效持仓数超限；","")&amp;IF(AF156&gt;INDEX(账户总表!$C:$C,COUNTA(账户总表!$A:$A)),"现金不足；","")))</f>
        <v/>
      </c>
      <c r="AS156" s="1" t="str">
        <f aca="false">IF($A156="","",IFERROR(INDEX(候选池历史!$L:$L,MATCH(1,(候选池历史!$B:$B=C156)*(候选池历史!$A:$A=$A156),0)),0))</f>
        <v/>
      </c>
      <c r="AT156" s="1" t="str">
        <f aca="false">IF($A156="","",IF(AS156&gt;=3,"★信号强化",IF(K156="核心池","核心观察","")))</f>
        <v/>
      </c>
      <c r="AU156" s="1" t="str">
        <f aca="false">IF($A156="","",IF(AK156&gt;30000-INDEX(账户总表!$B:$B,COUNTA(账户总表!$A:$A)),"不适合婴儿阶段","可纳入幼儿路径"))</f>
        <v/>
      </c>
    </row>
    <row r="157" customFormat="false" ht="15" hidden="false" customHeight="true" outlineLevel="0" collapsed="false">
      <c r="A157" s="31"/>
      <c r="B157" s="9"/>
      <c r="C157" s="9"/>
      <c r="D157" s="26"/>
      <c r="E157" s="26"/>
      <c r="F157" s="26"/>
      <c r="G157" s="28"/>
      <c r="H157" s="9"/>
      <c r="I157" s="14"/>
      <c r="J157" s="9"/>
      <c r="K157" s="5" t="str">
        <f aca="false">IF($A157="","",IF(AND(G157&lt;45%,H157&gt;=0.9),"A",IF(AND(G157&lt;60%,H157&gt;0.8),"B","C")))</f>
        <v/>
      </c>
      <c r="L157" s="5" t="str">
        <f aca="false">IF($A157="","",IF(AND(G157&lt;60%,H157&gt;0.8,I157="True"),"是","否"))</f>
        <v/>
      </c>
      <c r="M157" s="5" t="str">
        <f aca="false">IF($A157="","",IF(AND(D157&gt;0,E157&gt;0,D157&lt;=E157*1.02),"是","否"))</f>
        <v/>
      </c>
      <c r="N157" s="19" t="n">
        <f aca="false">IFERROR(INDEX(账户总表!$O:$O,COUNTA(账户总表!$A:$A)),0)</f>
        <v>0.35</v>
      </c>
      <c r="O157" s="18" t="n">
        <f aca="false">IFERROR(INDEX(账户总表!$B:$B,COUNTA(账户总表!$A:$A))*N157,0)</f>
        <v>7294.812</v>
      </c>
      <c r="P157" s="21" t="n">
        <f aca="false">IFERROR(O157/D157,0)</f>
        <v>0</v>
      </c>
      <c r="Q157" s="21" t="n">
        <f aca="false">IFERROR(FLOOR(P157,100),0)</f>
        <v>0</v>
      </c>
      <c r="R157" s="21" t="n">
        <f aca="false">IFERROR(CEILING(800/(100*D157),1)*100,0)</f>
        <v>0</v>
      </c>
      <c r="S157" s="27"/>
      <c r="T157" s="18" t="n">
        <f aca="false">IFERROR(S157*D157,0)</f>
        <v>0</v>
      </c>
      <c r="U157" s="19" t="n">
        <f aca="false">IFERROR(T157/INDEX(账户总表!$B:$B,COUNTA(账户总表!$A:$A)),0)</f>
        <v>0</v>
      </c>
      <c r="V157" s="19" t="n">
        <f aca="false">IFERROR(INDEX(账户总表!$E:$E,COUNTA(账户总表!$A:$A))+U157,0)</f>
        <v>0.407056412146057</v>
      </c>
      <c r="W157" s="5" t="str">
        <f aca="false">IF($A157="","",IFERROR(IF(V157&lt;=INDEX(账户总表!$N:$N,COUNTA(账户总表!$A:$A)),"是","否"),"否"))</f>
        <v/>
      </c>
      <c r="X157" s="18" t="str">
        <f aca="false">IF($A157="","",MAX(F157*0.98,D157*0.92))</f>
        <v/>
      </c>
      <c r="Y157" s="9"/>
      <c r="Z157" s="5" t="str">
        <f aca="false">IF($A157="","",IFERROR(IF(AND(T157&gt;INDEX(账户总表!$C:$C,COUNTA(账户总表!$A:$A)),L157="是"),"是","否"),"否"))</f>
        <v/>
      </c>
      <c r="AA157" s="18" t="str">
        <f aca="false">IF($A157="","",IFERROR(IF(Z157="是",MAX(0,T157-INDEX(账户总表!$C:$C,COUNTA(账户总表!$A:$A)),IF(N157&gt;0,T157/N157-INDEX(账户总表!$B:$B,COUNTA(账户总表!$A:$A)),0)),0),0))</f>
        <v/>
      </c>
      <c r="AB157" s="18" t="str">
        <f aca="false">IF($A157="","",IF(AND(Z157="是",INDEX(账户总表!$U:$U,COUNTA(账户总表!$A:$A))="是"),IF(INDEX(账户总表!$L:$L,COUNTA(账户总表!$A:$A))&gt;=4,AA157*1.5,AA157),0))</f>
        <v/>
      </c>
      <c r="AC157" s="5" t="str">
        <f aca="false">IF($A157="","",IF(AND(L157="是",Q157&gt;=R157,S157&lt;=Q157,S157&gt;=R157,W157="是",X157&gt;0,M157="是",INDEX(账户总表!$M:$M,COUNTA(账户总表!$A:$A))&lt;=2,INDEX(账户总表!$V:$V,COUNTA(账户总表!$A:$A))="是",OR(T157&lt;=INDEX(账户总表!$C:$C,COUNTA(账户总表!$A:$A)),AND(Z157="是",INDEX(账户总表!$U:$U,COUNTA(账户总表!$A:$A))="是",AB157&gt;0))),"是","否"))</f>
        <v/>
      </c>
      <c r="AD157" s="5" t="str">
        <f aca="false">IF($A157="","",IF(L157&lt;&gt;"是","信号未确认",IF(X157&lt;=0,"止损价未定义",IF(Q157&lt;R157,"100股约束不满足",IF(S157&gt;Q157,"计划股数超单股上限",IF(S157&lt;R157,"计划股数低于最小门槛",IF(W157&lt;&gt;"是","总仓位超限",IF(M157&lt;&gt;"是","追价",IF(INDEX(账户总表!$M:$M,COUNTA(账户总表!$A:$A))&gt;2,"亏钱效应偏高",IF(INDEX(账户总表!$V:$V,COUNTA(账户总表!$A:$A))&lt;&gt;"是","账户不允许新开仓",IF(AND(T157&gt;INDEX(账户总表!$C:$C,COUNTA(账户总表!$A:$A)),INDEX(账户总表!$U:$U,COUNTA(账户总表!$A:$A))&lt;&gt;"是"),"现金不足且不允许转入",IF(AND(Z157="是",AB157&lt;=0),"转入金额未满足",""))))))))))))</f>
        <v/>
      </c>
      <c r="AE157" s="9"/>
      <c r="AF157" s="1" t="str">
        <f aca="false">IF($A157="","",D157*100)</f>
        <v/>
      </c>
      <c r="AG157" s="1" t="str">
        <f aca="false">IF($A157="","",IFERROR(AF157/INDEX(账户总表!$B:$B,COUNTA(账户总表!$A:$A)),0))</f>
        <v/>
      </c>
      <c r="AH157" s="1" t="str">
        <f aca="false">IF($A157="","",IFERROR(INDEX(账户总表!$B:$B,COUNTA(账户总表!$A:$A))*INDEX(账户总表!$O:$O,COUNTA(账户总表!$A:$A)),0))</f>
        <v/>
      </c>
      <c r="AI157" s="1" t="str">
        <f aca="false">IF($A157="","",IF(AF157&gt;AH157,"超限","合规"))</f>
        <v/>
      </c>
      <c r="AJ157" s="1" t="str">
        <f aca="false">IF($A157="","",IFERROR(AF157/INDEX(账户总表!$O:$O,COUNTA(账户总表!$A:$A)),0))</f>
        <v/>
      </c>
      <c r="AK157" s="1" t="str">
        <f aca="false">IF($A157="","",IFERROR(MAX(0,AJ157-INDEX(账户总表!$B:$B,COUNTA(账户总表!$A:$A)),AF157-INDEX(账户总表!$C:$C,COUNTA(账户总表!$A:$A))),0))</f>
        <v/>
      </c>
      <c r="AL157" s="1" t="str">
        <f aca="false">IF($A157="","",IF(COUNTIF(持仓表!$C$2:$C$201,C157)&gt;0,"已有","新标的"))</f>
        <v/>
      </c>
      <c r="AM157" s="1" t="str">
        <f aca="false">IF($A157="","",IFERROR(SUMIFS(持仓表!$N$2:$N$201,持仓表!$C$2:$C$201,C157,持仓表!$A$2:$A$201,$A157),0))</f>
        <v/>
      </c>
      <c r="AN157" s="1" t="str">
        <f aca="false">IF($A157="","",IFERROR(AM157+AF157/INDEX(账户总表!$B:$B,COUNTA(账户总表!$A:$A)),0))</f>
        <v/>
      </c>
      <c r="AO157" s="1" t="str">
        <f aca="false">IF($A157="","",IF(AN157&gt;INDEX(账户总表!$O:$O,COUNTA(账户总表!$A:$A)),"超限","合规"))</f>
        <v/>
      </c>
      <c r="AP157" s="1" t="str">
        <f aca="false">IF($A157="","",IF(AND(AL157="新标的",INDEX(账户总表!$R:$R,COUNTA(账户总表!$A:$A))&gt;=INDEX(账户总表!$S:$S,COUNTA(账户总表!$A:$A))),"新增受限","可通过"))</f>
        <v/>
      </c>
      <c r="AQ157" s="1" t="str">
        <f aca="false">IF($A157="","",IF(K157&lt;&gt;"核心池","非核心池",IF(OR(AI157="超限",AO157="超限",AP157="新增受限"),"不可加仓","可加仓")))</f>
        <v/>
      </c>
      <c r="AR157" s="1" t="str">
        <f aca="false">IF($A157="","",TRIM(IF(AI157="超限","1手超单股上限；","")&amp;IF(AO157="超限","买后仓位超限；","")&amp;IF(AP157="新增受限","有效持仓数超限；","")&amp;IF(AF157&gt;INDEX(账户总表!$C:$C,COUNTA(账户总表!$A:$A)),"现金不足；","")))</f>
        <v/>
      </c>
      <c r="AS157" s="1" t="str">
        <f aca="false">IF($A157="","",IFERROR(INDEX(候选池历史!$L:$L,MATCH(1,(候选池历史!$B:$B=C157)*(候选池历史!$A:$A=$A157),0)),0))</f>
        <v/>
      </c>
      <c r="AT157" s="1" t="str">
        <f aca="false">IF($A157="","",IF(AS157&gt;=3,"★信号强化",IF(K157="核心池","核心观察","")))</f>
        <v/>
      </c>
      <c r="AU157" s="1" t="str">
        <f aca="false">IF($A157="","",IF(AK157&gt;30000-INDEX(账户总表!$B:$B,COUNTA(账户总表!$A:$A)),"不适合婴儿阶段","可纳入幼儿路径"))</f>
        <v/>
      </c>
    </row>
    <row r="158" customFormat="false" ht="15" hidden="false" customHeight="true" outlineLevel="0" collapsed="false">
      <c r="A158" s="32"/>
      <c r="B158" s="6"/>
      <c r="C158" s="6"/>
      <c r="D158" s="17"/>
      <c r="E158" s="17"/>
      <c r="F158" s="17"/>
      <c r="G158" s="22"/>
      <c r="H158" s="6"/>
      <c r="I158" s="13"/>
      <c r="J158" s="6"/>
      <c r="K158" s="5" t="str">
        <f aca="false">IF($A158="","",IF(AND(G158&lt;45%,H158&gt;=0.9),"A",IF(AND(G158&lt;60%,H158&gt;0.8),"B","C")))</f>
        <v/>
      </c>
      <c r="L158" s="5" t="str">
        <f aca="false">IF($A158="","",IF(AND(G158&lt;60%,H158&gt;0.8,I158="True"),"是","否"))</f>
        <v/>
      </c>
      <c r="M158" s="5" t="str">
        <f aca="false">IF($A158="","",IF(AND(D158&gt;0,E158&gt;0,D158&lt;=E158*1.02),"是","否"))</f>
        <v/>
      </c>
      <c r="N158" s="19" t="n">
        <f aca="false">IFERROR(INDEX(账户总表!$O:$O,COUNTA(账户总表!$A:$A)),0)</f>
        <v>0.35</v>
      </c>
      <c r="O158" s="18" t="n">
        <f aca="false">IFERROR(INDEX(账户总表!$B:$B,COUNTA(账户总表!$A:$A))*N158,0)</f>
        <v>7294.812</v>
      </c>
      <c r="P158" s="21" t="n">
        <f aca="false">IFERROR(O158/D158,0)</f>
        <v>0</v>
      </c>
      <c r="Q158" s="21" t="n">
        <f aca="false">IFERROR(FLOOR(P158,100),0)</f>
        <v>0</v>
      </c>
      <c r="R158" s="21" t="n">
        <f aca="false">IFERROR(CEILING(800/(100*D158),1)*100,0)</f>
        <v>0</v>
      </c>
      <c r="S158" s="20"/>
      <c r="T158" s="18" t="n">
        <f aca="false">IFERROR(S158*D158,0)</f>
        <v>0</v>
      </c>
      <c r="U158" s="19" t="n">
        <f aca="false">IFERROR(T158/INDEX(账户总表!$B:$B,COUNTA(账户总表!$A:$A)),0)</f>
        <v>0</v>
      </c>
      <c r="V158" s="19" t="n">
        <f aca="false">IFERROR(INDEX(账户总表!$E:$E,COUNTA(账户总表!$A:$A))+U158,0)</f>
        <v>0.407056412146057</v>
      </c>
      <c r="W158" s="5" t="str">
        <f aca="false">IF($A158="","",IFERROR(IF(V158&lt;=INDEX(账户总表!$N:$N,COUNTA(账户总表!$A:$A)),"是","否"),"否"))</f>
        <v/>
      </c>
      <c r="X158" s="18" t="str">
        <f aca="false">IF($A158="","",MAX(F158*0.98,D158*0.92))</f>
        <v/>
      </c>
      <c r="Y158" s="6"/>
      <c r="Z158" s="5" t="str">
        <f aca="false">IF($A158="","",IFERROR(IF(AND(T158&gt;INDEX(账户总表!$C:$C,COUNTA(账户总表!$A:$A)),L158="是"),"是","否"),"否"))</f>
        <v/>
      </c>
      <c r="AA158" s="18" t="str">
        <f aca="false">IF($A158="","",IFERROR(IF(Z158="是",MAX(0,T158-INDEX(账户总表!$C:$C,COUNTA(账户总表!$A:$A)),IF(N158&gt;0,T158/N158-INDEX(账户总表!$B:$B,COUNTA(账户总表!$A:$A)),0)),0),0))</f>
        <v/>
      </c>
      <c r="AB158" s="18" t="str">
        <f aca="false">IF($A158="","",IF(AND(Z158="是",INDEX(账户总表!$U:$U,COUNTA(账户总表!$A:$A))="是"),IF(INDEX(账户总表!$L:$L,COUNTA(账户总表!$A:$A))&gt;=4,AA158*1.5,AA158),0))</f>
        <v/>
      </c>
      <c r="AC158" s="5" t="str">
        <f aca="false">IF($A158="","",IF(AND(L158="是",Q158&gt;=R158,S158&lt;=Q158,S158&gt;=R158,W158="是",X158&gt;0,M158="是",INDEX(账户总表!$M:$M,COUNTA(账户总表!$A:$A))&lt;=2,INDEX(账户总表!$V:$V,COUNTA(账户总表!$A:$A))="是",OR(T158&lt;=INDEX(账户总表!$C:$C,COUNTA(账户总表!$A:$A)),AND(Z158="是",INDEX(账户总表!$U:$U,COUNTA(账户总表!$A:$A))="是",AB158&gt;0))),"是","否"))</f>
        <v/>
      </c>
      <c r="AD158" s="5" t="str">
        <f aca="false">IF($A158="","",IF(L158&lt;&gt;"是","信号未确认",IF(X158&lt;=0,"止损价未定义",IF(Q158&lt;R158,"100股约束不满足",IF(S158&gt;Q158,"计划股数超单股上限",IF(S158&lt;R158,"计划股数低于最小门槛",IF(W158&lt;&gt;"是","总仓位超限",IF(M158&lt;&gt;"是","追价",IF(INDEX(账户总表!$M:$M,COUNTA(账户总表!$A:$A))&gt;2,"亏钱效应偏高",IF(INDEX(账户总表!$V:$V,COUNTA(账户总表!$A:$A))&lt;&gt;"是","账户不允许新开仓",IF(AND(T158&gt;INDEX(账户总表!$C:$C,COUNTA(账户总表!$A:$A)),INDEX(账户总表!$U:$U,COUNTA(账户总表!$A:$A))&lt;&gt;"是"),"现金不足且不允许转入",IF(AND(Z158="是",AB158&lt;=0),"转入金额未满足",""))))))))))))</f>
        <v/>
      </c>
      <c r="AE158" s="6"/>
      <c r="AF158" s="1" t="str">
        <f aca="false">IF($A158="","",D158*100)</f>
        <v/>
      </c>
      <c r="AG158" s="1" t="str">
        <f aca="false">IF($A158="","",IFERROR(AF158/INDEX(账户总表!$B:$B,COUNTA(账户总表!$A:$A)),0))</f>
        <v/>
      </c>
      <c r="AH158" s="1" t="str">
        <f aca="false">IF($A158="","",IFERROR(INDEX(账户总表!$B:$B,COUNTA(账户总表!$A:$A))*INDEX(账户总表!$O:$O,COUNTA(账户总表!$A:$A)),0))</f>
        <v/>
      </c>
      <c r="AI158" s="1" t="str">
        <f aca="false">IF($A158="","",IF(AF158&gt;AH158,"超限","合规"))</f>
        <v/>
      </c>
      <c r="AJ158" s="1" t="str">
        <f aca="false">IF($A158="","",IFERROR(AF158/INDEX(账户总表!$O:$O,COUNTA(账户总表!$A:$A)),0))</f>
        <v/>
      </c>
      <c r="AK158" s="1" t="str">
        <f aca="false">IF($A158="","",IFERROR(MAX(0,AJ158-INDEX(账户总表!$B:$B,COUNTA(账户总表!$A:$A)),AF158-INDEX(账户总表!$C:$C,COUNTA(账户总表!$A:$A))),0))</f>
        <v/>
      </c>
      <c r="AL158" s="1" t="str">
        <f aca="false">IF($A158="","",IF(COUNTIF(持仓表!$C$2:$C$201,C158)&gt;0,"已有","新标的"))</f>
        <v/>
      </c>
      <c r="AM158" s="1" t="str">
        <f aca="false">IF($A158="","",IFERROR(SUMIFS(持仓表!$N$2:$N$201,持仓表!$C$2:$C$201,C158,持仓表!$A$2:$A$201,$A158),0))</f>
        <v/>
      </c>
      <c r="AN158" s="1" t="str">
        <f aca="false">IF($A158="","",IFERROR(AM158+AF158/INDEX(账户总表!$B:$B,COUNTA(账户总表!$A:$A)),0))</f>
        <v/>
      </c>
      <c r="AO158" s="1" t="str">
        <f aca="false">IF($A158="","",IF(AN158&gt;INDEX(账户总表!$O:$O,COUNTA(账户总表!$A:$A)),"超限","合规"))</f>
        <v/>
      </c>
      <c r="AP158" s="1" t="str">
        <f aca="false">IF($A158="","",IF(AND(AL158="新标的",INDEX(账户总表!$R:$R,COUNTA(账户总表!$A:$A))&gt;=INDEX(账户总表!$S:$S,COUNTA(账户总表!$A:$A))),"新增受限","可通过"))</f>
        <v/>
      </c>
      <c r="AQ158" s="1" t="str">
        <f aca="false">IF($A158="","",IF(K158&lt;&gt;"核心池","非核心池",IF(OR(AI158="超限",AO158="超限",AP158="新增受限"),"不可加仓","可加仓")))</f>
        <v/>
      </c>
      <c r="AR158" s="1" t="str">
        <f aca="false">IF($A158="","",TRIM(IF(AI158="超限","1手超单股上限；","")&amp;IF(AO158="超限","买后仓位超限；","")&amp;IF(AP158="新增受限","有效持仓数超限；","")&amp;IF(AF158&gt;INDEX(账户总表!$C:$C,COUNTA(账户总表!$A:$A)),"现金不足；","")))</f>
        <v/>
      </c>
      <c r="AS158" s="1" t="str">
        <f aca="false">IF($A158="","",IFERROR(INDEX(候选池历史!$L:$L,MATCH(1,(候选池历史!$B:$B=C158)*(候选池历史!$A:$A=$A158),0)),0))</f>
        <v/>
      </c>
      <c r="AT158" s="1" t="str">
        <f aca="false">IF($A158="","",IF(AS158&gt;=3,"★信号强化",IF(K158="核心池","核心观察","")))</f>
        <v/>
      </c>
      <c r="AU158" s="1" t="str">
        <f aca="false">IF($A158="","",IF(AK158&gt;30000-INDEX(账户总表!$B:$B,COUNTA(账户总表!$A:$A)),"不适合婴儿阶段","可纳入幼儿路径"))</f>
        <v/>
      </c>
    </row>
    <row r="159" customFormat="false" ht="15" hidden="false" customHeight="true" outlineLevel="0" collapsed="false">
      <c r="A159" s="31"/>
      <c r="B159" s="9"/>
      <c r="C159" s="9"/>
      <c r="D159" s="26"/>
      <c r="E159" s="26"/>
      <c r="F159" s="26"/>
      <c r="G159" s="28"/>
      <c r="H159" s="9"/>
      <c r="I159" s="14"/>
      <c r="J159" s="9"/>
      <c r="K159" s="5" t="str">
        <f aca="false">IF($A159="","",IF(AND(G159&lt;45%,H159&gt;=0.9),"A",IF(AND(G159&lt;60%,H159&gt;0.8),"B","C")))</f>
        <v/>
      </c>
      <c r="L159" s="5" t="str">
        <f aca="false">IF($A159="","",IF(AND(G159&lt;60%,H159&gt;0.8,I159="True"),"是","否"))</f>
        <v/>
      </c>
      <c r="M159" s="5" t="str">
        <f aca="false">IF($A159="","",IF(AND(D159&gt;0,E159&gt;0,D159&lt;=E159*1.02),"是","否"))</f>
        <v/>
      </c>
      <c r="N159" s="19" t="n">
        <f aca="false">IFERROR(INDEX(账户总表!$O:$O,COUNTA(账户总表!$A:$A)),0)</f>
        <v>0.35</v>
      </c>
      <c r="O159" s="18" t="n">
        <f aca="false">IFERROR(INDEX(账户总表!$B:$B,COUNTA(账户总表!$A:$A))*N159,0)</f>
        <v>7294.812</v>
      </c>
      <c r="P159" s="21" t="n">
        <f aca="false">IFERROR(O159/D159,0)</f>
        <v>0</v>
      </c>
      <c r="Q159" s="21" t="n">
        <f aca="false">IFERROR(FLOOR(P159,100),0)</f>
        <v>0</v>
      </c>
      <c r="R159" s="21" t="n">
        <f aca="false">IFERROR(CEILING(800/(100*D159),1)*100,0)</f>
        <v>0</v>
      </c>
      <c r="S159" s="27"/>
      <c r="T159" s="18" t="n">
        <f aca="false">IFERROR(S159*D159,0)</f>
        <v>0</v>
      </c>
      <c r="U159" s="19" t="n">
        <f aca="false">IFERROR(T159/INDEX(账户总表!$B:$B,COUNTA(账户总表!$A:$A)),0)</f>
        <v>0</v>
      </c>
      <c r="V159" s="19" t="n">
        <f aca="false">IFERROR(INDEX(账户总表!$E:$E,COUNTA(账户总表!$A:$A))+U159,0)</f>
        <v>0.407056412146057</v>
      </c>
      <c r="W159" s="5" t="str">
        <f aca="false">IF($A159="","",IFERROR(IF(V159&lt;=INDEX(账户总表!$N:$N,COUNTA(账户总表!$A:$A)),"是","否"),"否"))</f>
        <v/>
      </c>
      <c r="X159" s="18" t="str">
        <f aca="false">IF($A159="","",MAX(F159*0.98,D159*0.92))</f>
        <v/>
      </c>
      <c r="Y159" s="9"/>
      <c r="Z159" s="5" t="str">
        <f aca="false">IF($A159="","",IFERROR(IF(AND(T159&gt;INDEX(账户总表!$C:$C,COUNTA(账户总表!$A:$A)),L159="是"),"是","否"),"否"))</f>
        <v/>
      </c>
      <c r="AA159" s="18" t="str">
        <f aca="false">IF($A159="","",IFERROR(IF(Z159="是",MAX(0,T159-INDEX(账户总表!$C:$C,COUNTA(账户总表!$A:$A)),IF(N159&gt;0,T159/N159-INDEX(账户总表!$B:$B,COUNTA(账户总表!$A:$A)),0)),0),0))</f>
        <v/>
      </c>
      <c r="AB159" s="18" t="str">
        <f aca="false">IF($A159="","",IF(AND(Z159="是",INDEX(账户总表!$U:$U,COUNTA(账户总表!$A:$A))="是"),IF(INDEX(账户总表!$L:$L,COUNTA(账户总表!$A:$A))&gt;=4,AA159*1.5,AA159),0))</f>
        <v/>
      </c>
      <c r="AC159" s="5" t="str">
        <f aca="false">IF($A159="","",IF(AND(L159="是",Q159&gt;=R159,S159&lt;=Q159,S159&gt;=R159,W159="是",X159&gt;0,M159="是",INDEX(账户总表!$M:$M,COUNTA(账户总表!$A:$A))&lt;=2,INDEX(账户总表!$V:$V,COUNTA(账户总表!$A:$A))="是",OR(T159&lt;=INDEX(账户总表!$C:$C,COUNTA(账户总表!$A:$A)),AND(Z159="是",INDEX(账户总表!$U:$U,COUNTA(账户总表!$A:$A))="是",AB159&gt;0))),"是","否"))</f>
        <v/>
      </c>
      <c r="AD159" s="5" t="str">
        <f aca="false">IF($A159="","",IF(L159&lt;&gt;"是","信号未确认",IF(X159&lt;=0,"止损价未定义",IF(Q159&lt;R159,"100股约束不满足",IF(S159&gt;Q159,"计划股数超单股上限",IF(S159&lt;R159,"计划股数低于最小门槛",IF(W159&lt;&gt;"是","总仓位超限",IF(M159&lt;&gt;"是","追价",IF(INDEX(账户总表!$M:$M,COUNTA(账户总表!$A:$A))&gt;2,"亏钱效应偏高",IF(INDEX(账户总表!$V:$V,COUNTA(账户总表!$A:$A))&lt;&gt;"是","账户不允许新开仓",IF(AND(T159&gt;INDEX(账户总表!$C:$C,COUNTA(账户总表!$A:$A)),INDEX(账户总表!$U:$U,COUNTA(账户总表!$A:$A))&lt;&gt;"是"),"现金不足且不允许转入",IF(AND(Z159="是",AB159&lt;=0),"转入金额未满足",""))))))))))))</f>
        <v/>
      </c>
      <c r="AE159" s="9"/>
      <c r="AF159" s="1" t="str">
        <f aca="false">IF($A159="","",D159*100)</f>
        <v/>
      </c>
      <c r="AG159" s="1" t="str">
        <f aca="false">IF($A159="","",IFERROR(AF159/INDEX(账户总表!$B:$B,COUNTA(账户总表!$A:$A)),0))</f>
        <v/>
      </c>
      <c r="AH159" s="1" t="str">
        <f aca="false">IF($A159="","",IFERROR(INDEX(账户总表!$B:$B,COUNTA(账户总表!$A:$A))*INDEX(账户总表!$O:$O,COUNTA(账户总表!$A:$A)),0))</f>
        <v/>
      </c>
      <c r="AI159" s="1" t="str">
        <f aca="false">IF($A159="","",IF(AF159&gt;AH159,"超限","合规"))</f>
        <v/>
      </c>
      <c r="AJ159" s="1" t="str">
        <f aca="false">IF($A159="","",IFERROR(AF159/INDEX(账户总表!$O:$O,COUNTA(账户总表!$A:$A)),0))</f>
        <v/>
      </c>
      <c r="AK159" s="1" t="str">
        <f aca="false">IF($A159="","",IFERROR(MAX(0,AJ159-INDEX(账户总表!$B:$B,COUNTA(账户总表!$A:$A)),AF159-INDEX(账户总表!$C:$C,COUNTA(账户总表!$A:$A))),0))</f>
        <v/>
      </c>
      <c r="AL159" s="1" t="str">
        <f aca="false">IF($A159="","",IF(COUNTIF(持仓表!$C$2:$C$201,C159)&gt;0,"已有","新标的"))</f>
        <v/>
      </c>
      <c r="AM159" s="1" t="str">
        <f aca="false">IF($A159="","",IFERROR(SUMIFS(持仓表!$N$2:$N$201,持仓表!$C$2:$C$201,C159,持仓表!$A$2:$A$201,$A159),0))</f>
        <v/>
      </c>
      <c r="AN159" s="1" t="str">
        <f aca="false">IF($A159="","",IFERROR(AM159+AF159/INDEX(账户总表!$B:$B,COUNTA(账户总表!$A:$A)),0))</f>
        <v/>
      </c>
      <c r="AO159" s="1" t="str">
        <f aca="false">IF($A159="","",IF(AN159&gt;INDEX(账户总表!$O:$O,COUNTA(账户总表!$A:$A)),"超限","合规"))</f>
        <v/>
      </c>
      <c r="AP159" s="1" t="str">
        <f aca="false">IF($A159="","",IF(AND(AL159="新标的",INDEX(账户总表!$R:$R,COUNTA(账户总表!$A:$A))&gt;=INDEX(账户总表!$S:$S,COUNTA(账户总表!$A:$A))),"新增受限","可通过"))</f>
        <v/>
      </c>
      <c r="AQ159" s="1" t="str">
        <f aca="false">IF($A159="","",IF(K159&lt;&gt;"核心池","非核心池",IF(OR(AI159="超限",AO159="超限",AP159="新增受限"),"不可加仓","可加仓")))</f>
        <v/>
      </c>
      <c r="AR159" s="1" t="str">
        <f aca="false">IF($A159="","",TRIM(IF(AI159="超限","1手超单股上限；","")&amp;IF(AO159="超限","买后仓位超限；","")&amp;IF(AP159="新增受限","有效持仓数超限；","")&amp;IF(AF159&gt;INDEX(账户总表!$C:$C,COUNTA(账户总表!$A:$A)),"现金不足；","")))</f>
        <v/>
      </c>
      <c r="AS159" s="1" t="str">
        <f aca="false">IF($A159="","",IFERROR(INDEX(候选池历史!$L:$L,MATCH(1,(候选池历史!$B:$B=C159)*(候选池历史!$A:$A=$A159),0)),0))</f>
        <v/>
      </c>
      <c r="AT159" s="1" t="str">
        <f aca="false">IF($A159="","",IF(AS159&gt;=3,"★信号强化",IF(K159="核心池","核心观察","")))</f>
        <v/>
      </c>
      <c r="AU159" s="1" t="str">
        <f aca="false">IF($A159="","",IF(AK159&gt;30000-INDEX(账户总表!$B:$B,COUNTA(账户总表!$A:$A)),"不适合婴儿阶段","可纳入幼儿路径"))</f>
        <v/>
      </c>
    </row>
    <row r="160" customFormat="false" ht="15" hidden="false" customHeight="true" outlineLevel="0" collapsed="false">
      <c r="A160" s="32"/>
      <c r="B160" s="6"/>
      <c r="C160" s="6"/>
      <c r="D160" s="17"/>
      <c r="E160" s="17"/>
      <c r="F160" s="17"/>
      <c r="G160" s="22"/>
      <c r="H160" s="6"/>
      <c r="I160" s="13"/>
      <c r="J160" s="6"/>
      <c r="K160" s="5" t="str">
        <f aca="false">IF($A160="","",IF(AND(G160&lt;45%,H160&gt;=0.9),"A",IF(AND(G160&lt;60%,H160&gt;0.8),"B","C")))</f>
        <v/>
      </c>
      <c r="L160" s="5" t="str">
        <f aca="false">IF($A160="","",IF(AND(G160&lt;60%,H160&gt;0.8,I160="True"),"是","否"))</f>
        <v/>
      </c>
      <c r="M160" s="5" t="str">
        <f aca="false">IF($A160="","",IF(AND(D160&gt;0,E160&gt;0,D160&lt;=E160*1.02),"是","否"))</f>
        <v/>
      </c>
      <c r="N160" s="19" t="n">
        <f aca="false">IFERROR(INDEX(账户总表!$O:$O,COUNTA(账户总表!$A:$A)),0)</f>
        <v>0.35</v>
      </c>
      <c r="O160" s="18" t="n">
        <f aca="false">IFERROR(INDEX(账户总表!$B:$B,COUNTA(账户总表!$A:$A))*N160,0)</f>
        <v>7294.812</v>
      </c>
      <c r="P160" s="21" t="n">
        <f aca="false">IFERROR(O160/D160,0)</f>
        <v>0</v>
      </c>
      <c r="Q160" s="21" t="n">
        <f aca="false">IFERROR(FLOOR(P160,100),0)</f>
        <v>0</v>
      </c>
      <c r="R160" s="21" t="n">
        <f aca="false">IFERROR(CEILING(800/(100*D160),1)*100,0)</f>
        <v>0</v>
      </c>
      <c r="S160" s="20"/>
      <c r="T160" s="18" t="n">
        <f aca="false">IFERROR(S160*D160,0)</f>
        <v>0</v>
      </c>
      <c r="U160" s="19" t="n">
        <f aca="false">IFERROR(T160/INDEX(账户总表!$B:$B,COUNTA(账户总表!$A:$A)),0)</f>
        <v>0</v>
      </c>
      <c r="V160" s="19" t="n">
        <f aca="false">IFERROR(INDEX(账户总表!$E:$E,COUNTA(账户总表!$A:$A))+U160,0)</f>
        <v>0.407056412146057</v>
      </c>
      <c r="W160" s="5" t="str">
        <f aca="false">IF($A160="","",IFERROR(IF(V160&lt;=INDEX(账户总表!$N:$N,COUNTA(账户总表!$A:$A)),"是","否"),"否"))</f>
        <v/>
      </c>
      <c r="X160" s="18" t="str">
        <f aca="false">IF($A160="","",MAX(F160*0.98,D160*0.92))</f>
        <v/>
      </c>
      <c r="Y160" s="6"/>
      <c r="Z160" s="5" t="str">
        <f aca="false">IF($A160="","",IFERROR(IF(AND(T160&gt;INDEX(账户总表!$C:$C,COUNTA(账户总表!$A:$A)),L160="是"),"是","否"),"否"))</f>
        <v/>
      </c>
      <c r="AA160" s="18" t="str">
        <f aca="false">IF($A160="","",IFERROR(IF(Z160="是",MAX(0,T160-INDEX(账户总表!$C:$C,COUNTA(账户总表!$A:$A)),IF(N160&gt;0,T160/N160-INDEX(账户总表!$B:$B,COUNTA(账户总表!$A:$A)),0)),0),0))</f>
        <v/>
      </c>
      <c r="AB160" s="18" t="str">
        <f aca="false">IF($A160="","",IF(AND(Z160="是",INDEX(账户总表!$U:$U,COUNTA(账户总表!$A:$A))="是"),IF(INDEX(账户总表!$L:$L,COUNTA(账户总表!$A:$A))&gt;=4,AA160*1.5,AA160),0))</f>
        <v/>
      </c>
      <c r="AC160" s="5" t="str">
        <f aca="false">IF($A160="","",IF(AND(L160="是",Q160&gt;=R160,S160&lt;=Q160,S160&gt;=R160,W160="是",X160&gt;0,M160="是",INDEX(账户总表!$M:$M,COUNTA(账户总表!$A:$A))&lt;=2,INDEX(账户总表!$V:$V,COUNTA(账户总表!$A:$A))="是",OR(T160&lt;=INDEX(账户总表!$C:$C,COUNTA(账户总表!$A:$A)),AND(Z160="是",INDEX(账户总表!$U:$U,COUNTA(账户总表!$A:$A))="是",AB160&gt;0))),"是","否"))</f>
        <v/>
      </c>
      <c r="AD160" s="5" t="str">
        <f aca="false">IF($A160="","",IF(L160&lt;&gt;"是","信号未确认",IF(X160&lt;=0,"止损价未定义",IF(Q160&lt;R160,"100股约束不满足",IF(S160&gt;Q160,"计划股数超单股上限",IF(S160&lt;R160,"计划股数低于最小门槛",IF(W160&lt;&gt;"是","总仓位超限",IF(M160&lt;&gt;"是","追价",IF(INDEX(账户总表!$M:$M,COUNTA(账户总表!$A:$A))&gt;2,"亏钱效应偏高",IF(INDEX(账户总表!$V:$V,COUNTA(账户总表!$A:$A))&lt;&gt;"是","账户不允许新开仓",IF(AND(T160&gt;INDEX(账户总表!$C:$C,COUNTA(账户总表!$A:$A)),INDEX(账户总表!$U:$U,COUNTA(账户总表!$A:$A))&lt;&gt;"是"),"现金不足且不允许转入",IF(AND(Z160="是",AB160&lt;=0),"转入金额未满足",""))))))))))))</f>
        <v/>
      </c>
      <c r="AE160" s="6"/>
      <c r="AF160" s="1" t="str">
        <f aca="false">IF($A160="","",D160*100)</f>
        <v/>
      </c>
      <c r="AG160" s="1" t="str">
        <f aca="false">IF($A160="","",IFERROR(AF160/INDEX(账户总表!$B:$B,COUNTA(账户总表!$A:$A)),0))</f>
        <v/>
      </c>
      <c r="AH160" s="1" t="str">
        <f aca="false">IF($A160="","",IFERROR(INDEX(账户总表!$B:$B,COUNTA(账户总表!$A:$A))*INDEX(账户总表!$O:$O,COUNTA(账户总表!$A:$A)),0))</f>
        <v/>
      </c>
      <c r="AI160" s="1" t="str">
        <f aca="false">IF($A160="","",IF(AF160&gt;AH160,"超限","合规"))</f>
        <v/>
      </c>
      <c r="AJ160" s="1" t="str">
        <f aca="false">IF($A160="","",IFERROR(AF160/INDEX(账户总表!$O:$O,COUNTA(账户总表!$A:$A)),0))</f>
        <v/>
      </c>
      <c r="AK160" s="1" t="str">
        <f aca="false">IF($A160="","",IFERROR(MAX(0,AJ160-INDEX(账户总表!$B:$B,COUNTA(账户总表!$A:$A)),AF160-INDEX(账户总表!$C:$C,COUNTA(账户总表!$A:$A))),0))</f>
        <v/>
      </c>
      <c r="AL160" s="1" t="str">
        <f aca="false">IF($A160="","",IF(COUNTIF(持仓表!$C$2:$C$201,C160)&gt;0,"已有","新标的"))</f>
        <v/>
      </c>
      <c r="AM160" s="1" t="str">
        <f aca="false">IF($A160="","",IFERROR(SUMIFS(持仓表!$N$2:$N$201,持仓表!$C$2:$C$201,C160,持仓表!$A$2:$A$201,$A160),0))</f>
        <v/>
      </c>
      <c r="AN160" s="1" t="str">
        <f aca="false">IF($A160="","",IFERROR(AM160+AF160/INDEX(账户总表!$B:$B,COUNTA(账户总表!$A:$A)),0))</f>
        <v/>
      </c>
      <c r="AO160" s="1" t="str">
        <f aca="false">IF($A160="","",IF(AN160&gt;INDEX(账户总表!$O:$O,COUNTA(账户总表!$A:$A)),"超限","合规"))</f>
        <v/>
      </c>
      <c r="AP160" s="1" t="str">
        <f aca="false">IF($A160="","",IF(AND(AL160="新标的",INDEX(账户总表!$R:$R,COUNTA(账户总表!$A:$A))&gt;=INDEX(账户总表!$S:$S,COUNTA(账户总表!$A:$A))),"新增受限","可通过"))</f>
        <v/>
      </c>
      <c r="AQ160" s="1" t="str">
        <f aca="false">IF($A160="","",IF(K160&lt;&gt;"核心池","非核心池",IF(OR(AI160="超限",AO160="超限",AP160="新增受限"),"不可加仓","可加仓")))</f>
        <v/>
      </c>
      <c r="AR160" s="1" t="str">
        <f aca="false">IF($A160="","",TRIM(IF(AI160="超限","1手超单股上限；","")&amp;IF(AO160="超限","买后仓位超限；","")&amp;IF(AP160="新增受限","有效持仓数超限；","")&amp;IF(AF160&gt;INDEX(账户总表!$C:$C,COUNTA(账户总表!$A:$A)),"现金不足；","")))</f>
        <v/>
      </c>
      <c r="AS160" s="1" t="str">
        <f aca="false">IF($A160="","",IFERROR(INDEX(候选池历史!$L:$L,MATCH(1,(候选池历史!$B:$B=C160)*(候选池历史!$A:$A=$A160),0)),0))</f>
        <v/>
      </c>
      <c r="AT160" s="1" t="str">
        <f aca="false">IF($A160="","",IF(AS160&gt;=3,"★信号强化",IF(K160="核心池","核心观察","")))</f>
        <v/>
      </c>
      <c r="AU160" s="1" t="str">
        <f aca="false">IF($A160="","",IF(AK160&gt;30000-INDEX(账户总表!$B:$B,COUNTA(账户总表!$A:$A)),"不适合婴儿阶段","可纳入幼儿路径"))</f>
        <v/>
      </c>
    </row>
    <row r="161" customFormat="false" ht="15" hidden="false" customHeight="true" outlineLevel="0" collapsed="false">
      <c r="A161" s="31"/>
      <c r="B161" s="9"/>
      <c r="C161" s="9"/>
      <c r="D161" s="26"/>
      <c r="E161" s="26"/>
      <c r="F161" s="26"/>
      <c r="G161" s="28"/>
      <c r="H161" s="9"/>
      <c r="I161" s="14"/>
      <c r="J161" s="9"/>
      <c r="K161" s="5" t="str">
        <f aca="false">IF($A161="","",IF(AND(G161&lt;45%,H161&gt;=0.9),"A",IF(AND(G161&lt;60%,H161&gt;0.8),"B","C")))</f>
        <v/>
      </c>
      <c r="L161" s="5" t="str">
        <f aca="false">IF($A161="","",IF(AND(G161&lt;60%,H161&gt;0.8,I161="True"),"是","否"))</f>
        <v/>
      </c>
      <c r="M161" s="5" t="str">
        <f aca="false">IF($A161="","",IF(AND(D161&gt;0,E161&gt;0,D161&lt;=E161*1.02),"是","否"))</f>
        <v/>
      </c>
      <c r="N161" s="19" t="n">
        <f aca="false">IFERROR(INDEX(账户总表!$O:$O,COUNTA(账户总表!$A:$A)),0)</f>
        <v>0.35</v>
      </c>
      <c r="O161" s="18" t="n">
        <f aca="false">IFERROR(INDEX(账户总表!$B:$B,COUNTA(账户总表!$A:$A))*N161,0)</f>
        <v>7294.812</v>
      </c>
      <c r="P161" s="21" t="n">
        <f aca="false">IFERROR(O161/D161,0)</f>
        <v>0</v>
      </c>
      <c r="Q161" s="21" t="n">
        <f aca="false">IFERROR(FLOOR(P161,100),0)</f>
        <v>0</v>
      </c>
      <c r="R161" s="21" t="n">
        <f aca="false">IFERROR(CEILING(800/(100*D161),1)*100,0)</f>
        <v>0</v>
      </c>
      <c r="S161" s="27"/>
      <c r="T161" s="18" t="n">
        <f aca="false">IFERROR(S161*D161,0)</f>
        <v>0</v>
      </c>
      <c r="U161" s="19" t="n">
        <f aca="false">IFERROR(T161/INDEX(账户总表!$B:$B,COUNTA(账户总表!$A:$A)),0)</f>
        <v>0</v>
      </c>
      <c r="V161" s="19" t="n">
        <f aca="false">IFERROR(INDEX(账户总表!$E:$E,COUNTA(账户总表!$A:$A))+U161,0)</f>
        <v>0.407056412146057</v>
      </c>
      <c r="W161" s="5" t="str">
        <f aca="false">IF($A161="","",IFERROR(IF(V161&lt;=INDEX(账户总表!$N:$N,COUNTA(账户总表!$A:$A)),"是","否"),"否"))</f>
        <v/>
      </c>
      <c r="X161" s="18" t="str">
        <f aca="false">IF($A161="","",MAX(F161*0.98,D161*0.92))</f>
        <v/>
      </c>
      <c r="Y161" s="9"/>
      <c r="Z161" s="5" t="str">
        <f aca="false">IF($A161="","",IFERROR(IF(AND(T161&gt;INDEX(账户总表!$C:$C,COUNTA(账户总表!$A:$A)),L161="是"),"是","否"),"否"))</f>
        <v/>
      </c>
      <c r="AA161" s="18" t="str">
        <f aca="false">IF($A161="","",IFERROR(IF(Z161="是",MAX(0,T161-INDEX(账户总表!$C:$C,COUNTA(账户总表!$A:$A)),IF(N161&gt;0,T161/N161-INDEX(账户总表!$B:$B,COUNTA(账户总表!$A:$A)),0)),0),0))</f>
        <v/>
      </c>
      <c r="AB161" s="18" t="str">
        <f aca="false">IF($A161="","",IF(AND(Z161="是",INDEX(账户总表!$U:$U,COUNTA(账户总表!$A:$A))="是"),IF(INDEX(账户总表!$L:$L,COUNTA(账户总表!$A:$A))&gt;=4,AA161*1.5,AA161),0))</f>
        <v/>
      </c>
      <c r="AC161" s="5" t="str">
        <f aca="false">IF($A161="","",IF(AND(L161="是",Q161&gt;=R161,S161&lt;=Q161,S161&gt;=R161,W161="是",X161&gt;0,M161="是",INDEX(账户总表!$M:$M,COUNTA(账户总表!$A:$A))&lt;=2,INDEX(账户总表!$V:$V,COUNTA(账户总表!$A:$A))="是",OR(T161&lt;=INDEX(账户总表!$C:$C,COUNTA(账户总表!$A:$A)),AND(Z161="是",INDEX(账户总表!$U:$U,COUNTA(账户总表!$A:$A))="是",AB161&gt;0))),"是","否"))</f>
        <v/>
      </c>
      <c r="AD161" s="5" t="str">
        <f aca="false">IF($A161="","",IF(L161&lt;&gt;"是","信号未确认",IF(X161&lt;=0,"止损价未定义",IF(Q161&lt;R161,"100股约束不满足",IF(S161&gt;Q161,"计划股数超单股上限",IF(S161&lt;R161,"计划股数低于最小门槛",IF(W161&lt;&gt;"是","总仓位超限",IF(M161&lt;&gt;"是","追价",IF(INDEX(账户总表!$M:$M,COUNTA(账户总表!$A:$A))&gt;2,"亏钱效应偏高",IF(INDEX(账户总表!$V:$V,COUNTA(账户总表!$A:$A))&lt;&gt;"是","账户不允许新开仓",IF(AND(T161&gt;INDEX(账户总表!$C:$C,COUNTA(账户总表!$A:$A)),INDEX(账户总表!$U:$U,COUNTA(账户总表!$A:$A))&lt;&gt;"是"),"现金不足且不允许转入",IF(AND(Z161="是",AB161&lt;=0),"转入金额未满足",""))))))))))))</f>
        <v/>
      </c>
      <c r="AE161" s="9"/>
      <c r="AF161" s="1" t="str">
        <f aca="false">IF($A161="","",D161*100)</f>
        <v/>
      </c>
      <c r="AG161" s="1" t="str">
        <f aca="false">IF($A161="","",IFERROR(AF161/INDEX(账户总表!$B:$B,COUNTA(账户总表!$A:$A)),0))</f>
        <v/>
      </c>
      <c r="AH161" s="1" t="str">
        <f aca="false">IF($A161="","",IFERROR(INDEX(账户总表!$B:$B,COUNTA(账户总表!$A:$A))*INDEX(账户总表!$O:$O,COUNTA(账户总表!$A:$A)),0))</f>
        <v/>
      </c>
      <c r="AI161" s="1" t="str">
        <f aca="false">IF($A161="","",IF(AF161&gt;AH161,"超限","合规"))</f>
        <v/>
      </c>
      <c r="AJ161" s="1" t="str">
        <f aca="false">IF($A161="","",IFERROR(AF161/INDEX(账户总表!$O:$O,COUNTA(账户总表!$A:$A)),0))</f>
        <v/>
      </c>
      <c r="AK161" s="1" t="str">
        <f aca="false">IF($A161="","",IFERROR(MAX(0,AJ161-INDEX(账户总表!$B:$B,COUNTA(账户总表!$A:$A)),AF161-INDEX(账户总表!$C:$C,COUNTA(账户总表!$A:$A))),0))</f>
        <v/>
      </c>
      <c r="AL161" s="1" t="str">
        <f aca="false">IF($A161="","",IF(COUNTIF(持仓表!$C$2:$C$201,C161)&gt;0,"已有","新标的"))</f>
        <v/>
      </c>
      <c r="AM161" s="1" t="str">
        <f aca="false">IF($A161="","",IFERROR(SUMIFS(持仓表!$N$2:$N$201,持仓表!$C$2:$C$201,C161,持仓表!$A$2:$A$201,$A161),0))</f>
        <v/>
      </c>
      <c r="AN161" s="1" t="str">
        <f aca="false">IF($A161="","",IFERROR(AM161+AF161/INDEX(账户总表!$B:$B,COUNTA(账户总表!$A:$A)),0))</f>
        <v/>
      </c>
      <c r="AO161" s="1" t="str">
        <f aca="false">IF($A161="","",IF(AN161&gt;INDEX(账户总表!$O:$O,COUNTA(账户总表!$A:$A)),"超限","合规"))</f>
        <v/>
      </c>
      <c r="AP161" s="1" t="str">
        <f aca="false">IF($A161="","",IF(AND(AL161="新标的",INDEX(账户总表!$R:$R,COUNTA(账户总表!$A:$A))&gt;=INDEX(账户总表!$S:$S,COUNTA(账户总表!$A:$A))),"新增受限","可通过"))</f>
        <v/>
      </c>
      <c r="AQ161" s="1" t="str">
        <f aca="false">IF($A161="","",IF(K161&lt;&gt;"核心池","非核心池",IF(OR(AI161="超限",AO161="超限",AP161="新增受限"),"不可加仓","可加仓")))</f>
        <v/>
      </c>
      <c r="AR161" s="1" t="str">
        <f aca="false">IF($A161="","",TRIM(IF(AI161="超限","1手超单股上限；","")&amp;IF(AO161="超限","买后仓位超限；","")&amp;IF(AP161="新增受限","有效持仓数超限；","")&amp;IF(AF161&gt;INDEX(账户总表!$C:$C,COUNTA(账户总表!$A:$A)),"现金不足；","")))</f>
        <v/>
      </c>
      <c r="AS161" s="1" t="str">
        <f aca="false">IF($A161="","",IFERROR(INDEX(候选池历史!$L:$L,MATCH(1,(候选池历史!$B:$B=C161)*(候选池历史!$A:$A=$A161),0)),0))</f>
        <v/>
      </c>
      <c r="AT161" s="1" t="str">
        <f aca="false">IF($A161="","",IF(AS161&gt;=3,"★信号强化",IF(K161="核心池","核心观察","")))</f>
        <v/>
      </c>
      <c r="AU161" s="1" t="str">
        <f aca="false">IF($A161="","",IF(AK161&gt;30000-INDEX(账户总表!$B:$B,COUNTA(账户总表!$A:$A)),"不适合婴儿阶段","可纳入幼儿路径"))</f>
        <v/>
      </c>
    </row>
    <row r="162" customFormat="false" ht="15" hidden="false" customHeight="true" outlineLevel="0" collapsed="false">
      <c r="A162" s="32"/>
      <c r="B162" s="6"/>
      <c r="C162" s="6"/>
      <c r="D162" s="17"/>
      <c r="E162" s="17"/>
      <c r="F162" s="17"/>
      <c r="G162" s="22"/>
      <c r="H162" s="6"/>
      <c r="I162" s="13"/>
      <c r="J162" s="6"/>
      <c r="K162" s="5" t="str">
        <f aca="false">IF($A162="","",IF(AND(G162&lt;45%,H162&gt;=0.9),"A",IF(AND(G162&lt;60%,H162&gt;0.8),"B","C")))</f>
        <v/>
      </c>
      <c r="L162" s="5" t="str">
        <f aca="false">IF($A162="","",IF(AND(G162&lt;60%,H162&gt;0.8,I162="True"),"是","否"))</f>
        <v/>
      </c>
      <c r="M162" s="5" t="str">
        <f aca="false">IF($A162="","",IF(AND(D162&gt;0,E162&gt;0,D162&lt;=E162*1.02),"是","否"))</f>
        <v/>
      </c>
      <c r="N162" s="19" t="n">
        <f aca="false">IFERROR(INDEX(账户总表!$O:$O,COUNTA(账户总表!$A:$A)),0)</f>
        <v>0.35</v>
      </c>
      <c r="O162" s="18" t="n">
        <f aca="false">IFERROR(INDEX(账户总表!$B:$B,COUNTA(账户总表!$A:$A))*N162,0)</f>
        <v>7294.812</v>
      </c>
      <c r="P162" s="21" t="n">
        <f aca="false">IFERROR(O162/D162,0)</f>
        <v>0</v>
      </c>
      <c r="Q162" s="21" t="n">
        <f aca="false">IFERROR(FLOOR(P162,100),0)</f>
        <v>0</v>
      </c>
      <c r="R162" s="21" t="n">
        <f aca="false">IFERROR(CEILING(800/(100*D162),1)*100,0)</f>
        <v>0</v>
      </c>
      <c r="S162" s="20"/>
      <c r="T162" s="18" t="n">
        <f aca="false">IFERROR(S162*D162,0)</f>
        <v>0</v>
      </c>
      <c r="U162" s="19" t="n">
        <f aca="false">IFERROR(T162/INDEX(账户总表!$B:$B,COUNTA(账户总表!$A:$A)),0)</f>
        <v>0</v>
      </c>
      <c r="V162" s="19" t="n">
        <f aca="false">IFERROR(INDEX(账户总表!$E:$E,COUNTA(账户总表!$A:$A))+U162,0)</f>
        <v>0.407056412146057</v>
      </c>
      <c r="W162" s="5" t="str">
        <f aca="false">IF($A162="","",IFERROR(IF(V162&lt;=INDEX(账户总表!$N:$N,COUNTA(账户总表!$A:$A)),"是","否"),"否"))</f>
        <v/>
      </c>
      <c r="X162" s="18" t="str">
        <f aca="false">IF($A162="","",MAX(F162*0.98,D162*0.92))</f>
        <v/>
      </c>
      <c r="Y162" s="6"/>
      <c r="Z162" s="5" t="str">
        <f aca="false">IF($A162="","",IFERROR(IF(AND(T162&gt;INDEX(账户总表!$C:$C,COUNTA(账户总表!$A:$A)),L162="是"),"是","否"),"否"))</f>
        <v/>
      </c>
      <c r="AA162" s="18" t="str">
        <f aca="false">IF($A162="","",IFERROR(IF(Z162="是",MAX(0,T162-INDEX(账户总表!$C:$C,COUNTA(账户总表!$A:$A)),IF(N162&gt;0,T162/N162-INDEX(账户总表!$B:$B,COUNTA(账户总表!$A:$A)),0)),0),0))</f>
        <v/>
      </c>
      <c r="AB162" s="18" t="str">
        <f aca="false">IF($A162="","",IF(AND(Z162="是",INDEX(账户总表!$U:$U,COUNTA(账户总表!$A:$A))="是"),IF(INDEX(账户总表!$L:$L,COUNTA(账户总表!$A:$A))&gt;=4,AA162*1.5,AA162),0))</f>
        <v/>
      </c>
      <c r="AC162" s="5" t="str">
        <f aca="false">IF($A162="","",IF(AND(L162="是",Q162&gt;=R162,S162&lt;=Q162,S162&gt;=R162,W162="是",X162&gt;0,M162="是",INDEX(账户总表!$M:$M,COUNTA(账户总表!$A:$A))&lt;=2,INDEX(账户总表!$V:$V,COUNTA(账户总表!$A:$A))="是",OR(T162&lt;=INDEX(账户总表!$C:$C,COUNTA(账户总表!$A:$A)),AND(Z162="是",INDEX(账户总表!$U:$U,COUNTA(账户总表!$A:$A))="是",AB162&gt;0))),"是","否"))</f>
        <v/>
      </c>
      <c r="AD162" s="5" t="str">
        <f aca="false">IF($A162="","",IF(L162&lt;&gt;"是","信号未确认",IF(X162&lt;=0,"止损价未定义",IF(Q162&lt;R162,"100股约束不满足",IF(S162&gt;Q162,"计划股数超单股上限",IF(S162&lt;R162,"计划股数低于最小门槛",IF(W162&lt;&gt;"是","总仓位超限",IF(M162&lt;&gt;"是","追价",IF(INDEX(账户总表!$M:$M,COUNTA(账户总表!$A:$A))&gt;2,"亏钱效应偏高",IF(INDEX(账户总表!$V:$V,COUNTA(账户总表!$A:$A))&lt;&gt;"是","账户不允许新开仓",IF(AND(T162&gt;INDEX(账户总表!$C:$C,COUNTA(账户总表!$A:$A)),INDEX(账户总表!$U:$U,COUNTA(账户总表!$A:$A))&lt;&gt;"是"),"现金不足且不允许转入",IF(AND(Z162="是",AB162&lt;=0),"转入金额未满足",""))))))))))))</f>
        <v/>
      </c>
      <c r="AE162" s="6"/>
      <c r="AF162" s="1" t="str">
        <f aca="false">IF($A162="","",D162*100)</f>
        <v/>
      </c>
      <c r="AG162" s="1" t="str">
        <f aca="false">IF($A162="","",IFERROR(AF162/INDEX(账户总表!$B:$B,COUNTA(账户总表!$A:$A)),0))</f>
        <v/>
      </c>
      <c r="AH162" s="1" t="str">
        <f aca="false">IF($A162="","",IFERROR(INDEX(账户总表!$B:$B,COUNTA(账户总表!$A:$A))*INDEX(账户总表!$O:$O,COUNTA(账户总表!$A:$A)),0))</f>
        <v/>
      </c>
      <c r="AI162" s="1" t="str">
        <f aca="false">IF($A162="","",IF(AF162&gt;AH162,"超限","合规"))</f>
        <v/>
      </c>
      <c r="AJ162" s="1" t="str">
        <f aca="false">IF($A162="","",IFERROR(AF162/INDEX(账户总表!$O:$O,COUNTA(账户总表!$A:$A)),0))</f>
        <v/>
      </c>
      <c r="AK162" s="1" t="str">
        <f aca="false">IF($A162="","",IFERROR(MAX(0,AJ162-INDEX(账户总表!$B:$B,COUNTA(账户总表!$A:$A)),AF162-INDEX(账户总表!$C:$C,COUNTA(账户总表!$A:$A))),0))</f>
        <v/>
      </c>
      <c r="AL162" s="1" t="str">
        <f aca="false">IF($A162="","",IF(COUNTIF(持仓表!$C$2:$C$201,C162)&gt;0,"已有","新标的"))</f>
        <v/>
      </c>
      <c r="AM162" s="1" t="str">
        <f aca="false">IF($A162="","",IFERROR(SUMIFS(持仓表!$N$2:$N$201,持仓表!$C$2:$C$201,C162,持仓表!$A$2:$A$201,$A162),0))</f>
        <v/>
      </c>
      <c r="AN162" s="1" t="str">
        <f aca="false">IF($A162="","",IFERROR(AM162+AF162/INDEX(账户总表!$B:$B,COUNTA(账户总表!$A:$A)),0))</f>
        <v/>
      </c>
      <c r="AO162" s="1" t="str">
        <f aca="false">IF($A162="","",IF(AN162&gt;INDEX(账户总表!$O:$O,COUNTA(账户总表!$A:$A)),"超限","合规"))</f>
        <v/>
      </c>
      <c r="AP162" s="1" t="str">
        <f aca="false">IF($A162="","",IF(AND(AL162="新标的",INDEX(账户总表!$R:$R,COUNTA(账户总表!$A:$A))&gt;=INDEX(账户总表!$S:$S,COUNTA(账户总表!$A:$A))),"新增受限","可通过"))</f>
        <v/>
      </c>
      <c r="AQ162" s="1" t="str">
        <f aca="false">IF($A162="","",IF(K162&lt;&gt;"核心池","非核心池",IF(OR(AI162="超限",AO162="超限",AP162="新增受限"),"不可加仓","可加仓")))</f>
        <v/>
      </c>
      <c r="AR162" s="1" t="str">
        <f aca="false">IF($A162="","",TRIM(IF(AI162="超限","1手超单股上限；","")&amp;IF(AO162="超限","买后仓位超限；","")&amp;IF(AP162="新增受限","有效持仓数超限；","")&amp;IF(AF162&gt;INDEX(账户总表!$C:$C,COUNTA(账户总表!$A:$A)),"现金不足；","")))</f>
        <v/>
      </c>
      <c r="AS162" s="1" t="str">
        <f aca="false">IF($A162="","",IFERROR(INDEX(候选池历史!$L:$L,MATCH(1,(候选池历史!$B:$B=C162)*(候选池历史!$A:$A=$A162),0)),0))</f>
        <v/>
      </c>
      <c r="AT162" s="1" t="str">
        <f aca="false">IF($A162="","",IF(AS162&gt;=3,"★信号强化",IF(K162="核心池","核心观察","")))</f>
        <v/>
      </c>
      <c r="AU162" s="1" t="str">
        <f aca="false">IF($A162="","",IF(AK162&gt;30000-INDEX(账户总表!$B:$B,COUNTA(账户总表!$A:$A)),"不适合婴儿阶段","可纳入幼儿路径"))</f>
        <v/>
      </c>
    </row>
    <row r="163" customFormat="false" ht="15" hidden="false" customHeight="true" outlineLevel="0" collapsed="false">
      <c r="A163" s="31"/>
      <c r="B163" s="9"/>
      <c r="C163" s="9"/>
      <c r="D163" s="26"/>
      <c r="E163" s="26"/>
      <c r="F163" s="26"/>
      <c r="G163" s="28"/>
      <c r="H163" s="9"/>
      <c r="I163" s="14"/>
      <c r="J163" s="9"/>
      <c r="K163" s="5" t="str">
        <f aca="false">IF($A163="","",IF(AND(G163&lt;45%,H163&gt;=0.9),"A",IF(AND(G163&lt;60%,H163&gt;0.8),"B","C")))</f>
        <v/>
      </c>
      <c r="L163" s="5" t="str">
        <f aca="false">IF($A163="","",IF(AND(G163&lt;60%,H163&gt;0.8,I163="True"),"是","否"))</f>
        <v/>
      </c>
      <c r="M163" s="5" t="str">
        <f aca="false">IF($A163="","",IF(AND(D163&gt;0,E163&gt;0,D163&lt;=E163*1.02),"是","否"))</f>
        <v/>
      </c>
      <c r="N163" s="19" t="n">
        <f aca="false">IFERROR(INDEX(账户总表!$O:$O,COUNTA(账户总表!$A:$A)),0)</f>
        <v>0.35</v>
      </c>
      <c r="O163" s="18" t="n">
        <f aca="false">IFERROR(INDEX(账户总表!$B:$B,COUNTA(账户总表!$A:$A))*N163,0)</f>
        <v>7294.812</v>
      </c>
      <c r="P163" s="21" t="n">
        <f aca="false">IFERROR(O163/D163,0)</f>
        <v>0</v>
      </c>
      <c r="Q163" s="21" t="n">
        <f aca="false">IFERROR(FLOOR(P163,100),0)</f>
        <v>0</v>
      </c>
      <c r="R163" s="21" t="n">
        <f aca="false">IFERROR(CEILING(800/(100*D163),1)*100,0)</f>
        <v>0</v>
      </c>
      <c r="S163" s="27"/>
      <c r="T163" s="18" t="n">
        <f aca="false">IFERROR(S163*D163,0)</f>
        <v>0</v>
      </c>
      <c r="U163" s="19" t="n">
        <f aca="false">IFERROR(T163/INDEX(账户总表!$B:$B,COUNTA(账户总表!$A:$A)),0)</f>
        <v>0</v>
      </c>
      <c r="V163" s="19" t="n">
        <f aca="false">IFERROR(INDEX(账户总表!$E:$E,COUNTA(账户总表!$A:$A))+U163,0)</f>
        <v>0.407056412146057</v>
      </c>
      <c r="W163" s="5" t="str">
        <f aca="false">IF($A163="","",IFERROR(IF(V163&lt;=INDEX(账户总表!$N:$N,COUNTA(账户总表!$A:$A)),"是","否"),"否"))</f>
        <v/>
      </c>
      <c r="X163" s="18" t="str">
        <f aca="false">IF($A163="","",MAX(F163*0.98,D163*0.92))</f>
        <v/>
      </c>
      <c r="Y163" s="9"/>
      <c r="Z163" s="5" t="str">
        <f aca="false">IF($A163="","",IFERROR(IF(AND(T163&gt;INDEX(账户总表!$C:$C,COUNTA(账户总表!$A:$A)),L163="是"),"是","否"),"否"))</f>
        <v/>
      </c>
      <c r="AA163" s="18" t="str">
        <f aca="false">IF($A163="","",IFERROR(IF(Z163="是",MAX(0,T163-INDEX(账户总表!$C:$C,COUNTA(账户总表!$A:$A)),IF(N163&gt;0,T163/N163-INDEX(账户总表!$B:$B,COUNTA(账户总表!$A:$A)),0)),0),0))</f>
        <v/>
      </c>
      <c r="AB163" s="18" t="str">
        <f aca="false">IF($A163="","",IF(AND(Z163="是",INDEX(账户总表!$U:$U,COUNTA(账户总表!$A:$A))="是"),IF(INDEX(账户总表!$L:$L,COUNTA(账户总表!$A:$A))&gt;=4,AA163*1.5,AA163),0))</f>
        <v/>
      </c>
      <c r="AC163" s="5" t="str">
        <f aca="false">IF($A163="","",IF(AND(L163="是",Q163&gt;=R163,S163&lt;=Q163,S163&gt;=R163,W163="是",X163&gt;0,M163="是",INDEX(账户总表!$M:$M,COUNTA(账户总表!$A:$A))&lt;=2,INDEX(账户总表!$V:$V,COUNTA(账户总表!$A:$A))="是",OR(T163&lt;=INDEX(账户总表!$C:$C,COUNTA(账户总表!$A:$A)),AND(Z163="是",INDEX(账户总表!$U:$U,COUNTA(账户总表!$A:$A))="是",AB163&gt;0))),"是","否"))</f>
        <v/>
      </c>
      <c r="AD163" s="5" t="str">
        <f aca="false">IF($A163="","",IF(L163&lt;&gt;"是","信号未确认",IF(X163&lt;=0,"止损价未定义",IF(Q163&lt;R163,"100股约束不满足",IF(S163&gt;Q163,"计划股数超单股上限",IF(S163&lt;R163,"计划股数低于最小门槛",IF(W163&lt;&gt;"是","总仓位超限",IF(M163&lt;&gt;"是","追价",IF(INDEX(账户总表!$M:$M,COUNTA(账户总表!$A:$A))&gt;2,"亏钱效应偏高",IF(INDEX(账户总表!$V:$V,COUNTA(账户总表!$A:$A))&lt;&gt;"是","账户不允许新开仓",IF(AND(T163&gt;INDEX(账户总表!$C:$C,COUNTA(账户总表!$A:$A)),INDEX(账户总表!$U:$U,COUNTA(账户总表!$A:$A))&lt;&gt;"是"),"现金不足且不允许转入",IF(AND(Z163="是",AB163&lt;=0),"转入金额未满足",""))))))))))))</f>
        <v/>
      </c>
      <c r="AE163" s="9"/>
      <c r="AF163" s="1" t="str">
        <f aca="false">IF($A163="","",D163*100)</f>
        <v/>
      </c>
      <c r="AG163" s="1" t="str">
        <f aca="false">IF($A163="","",IFERROR(AF163/INDEX(账户总表!$B:$B,COUNTA(账户总表!$A:$A)),0))</f>
        <v/>
      </c>
      <c r="AH163" s="1" t="str">
        <f aca="false">IF($A163="","",IFERROR(INDEX(账户总表!$B:$B,COUNTA(账户总表!$A:$A))*INDEX(账户总表!$O:$O,COUNTA(账户总表!$A:$A)),0))</f>
        <v/>
      </c>
      <c r="AI163" s="1" t="str">
        <f aca="false">IF($A163="","",IF(AF163&gt;AH163,"超限","合规"))</f>
        <v/>
      </c>
      <c r="AJ163" s="1" t="str">
        <f aca="false">IF($A163="","",IFERROR(AF163/INDEX(账户总表!$O:$O,COUNTA(账户总表!$A:$A)),0))</f>
        <v/>
      </c>
      <c r="AK163" s="1" t="str">
        <f aca="false">IF($A163="","",IFERROR(MAX(0,AJ163-INDEX(账户总表!$B:$B,COUNTA(账户总表!$A:$A)),AF163-INDEX(账户总表!$C:$C,COUNTA(账户总表!$A:$A))),0))</f>
        <v/>
      </c>
      <c r="AL163" s="1" t="str">
        <f aca="false">IF($A163="","",IF(COUNTIF(持仓表!$C$2:$C$201,C163)&gt;0,"已有","新标的"))</f>
        <v/>
      </c>
      <c r="AM163" s="1" t="str">
        <f aca="false">IF($A163="","",IFERROR(SUMIFS(持仓表!$N$2:$N$201,持仓表!$C$2:$C$201,C163,持仓表!$A$2:$A$201,$A163),0))</f>
        <v/>
      </c>
      <c r="AN163" s="1" t="str">
        <f aca="false">IF($A163="","",IFERROR(AM163+AF163/INDEX(账户总表!$B:$B,COUNTA(账户总表!$A:$A)),0))</f>
        <v/>
      </c>
      <c r="AO163" s="1" t="str">
        <f aca="false">IF($A163="","",IF(AN163&gt;INDEX(账户总表!$O:$O,COUNTA(账户总表!$A:$A)),"超限","合规"))</f>
        <v/>
      </c>
      <c r="AP163" s="1" t="str">
        <f aca="false">IF($A163="","",IF(AND(AL163="新标的",INDEX(账户总表!$R:$R,COUNTA(账户总表!$A:$A))&gt;=INDEX(账户总表!$S:$S,COUNTA(账户总表!$A:$A))),"新增受限","可通过"))</f>
        <v/>
      </c>
      <c r="AQ163" s="1" t="str">
        <f aca="false">IF($A163="","",IF(K163&lt;&gt;"核心池","非核心池",IF(OR(AI163="超限",AO163="超限",AP163="新增受限"),"不可加仓","可加仓")))</f>
        <v/>
      </c>
      <c r="AR163" s="1" t="str">
        <f aca="false">IF($A163="","",TRIM(IF(AI163="超限","1手超单股上限；","")&amp;IF(AO163="超限","买后仓位超限；","")&amp;IF(AP163="新增受限","有效持仓数超限；","")&amp;IF(AF163&gt;INDEX(账户总表!$C:$C,COUNTA(账户总表!$A:$A)),"现金不足；","")))</f>
        <v/>
      </c>
      <c r="AS163" s="1" t="str">
        <f aca="false">IF($A163="","",IFERROR(INDEX(候选池历史!$L:$L,MATCH(1,(候选池历史!$B:$B=C163)*(候选池历史!$A:$A=$A163),0)),0))</f>
        <v/>
      </c>
      <c r="AT163" s="1" t="str">
        <f aca="false">IF($A163="","",IF(AS163&gt;=3,"★信号强化",IF(K163="核心池","核心观察","")))</f>
        <v/>
      </c>
      <c r="AU163" s="1" t="str">
        <f aca="false">IF($A163="","",IF(AK163&gt;30000-INDEX(账户总表!$B:$B,COUNTA(账户总表!$A:$A)),"不适合婴儿阶段","可纳入幼儿路径"))</f>
        <v/>
      </c>
    </row>
    <row r="164" customFormat="false" ht="15" hidden="false" customHeight="true" outlineLevel="0" collapsed="false">
      <c r="A164" s="32"/>
      <c r="B164" s="6"/>
      <c r="C164" s="6"/>
      <c r="D164" s="17"/>
      <c r="E164" s="17"/>
      <c r="F164" s="17"/>
      <c r="G164" s="22"/>
      <c r="H164" s="6"/>
      <c r="I164" s="13"/>
      <c r="J164" s="6"/>
      <c r="K164" s="5" t="str">
        <f aca="false">IF($A164="","",IF(AND(G164&lt;45%,H164&gt;=0.9),"A",IF(AND(G164&lt;60%,H164&gt;0.8),"B","C")))</f>
        <v/>
      </c>
      <c r="L164" s="5" t="str">
        <f aca="false">IF($A164="","",IF(AND(G164&lt;60%,H164&gt;0.8,I164="True"),"是","否"))</f>
        <v/>
      </c>
      <c r="M164" s="5" t="str">
        <f aca="false">IF($A164="","",IF(AND(D164&gt;0,E164&gt;0,D164&lt;=E164*1.02),"是","否"))</f>
        <v/>
      </c>
      <c r="N164" s="19" t="n">
        <f aca="false">IFERROR(INDEX(账户总表!$O:$O,COUNTA(账户总表!$A:$A)),0)</f>
        <v>0.35</v>
      </c>
      <c r="O164" s="18" t="n">
        <f aca="false">IFERROR(INDEX(账户总表!$B:$B,COUNTA(账户总表!$A:$A))*N164,0)</f>
        <v>7294.812</v>
      </c>
      <c r="P164" s="21" t="n">
        <f aca="false">IFERROR(O164/D164,0)</f>
        <v>0</v>
      </c>
      <c r="Q164" s="21" t="n">
        <f aca="false">IFERROR(FLOOR(P164,100),0)</f>
        <v>0</v>
      </c>
      <c r="R164" s="21" t="n">
        <f aca="false">IFERROR(CEILING(800/(100*D164),1)*100,0)</f>
        <v>0</v>
      </c>
      <c r="S164" s="20"/>
      <c r="T164" s="18" t="n">
        <f aca="false">IFERROR(S164*D164,0)</f>
        <v>0</v>
      </c>
      <c r="U164" s="19" t="n">
        <f aca="false">IFERROR(T164/INDEX(账户总表!$B:$B,COUNTA(账户总表!$A:$A)),0)</f>
        <v>0</v>
      </c>
      <c r="V164" s="19" t="n">
        <f aca="false">IFERROR(INDEX(账户总表!$E:$E,COUNTA(账户总表!$A:$A))+U164,0)</f>
        <v>0.407056412146057</v>
      </c>
      <c r="W164" s="5" t="str">
        <f aca="false">IF($A164="","",IFERROR(IF(V164&lt;=INDEX(账户总表!$N:$N,COUNTA(账户总表!$A:$A)),"是","否"),"否"))</f>
        <v/>
      </c>
      <c r="X164" s="18" t="str">
        <f aca="false">IF($A164="","",MAX(F164*0.98,D164*0.92))</f>
        <v/>
      </c>
      <c r="Y164" s="6"/>
      <c r="Z164" s="5" t="str">
        <f aca="false">IF($A164="","",IFERROR(IF(AND(T164&gt;INDEX(账户总表!$C:$C,COUNTA(账户总表!$A:$A)),L164="是"),"是","否"),"否"))</f>
        <v/>
      </c>
      <c r="AA164" s="18" t="str">
        <f aca="false">IF($A164="","",IFERROR(IF(Z164="是",MAX(0,T164-INDEX(账户总表!$C:$C,COUNTA(账户总表!$A:$A)),IF(N164&gt;0,T164/N164-INDEX(账户总表!$B:$B,COUNTA(账户总表!$A:$A)),0)),0),0))</f>
        <v/>
      </c>
      <c r="AB164" s="18" t="str">
        <f aca="false">IF($A164="","",IF(AND(Z164="是",INDEX(账户总表!$U:$U,COUNTA(账户总表!$A:$A))="是"),IF(INDEX(账户总表!$L:$L,COUNTA(账户总表!$A:$A))&gt;=4,AA164*1.5,AA164),0))</f>
        <v/>
      </c>
      <c r="AC164" s="5" t="str">
        <f aca="false">IF($A164="","",IF(AND(L164="是",Q164&gt;=R164,S164&lt;=Q164,S164&gt;=R164,W164="是",X164&gt;0,M164="是",INDEX(账户总表!$M:$M,COUNTA(账户总表!$A:$A))&lt;=2,INDEX(账户总表!$V:$V,COUNTA(账户总表!$A:$A))="是",OR(T164&lt;=INDEX(账户总表!$C:$C,COUNTA(账户总表!$A:$A)),AND(Z164="是",INDEX(账户总表!$U:$U,COUNTA(账户总表!$A:$A))="是",AB164&gt;0))),"是","否"))</f>
        <v/>
      </c>
      <c r="AD164" s="5" t="str">
        <f aca="false">IF($A164="","",IF(L164&lt;&gt;"是","信号未确认",IF(X164&lt;=0,"止损价未定义",IF(Q164&lt;R164,"100股约束不满足",IF(S164&gt;Q164,"计划股数超单股上限",IF(S164&lt;R164,"计划股数低于最小门槛",IF(W164&lt;&gt;"是","总仓位超限",IF(M164&lt;&gt;"是","追价",IF(INDEX(账户总表!$M:$M,COUNTA(账户总表!$A:$A))&gt;2,"亏钱效应偏高",IF(INDEX(账户总表!$V:$V,COUNTA(账户总表!$A:$A))&lt;&gt;"是","账户不允许新开仓",IF(AND(T164&gt;INDEX(账户总表!$C:$C,COUNTA(账户总表!$A:$A)),INDEX(账户总表!$U:$U,COUNTA(账户总表!$A:$A))&lt;&gt;"是"),"现金不足且不允许转入",IF(AND(Z164="是",AB164&lt;=0),"转入金额未满足",""))))))))))))</f>
        <v/>
      </c>
      <c r="AE164" s="6"/>
      <c r="AF164" s="1" t="str">
        <f aca="false">IF($A164="","",D164*100)</f>
        <v/>
      </c>
      <c r="AG164" s="1" t="str">
        <f aca="false">IF($A164="","",IFERROR(AF164/INDEX(账户总表!$B:$B,COUNTA(账户总表!$A:$A)),0))</f>
        <v/>
      </c>
      <c r="AH164" s="1" t="str">
        <f aca="false">IF($A164="","",IFERROR(INDEX(账户总表!$B:$B,COUNTA(账户总表!$A:$A))*INDEX(账户总表!$O:$O,COUNTA(账户总表!$A:$A)),0))</f>
        <v/>
      </c>
      <c r="AI164" s="1" t="str">
        <f aca="false">IF($A164="","",IF(AF164&gt;AH164,"超限","合规"))</f>
        <v/>
      </c>
      <c r="AJ164" s="1" t="str">
        <f aca="false">IF($A164="","",IFERROR(AF164/INDEX(账户总表!$O:$O,COUNTA(账户总表!$A:$A)),0))</f>
        <v/>
      </c>
      <c r="AK164" s="1" t="str">
        <f aca="false">IF($A164="","",IFERROR(MAX(0,AJ164-INDEX(账户总表!$B:$B,COUNTA(账户总表!$A:$A)),AF164-INDEX(账户总表!$C:$C,COUNTA(账户总表!$A:$A))),0))</f>
        <v/>
      </c>
      <c r="AL164" s="1" t="str">
        <f aca="false">IF($A164="","",IF(COUNTIF(持仓表!$C$2:$C$201,C164)&gt;0,"已有","新标的"))</f>
        <v/>
      </c>
      <c r="AM164" s="1" t="str">
        <f aca="false">IF($A164="","",IFERROR(SUMIFS(持仓表!$N$2:$N$201,持仓表!$C$2:$C$201,C164,持仓表!$A$2:$A$201,$A164),0))</f>
        <v/>
      </c>
      <c r="AN164" s="1" t="str">
        <f aca="false">IF($A164="","",IFERROR(AM164+AF164/INDEX(账户总表!$B:$B,COUNTA(账户总表!$A:$A)),0))</f>
        <v/>
      </c>
      <c r="AO164" s="1" t="str">
        <f aca="false">IF($A164="","",IF(AN164&gt;INDEX(账户总表!$O:$O,COUNTA(账户总表!$A:$A)),"超限","合规"))</f>
        <v/>
      </c>
      <c r="AP164" s="1" t="str">
        <f aca="false">IF($A164="","",IF(AND(AL164="新标的",INDEX(账户总表!$R:$R,COUNTA(账户总表!$A:$A))&gt;=INDEX(账户总表!$S:$S,COUNTA(账户总表!$A:$A))),"新增受限","可通过"))</f>
        <v/>
      </c>
      <c r="AQ164" s="1" t="str">
        <f aca="false">IF($A164="","",IF(K164&lt;&gt;"核心池","非核心池",IF(OR(AI164="超限",AO164="超限",AP164="新增受限"),"不可加仓","可加仓")))</f>
        <v/>
      </c>
      <c r="AR164" s="1" t="str">
        <f aca="false">IF($A164="","",TRIM(IF(AI164="超限","1手超单股上限；","")&amp;IF(AO164="超限","买后仓位超限；","")&amp;IF(AP164="新增受限","有效持仓数超限；","")&amp;IF(AF164&gt;INDEX(账户总表!$C:$C,COUNTA(账户总表!$A:$A)),"现金不足；","")))</f>
        <v/>
      </c>
      <c r="AS164" s="1" t="str">
        <f aca="false">IF($A164="","",IFERROR(INDEX(候选池历史!$L:$L,MATCH(1,(候选池历史!$B:$B=C164)*(候选池历史!$A:$A=$A164),0)),0))</f>
        <v/>
      </c>
      <c r="AT164" s="1" t="str">
        <f aca="false">IF($A164="","",IF(AS164&gt;=3,"★信号强化",IF(K164="核心池","核心观察","")))</f>
        <v/>
      </c>
      <c r="AU164" s="1" t="str">
        <f aca="false">IF($A164="","",IF(AK164&gt;30000-INDEX(账户总表!$B:$B,COUNTA(账户总表!$A:$A)),"不适合婴儿阶段","可纳入幼儿路径"))</f>
        <v/>
      </c>
    </row>
    <row r="165" customFormat="false" ht="15" hidden="false" customHeight="true" outlineLevel="0" collapsed="false">
      <c r="A165" s="31"/>
      <c r="B165" s="9"/>
      <c r="C165" s="9"/>
      <c r="D165" s="26"/>
      <c r="E165" s="26"/>
      <c r="F165" s="26"/>
      <c r="G165" s="28"/>
      <c r="H165" s="9"/>
      <c r="I165" s="14"/>
      <c r="J165" s="9"/>
      <c r="K165" s="5" t="str">
        <f aca="false">IF($A165="","",IF(AND(G165&lt;45%,H165&gt;=0.9),"A",IF(AND(G165&lt;60%,H165&gt;0.8),"B","C")))</f>
        <v/>
      </c>
      <c r="L165" s="5" t="str">
        <f aca="false">IF($A165="","",IF(AND(G165&lt;60%,H165&gt;0.8,I165="True"),"是","否"))</f>
        <v/>
      </c>
      <c r="M165" s="5" t="str">
        <f aca="false">IF($A165="","",IF(AND(D165&gt;0,E165&gt;0,D165&lt;=E165*1.02),"是","否"))</f>
        <v/>
      </c>
      <c r="N165" s="19" t="n">
        <f aca="false">IFERROR(INDEX(账户总表!$O:$O,COUNTA(账户总表!$A:$A)),0)</f>
        <v>0.35</v>
      </c>
      <c r="O165" s="18" t="n">
        <f aca="false">IFERROR(INDEX(账户总表!$B:$B,COUNTA(账户总表!$A:$A))*N165,0)</f>
        <v>7294.812</v>
      </c>
      <c r="P165" s="21" t="n">
        <f aca="false">IFERROR(O165/D165,0)</f>
        <v>0</v>
      </c>
      <c r="Q165" s="21" t="n">
        <f aca="false">IFERROR(FLOOR(P165,100),0)</f>
        <v>0</v>
      </c>
      <c r="R165" s="21" t="n">
        <f aca="false">IFERROR(CEILING(800/(100*D165),1)*100,0)</f>
        <v>0</v>
      </c>
      <c r="S165" s="27"/>
      <c r="T165" s="18" t="n">
        <f aca="false">IFERROR(S165*D165,0)</f>
        <v>0</v>
      </c>
      <c r="U165" s="19" t="n">
        <f aca="false">IFERROR(T165/INDEX(账户总表!$B:$B,COUNTA(账户总表!$A:$A)),0)</f>
        <v>0</v>
      </c>
      <c r="V165" s="19" t="n">
        <f aca="false">IFERROR(INDEX(账户总表!$E:$E,COUNTA(账户总表!$A:$A))+U165,0)</f>
        <v>0.407056412146057</v>
      </c>
      <c r="W165" s="5" t="str">
        <f aca="false">IF($A165="","",IFERROR(IF(V165&lt;=INDEX(账户总表!$N:$N,COUNTA(账户总表!$A:$A)),"是","否"),"否"))</f>
        <v/>
      </c>
      <c r="X165" s="18" t="str">
        <f aca="false">IF($A165="","",MAX(F165*0.98,D165*0.92))</f>
        <v/>
      </c>
      <c r="Y165" s="9"/>
      <c r="Z165" s="5" t="str">
        <f aca="false">IF($A165="","",IFERROR(IF(AND(T165&gt;INDEX(账户总表!$C:$C,COUNTA(账户总表!$A:$A)),L165="是"),"是","否"),"否"))</f>
        <v/>
      </c>
      <c r="AA165" s="18" t="str">
        <f aca="false">IF($A165="","",IFERROR(IF(Z165="是",MAX(0,T165-INDEX(账户总表!$C:$C,COUNTA(账户总表!$A:$A)),IF(N165&gt;0,T165/N165-INDEX(账户总表!$B:$B,COUNTA(账户总表!$A:$A)),0)),0),0))</f>
        <v/>
      </c>
      <c r="AB165" s="18" t="str">
        <f aca="false">IF($A165="","",IF(AND(Z165="是",INDEX(账户总表!$U:$U,COUNTA(账户总表!$A:$A))="是"),IF(INDEX(账户总表!$L:$L,COUNTA(账户总表!$A:$A))&gt;=4,AA165*1.5,AA165),0))</f>
        <v/>
      </c>
      <c r="AC165" s="5" t="str">
        <f aca="false">IF($A165="","",IF(AND(L165="是",Q165&gt;=R165,S165&lt;=Q165,S165&gt;=R165,W165="是",X165&gt;0,M165="是",INDEX(账户总表!$M:$M,COUNTA(账户总表!$A:$A))&lt;=2,INDEX(账户总表!$V:$V,COUNTA(账户总表!$A:$A))="是",OR(T165&lt;=INDEX(账户总表!$C:$C,COUNTA(账户总表!$A:$A)),AND(Z165="是",INDEX(账户总表!$U:$U,COUNTA(账户总表!$A:$A))="是",AB165&gt;0))),"是","否"))</f>
        <v/>
      </c>
      <c r="AD165" s="5" t="str">
        <f aca="false">IF($A165="","",IF(L165&lt;&gt;"是","信号未确认",IF(X165&lt;=0,"止损价未定义",IF(Q165&lt;R165,"100股约束不满足",IF(S165&gt;Q165,"计划股数超单股上限",IF(S165&lt;R165,"计划股数低于最小门槛",IF(W165&lt;&gt;"是","总仓位超限",IF(M165&lt;&gt;"是","追价",IF(INDEX(账户总表!$M:$M,COUNTA(账户总表!$A:$A))&gt;2,"亏钱效应偏高",IF(INDEX(账户总表!$V:$V,COUNTA(账户总表!$A:$A))&lt;&gt;"是","账户不允许新开仓",IF(AND(T165&gt;INDEX(账户总表!$C:$C,COUNTA(账户总表!$A:$A)),INDEX(账户总表!$U:$U,COUNTA(账户总表!$A:$A))&lt;&gt;"是"),"现金不足且不允许转入",IF(AND(Z165="是",AB165&lt;=0),"转入金额未满足",""))))))))))))</f>
        <v/>
      </c>
      <c r="AE165" s="9"/>
      <c r="AF165" s="1" t="str">
        <f aca="false">IF($A165="","",D165*100)</f>
        <v/>
      </c>
      <c r="AG165" s="1" t="str">
        <f aca="false">IF($A165="","",IFERROR(AF165/INDEX(账户总表!$B:$B,COUNTA(账户总表!$A:$A)),0))</f>
        <v/>
      </c>
      <c r="AH165" s="1" t="str">
        <f aca="false">IF($A165="","",IFERROR(INDEX(账户总表!$B:$B,COUNTA(账户总表!$A:$A))*INDEX(账户总表!$O:$O,COUNTA(账户总表!$A:$A)),0))</f>
        <v/>
      </c>
      <c r="AI165" s="1" t="str">
        <f aca="false">IF($A165="","",IF(AF165&gt;AH165,"超限","合规"))</f>
        <v/>
      </c>
      <c r="AJ165" s="1" t="str">
        <f aca="false">IF($A165="","",IFERROR(AF165/INDEX(账户总表!$O:$O,COUNTA(账户总表!$A:$A)),0))</f>
        <v/>
      </c>
      <c r="AK165" s="1" t="str">
        <f aca="false">IF($A165="","",IFERROR(MAX(0,AJ165-INDEX(账户总表!$B:$B,COUNTA(账户总表!$A:$A)),AF165-INDEX(账户总表!$C:$C,COUNTA(账户总表!$A:$A))),0))</f>
        <v/>
      </c>
      <c r="AL165" s="1" t="str">
        <f aca="false">IF($A165="","",IF(COUNTIF(持仓表!$C$2:$C$201,C165)&gt;0,"已有","新标的"))</f>
        <v/>
      </c>
      <c r="AM165" s="1" t="str">
        <f aca="false">IF($A165="","",IFERROR(SUMIFS(持仓表!$N$2:$N$201,持仓表!$C$2:$C$201,C165,持仓表!$A$2:$A$201,$A165),0))</f>
        <v/>
      </c>
      <c r="AN165" s="1" t="str">
        <f aca="false">IF($A165="","",IFERROR(AM165+AF165/INDEX(账户总表!$B:$B,COUNTA(账户总表!$A:$A)),0))</f>
        <v/>
      </c>
      <c r="AO165" s="1" t="str">
        <f aca="false">IF($A165="","",IF(AN165&gt;INDEX(账户总表!$O:$O,COUNTA(账户总表!$A:$A)),"超限","合规"))</f>
        <v/>
      </c>
      <c r="AP165" s="1" t="str">
        <f aca="false">IF($A165="","",IF(AND(AL165="新标的",INDEX(账户总表!$R:$R,COUNTA(账户总表!$A:$A))&gt;=INDEX(账户总表!$S:$S,COUNTA(账户总表!$A:$A))),"新增受限","可通过"))</f>
        <v/>
      </c>
      <c r="AQ165" s="1" t="str">
        <f aca="false">IF($A165="","",IF(K165&lt;&gt;"核心池","非核心池",IF(OR(AI165="超限",AO165="超限",AP165="新增受限"),"不可加仓","可加仓")))</f>
        <v/>
      </c>
      <c r="AR165" s="1" t="str">
        <f aca="false">IF($A165="","",TRIM(IF(AI165="超限","1手超单股上限；","")&amp;IF(AO165="超限","买后仓位超限；","")&amp;IF(AP165="新增受限","有效持仓数超限；","")&amp;IF(AF165&gt;INDEX(账户总表!$C:$C,COUNTA(账户总表!$A:$A)),"现金不足；","")))</f>
        <v/>
      </c>
      <c r="AS165" s="1" t="str">
        <f aca="false">IF($A165="","",IFERROR(INDEX(候选池历史!$L:$L,MATCH(1,(候选池历史!$B:$B=C165)*(候选池历史!$A:$A=$A165),0)),0))</f>
        <v/>
      </c>
      <c r="AT165" s="1" t="str">
        <f aca="false">IF($A165="","",IF(AS165&gt;=3,"★信号强化",IF(K165="核心池","核心观察","")))</f>
        <v/>
      </c>
      <c r="AU165" s="1" t="str">
        <f aca="false">IF($A165="","",IF(AK165&gt;30000-INDEX(账户总表!$B:$B,COUNTA(账户总表!$A:$A)),"不适合婴儿阶段","可纳入幼儿路径"))</f>
        <v/>
      </c>
    </row>
    <row r="166" customFormat="false" ht="15" hidden="false" customHeight="true" outlineLevel="0" collapsed="false">
      <c r="A166" s="32"/>
      <c r="B166" s="6"/>
      <c r="C166" s="6"/>
      <c r="D166" s="17"/>
      <c r="E166" s="17"/>
      <c r="F166" s="17"/>
      <c r="G166" s="22"/>
      <c r="H166" s="6"/>
      <c r="I166" s="13"/>
      <c r="J166" s="6"/>
      <c r="K166" s="5" t="str">
        <f aca="false">IF($A166="","",IF(AND(G166&lt;45%,H166&gt;=0.9),"A",IF(AND(G166&lt;60%,H166&gt;0.8),"B","C")))</f>
        <v/>
      </c>
      <c r="L166" s="5" t="str">
        <f aca="false">IF($A166="","",IF(AND(G166&lt;60%,H166&gt;0.8,I166="True"),"是","否"))</f>
        <v/>
      </c>
      <c r="M166" s="5" t="str">
        <f aca="false">IF($A166="","",IF(AND(D166&gt;0,E166&gt;0,D166&lt;=E166*1.02),"是","否"))</f>
        <v/>
      </c>
      <c r="N166" s="19" t="n">
        <f aca="false">IFERROR(INDEX(账户总表!$O:$O,COUNTA(账户总表!$A:$A)),0)</f>
        <v>0.35</v>
      </c>
      <c r="O166" s="18" t="n">
        <f aca="false">IFERROR(INDEX(账户总表!$B:$B,COUNTA(账户总表!$A:$A))*N166,0)</f>
        <v>7294.812</v>
      </c>
      <c r="P166" s="21" t="n">
        <f aca="false">IFERROR(O166/D166,0)</f>
        <v>0</v>
      </c>
      <c r="Q166" s="21" t="n">
        <f aca="false">IFERROR(FLOOR(P166,100),0)</f>
        <v>0</v>
      </c>
      <c r="R166" s="21" t="n">
        <f aca="false">IFERROR(CEILING(800/(100*D166),1)*100,0)</f>
        <v>0</v>
      </c>
      <c r="S166" s="20"/>
      <c r="T166" s="18" t="n">
        <f aca="false">IFERROR(S166*D166,0)</f>
        <v>0</v>
      </c>
      <c r="U166" s="19" t="n">
        <f aca="false">IFERROR(T166/INDEX(账户总表!$B:$B,COUNTA(账户总表!$A:$A)),0)</f>
        <v>0</v>
      </c>
      <c r="V166" s="19" t="n">
        <f aca="false">IFERROR(INDEX(账户总表!$E:$E,COUNTA(账户总表!$A:$A))+U166,0)</f>
        <v>0.407056412146057</v>
      </c>
      <c r="W166" s="5" t="str">
        <f aca="false">IF($A166="","",IFERROR(IF(V166&lt;=INDEX(账户总表!$N:$N,COUNTA(账户总表!$A:$A)),"是","否"),"否"))</f>
        <v/>
      </c>
      <c r="X166" s="18" t="str">
        <f aca="false">IF($A166="","",MAX(F166*0.98,D166*0.92))</f>
        <v/>
      </c>
      <c r="Y166" s="6"/>
      <c r="Z166" s="5" t="str">
        <f aca="false">IF($A166="","",IFERROR(IF(AND(T166&gt;INDEX(账户总表!$C:$C,COUNTA(账户总表!$A:$A)),L166="是"),"是","否"),"否"))</f>
        <v/>
      </c>
      <c r="AA166" s="18" t="str">
        <f aca="false">IF($A166="","",IFERROR(IF(Z166="是",MAX(0,T166-INDEX(账户总表!$C:$C,COUNTA(账户总表!$A:$A)),IF(N166&gt;0,T166/N166-INDEX(账户总表!$B:$B,COUNTA(账户总表!$A:$A)),0)),0),0))</f>
        <v/>
      </c>
      <c r="AB166" s="18" t="str">
        <f aca="false">IF($A166="","",IF(AND(Z166="是",INDEX(账户总表!$U:$U,COUNTA(账户总表!$A:$A))="是"),IF(INDEX(账户总表!$L:$L,COUNTA(账户总表!$A:$A))&gt;=4,AA166*1.5,AA166),0))</f>
        <v/>
      </c>
      <c r="AC166" s="5" t="str">
        <f aca="false">IF($A166="","",IF(AND(L166="是",Q166&gt;=R166,S166&lt;=Q166,S166&gt;=R166,W166="是",X166&gt;0,M166="是",INDEX(账户总表!$M:$M,COUNTA(账户总表!$A:$A))&lt;=2,INDEX(账户总表!$V:$V,COUNTA(账户总表!$A:$A))="是",OR(T166&lt;=INDEX(账户总表!$C:$C,COUNTA(账户总表!$A:$A)),AND(Z166="是",INDEX(账户总表!$U:$U,COUNTA(账户总表!$A:$A))="是",AB166&gt;0))),"是","否"))</f>
        <v/>
      </c>
      <c r="AD166" s="5" t="str">
        <f aca="false">IF($A166="","",IF(L166&lt;&gt;"是","信号未确认",IF(X166&lt;=0,"止损价未定义",IF(Q166&lt;R166,"100股约束不满足",IF(S166&gt;Q166,"计划股数超单股上限",IF(S166&lt;R166,"计划股数低于最小门槛",IF(W166&lt;&gt;"是","总仓位超限",IF(M166&lt;&gt;"是","追价",IF(INDEX(账户总表!$M:$M,COUNTA(账户总表!$A:$A))&gt;2,"亏钱效应偏高",IF(INDEX(账户总表!$V:$V,COUNTA(账户总表!$A:$A))&lt;&gt;"是","账户不允许新开仓",IF(AND(T166&gt;INDEX(账户总表!$C:$C,COUNTA(账户总表!$A:$A)),INDEX(账户总表!$U:$U,COUNTA(账户总表!$A:$A))&lt;&gt;"是"),"现金不足且不允许转入",IF(AND(Z166="是",AB166&lt;=0),"转入金额未满足",""))))))))))))</f>
        <v/>
      </c>
      <c r="AE166" s="6"/>
      <c r="AF166" s="1" t="str">
        <f aca="false">IF($A166="","",D166*100)</f>
        <v/>
      </c>
      <c r="AG166" s="1" t="str">
        <f aca="false">IF($A166="","",IFERROR(AF166/INDEX(账户总表!$B:$B,COUNTA(账户总表!$A:$A)),0))</f>
        <v/>
      </c>
      <c r="AH166" s="1" t="str">
        <f aca="false">IF($A166="","",IFERROR(INDEX(账户总表!$B:$B,COUNTA(账户总表!$A:$A))*INDEX(账户总表!$O:$O,COUNTA(账户总表!$A:$A)),0))</f>
        <v/>
      </c>
      <c r="AI166" s="1" t="str">
        <f aca="false">IF($A166="","",IF(AF166&gt;AH166,"超限","合规"))</f>
        <v/>
      </c>
      <c r="AJ166" s="1" t="str">
        <f aca="false">IF($A166="","",IFERROR(AF166/INDEX(账户总表!$O:$O,COUNTA(账户总表!$A:$A)),0))</f>
        <v/>
      </c>
      <c r="AK166" s="1" t="str">
        <f aca="false">IF($A166="","",IFERROR(MAX(0,AJ166-INDEX(账户总表!$B:$B,COUNTA(账户总表!$A:$A)),AF166-INDEX(账户总表!$C:$C,COUNTA(账户总表!$A:$A))),0))</f>
        <v/>
      </c>
      <c r="AL166" s="1" t="str">
        <f aca="false">IF($A166="","",IF(COUNTIF(持仓表!$C$2:$C$201,C166)&gt;0,"已有","新标的"))</f>
        <v/>
      </c>
      <c r="AM166" s="1" t="str">
        <f aca="false">IF($A166="","",IFERROR(SUMIFS(持仓表!$N$2:$N$201,持仓表!$C$2:$C$201,C166,持仓表!$A$2:$A$201,$A166),0))</f>
        <v/>
      </c>
      <c r="AN166" s="1" t="str">
        <f aca="false">IF($A166="","",IFERROR(AM166+AF166/INDEX(账户总表!$B:$B,COUNTA(账户总表!$A:$A)),0))</f>
        <v/>
      </c>
      <c r="AO166" s="1" t="str">
        <f aca="false">IF($A166="","",IF(AN166&gt;INDEX(账户总表!$O:$O,COUNTA(账户总表!$A:$A)),"超限","合规"))</f>
        <v/>
      </c>
      <c r="AP166" s="1" t="str">
        <f aca="false">IF($A166="","",IF(AND(AL166="新标的",INDEX(账户总表!$R:$R,COUNTA(账户总表!$A:$A))&gt;=INDEX(账户总表!$S:$S,COUNTA(账户总表!$A:$A))),"新增受限","可通过"))</f>
        <v/>
      </c>
      <c r="AQ166" s="1" t="str">
        <f aca="false">IF($A166="","",IF(K166&lt;&gt;"核心池","非核心池",IF(OR(AI166="超限",AO166="超限",AP166="新增受限"),"不可加仓","可加仓")))</f>
        <v/>
      </c>
      <c r="AR166" s="1" t="str">
        <f aca="false">IF($A166="","",TRIM(IF(AI166="超限","1手超单股上限；","")&amp;IF(AO166="超限","买后仓位超限；","")&amp;IF(AP166="新增受限","有效持仓数超限；","")&amp;IF(AF166&gt;INDEX(账户总表!$C:$C,COUNTA(账户总表!$A:$A)),"现金不足；","")))</f>
        <v/>
      </c>
      <c r="AS166" s="1" t="str">
        <f aca="false">IF($A166="","",IFERROR(INDEX(候选池历史!$L:$L,MATCH(1,(候选池历史!$B:$B=C166)*(候选池历史!$A:$A=$A166),0)),0))</f>
        <v/>
      </c>
      <c r="AT166" s="1" t="str">
        <f aca="false">IF($A166="","",IF(AS166&gt;=3,"★信号强化",IF(K166="核心池","核心观察","")))</f>
        <v/>
      </c>
      <c r="AU166" s="1" t="str">
        <f aca="false">IF($A166="","",IF(AK166&gt;30000-INDEX(账户总表!$B:$B,COUNTA(账户总表!$A:$A)),"不适合婴儿阶段","可纳入幼儿路径"))</f>
        <v/>
      </c>
    </row>
    <row r="167" customFormat="false" ht="15" hidden="false" customHeight="true" outlineLevel="0" collapsed="false">
      <c r="A167" s="31"/>
      <c r="B167" s="9"/>
      <c r="C167" s="9"/>
      <c r="D167" s="26"/>
      <c r="E167" s="26"/>
      <c r="F167" s="26"/>
      <c r="G167" s="28"/>
      <c r="H167" s="9"/>
      <c r="I167" s="14"/>
      <c r="J167" s="9"/>
      <c r="K167" s="5" t="str">
        <f aca="false">IF($A167="","",IF(AND(G167&lt;45%,H167&gt;=0.9),"A",IF(AND(G167&lt;60%,H167&gt;0.8),"B","C")))</f>
        <v/>
      </c>
      <c r="L167" s="5" t="str">
        <f aca="false">IF($A167="","",IF(AND(G167&lt;60%,H167&gt;0.8,I167="True"),"是","否"))</f>
        <v/>
      </c>
      <c r="M167" s="5" t="str">
        <f aca="false">IF($A167="","",IF(AND(D167&gt;0,E167&gt;0,D167&lt;=E167*1.02),"是","否"))</f>
        <v/>
      </c>
      <c r="N167" s="19" t="n">
        <f aca="false">IFERROR(INDEX(账户总表!$O:$O,COUNTA(账户总表!$A:$A)),0)</f>
        <v>0.35</v>
      </c>
      <c r="O167" s="18" t="n">
        <f aca="false">IFERROR(INDEX(账户总表!$B:$B,COUNTA(账户总表!$A:$A))*N167,0)</f>
        <v>7294.812</v>
      </c>
      <c r="P167" s="21" t="n">
        <f aca="false">IFERROR(O167/D167,0)</f>
        <v>0</v>
      </c>
      <c r="Q167" s="21" t="n">
        <f aca="false">IFERROR(FLOOR(P167,100),0)</f>
        <v>0</v>
      </c>
      <c r="R167" s="21" t="n">
        <f aca="false">IFERROR(CEILING(800/(100*D167),1)*100,0)</f>
        <v>0</v>
      </c>
      <c r="S167" s="27"/>
      <c r="T167" s="18" t="n">
        <f aca="false">IFERROR(S167*D167,0)</f>
        <v>0</v>
      </c>
      <c r="U167" s="19" t="n">
        <f aca="false">IFERROR(T167/INDEX(账户总表!$B:$B,COUNTA(账户总表!$A:$A)),0)</f>
        <v>0</v>
      </c>
      <c r="V167" s="19" t="n">
        <f aca="false">IFERROR(INDEX(账户总表!$E:$E,COUNTA(账户总表!$A:$A))+U167,0)</f>
        <v>0.407056412146057</v>
      </c>
      <c r="W167" s="5" t="str">
        <f aca="false">IF($A167="","",IFERROR(IF(V167&lt;=INDEX(账户总表!$N:$N,COUNTA(账户总表!$A:$A)),"是","否"),"否"))</f>
        <v/>
      </c>
      <c r="X167" s="18" t="str">
        <f aca="false">IF($A167="","",MAX(F167*0.98,D167*0.92))</f>
        <v/>
      </c>
      <c r="Y167" s="9"/>
      <c r="Z167" s="5" t="str">
        <f aca="false">IF($A167="","",IFERROR(IF(AND(T167&gt;INDEX(账户总表!$C:$C,COUNTA(账户总表!$A:$A)),L167="是"),"是","否"),"否"))</f>
        <v/>
      </c>
      <c r="AA167" s="18" t="str">
        <f aca="false">IF($A167="","",IFERROR(IF(Z167="是",MAX(0,T167-INDEX(账户总表!$C:$C,COUNTA(账户总表!$A:$A)),IF(N167&gt;0,T167/N167-INDEX(账户总表!$B:$B,COUNTA(账户总表!$A:$A)),0)),0),0))</f>
        <v/>
      </c>
      <c r="AB167" s="18" t="str">
        <f aca="false">IF($A167="","",IF(AND(Z167="是",INDEX(账户总表!$U:$U,COUNTA(账户总表!$A:$A))="是"),IF(INDEX(账户总表!$L:$L,COUNTA(账户总表!$A:$A))&gt;=4,AA167*1.5,AA167),0))</f>
        <v/>
      </c>
      <c r="AC167" s="5" t="str">
        <f aca="false">IF($A167="","",IF(AND(L167="是",Q167&gt;=R167,S167&lt;=Q167,S167&gt;=R167,W167="是",X167&gt;0,M167="是",INDEX(账户总表!$M:$M,COUNTA(账户总表!$A:$A))&lt;=2,INDEX(账户总表!$V:$V,COUNTA(账户总表!$A:$A))="是",OR(T167&lt;=INDEX(账户总表!$C:$C,COUNTA(账户总表!$A:$A)),AND(Z167="是",INDEX(账户总表!$U:$U,COUNTA(账户总表!$A:$A))="是",AB167&gt;0))),"是","否"))</f>
        <v/>
      </c>
      <c r="AD167" s="5" t="str">
        <f aca="false">IF($A167="","",IF(L167&lt;&gt;"是","信号未确认",IF(X167&lt;=0,"止损价未定义",IF(Q167&lt;R167,"100股约束不满足",IF(S167&gt;Q167,"计划股数超单股上限",IF(S167&lt;R167,"计划股数低于最小门槛",IF(W167&lt;&gt;"是","总仓位超限",IF(M167&lt;&gt;"是","追价",IF(INDEX(账户总表!$M:$M,COUNTA(账户总表!$A:$A))&gt;2,"亏钱效应偏高",IF(INDEX(账户总表!$V:$V,COUNTA(账户总表!$A:$A))&lt;&gt;"是","账户不允许新开仓",IF(AND(T167&gt;INDEX(账户总表!$C:$C,COUNTA(账户总表!$A:$A)),INDEX(账户总表!$U:$U,COUNTA(账户总表!$A:$A))&lt;&gt;"是"),"现金不足且不允许转入",IF(AND(Z167="是",AB167&lt;=0),"转入金额未满足",""))))))))))))</f>
        <v/>
      </c>
      <c r="AE167" s="9"/>
      <c r="AF167" s="1" t="str">
        <f aca="false">IF($A167="","",D167*100)</f>
        <v/>
      </c>
      <c r="AG167" s="1" t="str">
        <f aca="false">IF($A167="","",IFERROR(AF167/INDEX(账户总表!$B:$B,COUNTA(账户总表!$A:$A)),0))</f>
        <v/>
      </c>
      <c r="AH167" s="1" t="str">
        <f aca="false">IF($A167="","",IFERROR(INDEX(账户总表!$B:$B,COUNTA(账户总表!$A:$A))*INDEX(账户总表!$O:$O,COUNTA(账户总表!$A:$A)),0))</f>
        <v/>
      </c>
      <c r="AI167" s="1" t="str">
        <f aca="false">IF($A167="","",IF(AF167&gt;AH167,"超限","合规"))</f>
        <v/>
      </c>
      <c r="AJ167" s="1" t="str">
        <f aca="false">IF($A167="","",IFERROR(AF167/INDEX(账户总表!$O:$O,COUNTA(账户总表!$A:$A)),0))</f>
        <v/>
      </c>
      <c r="AK167" s="1" t="str">
        <f aca="false">IF($A167="","",IFERROR(MAX(0,AJ167-INDEX(账户总表!$B:$B,COUNTA(账户总表!$A:$A)),AF167-INDEX(账户总表!$C:$C,COUNTA(账户总表!$A:$A))),0))</f>
        <v/>
      </c>
      <c r="AL167" s="1" t="str">
        <f aca="false">IF($A167="","",IF(COUNTIF(持仓表!$C$2:$C$201,C167)&gt;0,"已有","新标的"))</f>
        <v/>
      </c>
      <c r="AM167" s="1" t="str">
        <f aca="false">IF($A167="","",IFERROR(SUMIFS(持仓表!$N$2:$N$201,持仓表!$C$2:$C$201,C167,持仓表!$A$2:$A$201,$A167),0))</f>
        <v/>
      </c>
      <c r="AN167" s="1" t="str">
        <f aca="false">IF($A167="","",IFERROR(AM167+AF167/INDEX(账户总表!$B:$B,COUNTA(账户总表!$A:$A)),0))</f>
        <v/>
      </c>
      <c r="AO167" s="1" t="str">
        <f aca="false">IF($A167="","",IF(AN167&gt;INDEX(账户总表!$O:$O,COUNTA(账户总表!$A:$A)),"超限","合规"))</f>
        <v/>
      </c>
      <c r="AP167" s="1" t="str">
        <f aca="false">IF($A167="","",IF(AND(AL167="新标的",INDEX(账户总表!$R:$R,COUNTA(账户总表!$A:$A))&gt;=INDEX(账户总表!$S:$S,COUNTA(账户总表!$A:$A))),"新增受限","可通过"))</f>
        <v/>
      </c>
      <c r="AQ167" s="1" t="str">
        <f aca="false">IF($A167="","",IF(K167&lt;&gt;"核心池","非核心池",IF(OR(AI167="超限",AO167="超限",AP167="新增受限"),"不可加仓","可加仓")))</f>
        <v/>
      </c>
      <c r="AR167" s="1" t="str">
        <f aca="false">IF($A167="","",TRIM(IF(AI167="超限","1手超单股上限；","")&amp;IF(AO167="超限","买后仓位超限；","")&amp;IF(AP167="新增受限","有效持仓数超限；","")&amp;IF(AF167&gt;INDEX(账户总表!$C:$C,COUNTA(账户总表!$A:$A)),"现金不足；","")))</f>
        <v/>
      </c>
      <c r="AS167" s="1" t="str">
        <f aca="false">IF($A167="","",IFERROR(INDEX(候选池历史!$L:$L,MATCH(1,(候选池历史!$B:$B=C167)*(候选池历史!$A:$A=$A167),0)),0))</f>
        <v/>
      </c>
      <c r="AT167" s="1" t="str">
        <f aca="false">IF($A167="","",IF(AS167&gt;=3,"★信号强化",IF(K167="核心池","核心观察","")))</f>
        <v/>
      </c>
      <c r="AU167" s="1" t="str">
        <f aca="false">IF($A167="","",IF(AK167&gt;30000-INDEX(账户总表!$B:$B,COUNTA(账户总表!$A:$A)),"不适合婴儿阶段","可纳入幼儿路径"))</f>
        <v/>
      </c>
    </row>
    <row r="168" customFormat="false" ht="15" hidden="false" customHeight="true" outlineLevel="0" collapsed="false">
      <c r="A168" s="6"/>
      <c r="B168" s="6"/>
      <c r="C168" s="6"/>
      <c r="D168" s="17"/>
      <c r="E168" s="17"/>
      <c r="F168" s="17"/>
      <c r="G168" s="22"/>
      <c r="H168" s="6"/>
      <c r="I168" s="13"/>
      <c r="J168" s="6"/>
      <c r="K168" s="5" t="str">
        <f aca="false">IF($A168="","",IF(AND(G168&lt;45%,H168&gt;=0.9),"A",IF(AND(G168&lt;60%,H168&gt;0.8),"B","C")))</f>
        <v/>
      </c>
      <c r="L168" s="5" t="str">
        <f aca="false">IF($A168="","",IF(AND(G168&lt;60%,H168&gt;0.8,I168="True"),"是","否"))</f>
        <v/>
      </c>
      <c r="M168" s="5" t="str">
        <f aca="false">IF($A168="","",IF(AND(D168&gt;0,E168&gt;0,D168&lt;=E168*1.02),"是","否"))</f>
        <v/>
      </c>
      <c r="N168" s="19" t="n">
        <f aca="false">IFERROR(INDEX(账户总表!$O:$O,COUNTA(账户总表!$A:$A)),0)</f>
        <v>0.35</v>
      </c>
      <c r="O168" s="18" t="n">
        <f aca="false">IFERROR(INDEX(账户总表!$B:$B,COUNTA(账户总表!$A:$A))*N168,0)</f>
        <v>7294.812</v>
      </c>
      <c r="P168" s="21" t="n">
        <f aca="false">IFERROR(O168/D168,0)</f>
        <v>0</v>
      </c>
      <c r="Q168" s="21" t="n">
        <f aca="false">IFERROR(FLOOR(P168,100),0)</f>
        <v>0</v>
      </c>
      <c r="R168" s="21" t="n">
        <f aca="false">IFERROR(CEILING(800/(100*D168),1)*100,0)</f>
        <v>0</v>
      </c>
      <c r="S168" s="20"/>
      <c r="T168" s="18" t="n">
        <f aca="false">IFERROR(S168*D168,0)</f>
        <v>0</v>
      </c>
      <c r="U168" s="19" t="n">
        <f aca="false">IFERROR(T168/INDEX(账户总表!$B:$B,COUNTA(账户总表!$A:$A)),0)</f>
        <v>0</v>
      </c>
      <c r="V168" s="19" t="n">
        <f aca="false">IFERROR(INDEX(账户总表!$E:$E,COUNTA(账户总表!$A:$A))+U168,0)</f>
        <v>0.407056412146057</v>
      </c>
      <c r="W168" s="5" t="str">
        <f aca="false">IF($A168="","",IFERROR(IF(V168&lt;=INDEX(账户总表!$N:$N,COUNTA(账户总表!$A:$A)),"是","否"),"否"))</f>
        <v/>
      </c>
      <c r="X168" s="18" t="str">
        <f aca="false">IF($A168="","",MAX(F168*0.98,D168*0.92))</f>
        <v/>
      </c>
      <c r="Y168" s="6"/>
      <c r="Z168" s="5" t="str">
        <f aca="false">IF($A168="","",IFERROR(IF(AND(T168&gt;INDEX(账户总表!$C:$C,COUNTA(账户总表!$A:$A)),L168="是"),"是","否"),"否"))</f>
        <v/>
      </c>
      <c r="AA168" s="18" t="str">
        <f aca="false">IF($A168="","",IFERROR(IF(Z168="是",MAX(0,T168-INDEX(账户总表!$C:$C,COUNTA(账户总表!$A:$A)),IF(N168&gt;0,T168/N168-INDEX(账户总表!$B:$B,COUNTA(账户总表!$A:$A)),0)),0),0))</f>
        <v/>
      </c>
      <c r="AB168" s="18" t="str">
        <f aca="false">IF($A168="","",IF(AND(Z168="是",INDEX(账户总表!$U:$U,COUNTA(账户总表!$A:$A))="是"),IF(INDEX(账户总表!$L:$L,COUNTA(账户总表!$A:$A))&gt;=4,AA168*1.5,AA168),0))</f>
        <v/>
      </c>
      <c r="AC168" s="5" t="str">
        <f aca="false">IF($A168="","",IF(AND(L168="是",Q168&gt;=R168,S168&lt;=Q168,S168&gt;=R168,W168="是",X168&gt;0,M168="是",INDEX(账户总表!$M:$M,COUNTA(账户总表!$A:$A))&lt;=2,INDEX(账户总表!$V:$V,COUNTA(账户总表!$A:$A))="是",OR(T168&lt;=INDEX(账户总表!$C:$C,COUNTA(账户总表!$A:$A)),AND(Z168="是",INDEX(账户总表!$U:$U,COUNTA(账户总表!$A:$A))="是",AB168&gt;0))),"是","否"))</f>
        <v/>
      </c>
      <c r="AD168" s="5" t="str">
        <f aca="false">IF($A168="","",IF(L168&lt;&gt;"是","信号未确认",IF(X168&lt;=0,"止损价未定义",IF(Q168&lt;R168,"100股约束不满足",IF(S168&gt;Q168,"计划股数超单股上限",IF(S168&lt;R168,"计划股数低于最小门槛",IF(W168&lt;&gt;"是","总仓位超限",IF(M168&lt;&gt;"是","追价",IF(INDEX(账户总表!$M:$M,COUNTA(账户总表!$A:$A))&gt;2,"亏钱效应偏高",IF(INDEX(账户总表!$V:$V,COUNTA(账户总表!$A:$A))&lt;&gt;"是","账户不允许新开仓",IF(AND(T168&gt;INDEX(账户总表!$C:$C,COUNTA(账户总表!$A:$A)),INDEX(账户总表!$U:$U,COUNTA(账户总表!$A:$A))&lt;&gt;"是"),"现金不足且不允许转入",IF(AND(Z168="是",AB168&lt;=0),"转入金额未满足",""))))))))))))</f>
        <v/>
      </c>
      <c r="AE168" s="6"/>
      <c r="AF168" s="1" t="str">
        <f aca="false">IF($A168="","",D168*100)</f>
        <v/>
      </c>
      <c r="AG168" s="1" t="str">
        <f aca="false">IF($A168="","",IFERROR(AF168/INDEX(账户总表!$B:$B,COUNTA(账户总表!$A:$A)),0))</f>
        <v/>
      </c>
      <c r="AH168" s="1" t="str">
        <f aca="false">IF($A168="","",IFERROR(INDEX(账户总表!$B:$B,COUNTA(账户总表!$A:$A))*INDEX(账户总表!$O:$O,COUNTA(账户总表!$A:$A)),0))</f>
        <v/>
      </c>
      <c r="AI168" s="1" t="str">
        <f aca="false">IF($A168="","",IF(AF168&gt;AH168,"超限","合规"))</f>
        <v/>
      </c>
      <c r="AJ168" s="1" t="str">
        <f aca="false">IF($A168="","",IFERROR(AF168/INDEX(账户总表!$O:$O,COUNTA(账户总表!$A:$A)),0))</f>
        <v/>
      </c>
      <c r="AK168" s="1" t="str">
        <f aca="false">IF($A168="","",IFERROR(MAX(0,AJ168-INDEX(账户总表!$B:$B,COUNTA(账户总表!$A:$A)),AF168-INDEX(账户总表!$C:$C,COUNTA(账户总表!$A:$A))),0))</f>
        <v/>
      </c>
      <c r="AL168" s="1" t="str">
        <f aca="false">IF($A168="","",IF(COUNTIF(持仓表!$C$2:$C$201,C168)&gt;0,"已有","新标的"))</f>
        <v/>
      </c>
      <c r="AM168" s="1" t="str">
        <f aca="false">IF($A168="","",IFERROR(SUMIFS(持仓表!$N$2:$N$201,持仓表!$C$2:$C$201,C168,持仓表!$A$2:$A$201,$A168),0))</f>
        <v/>
      </c>
      <c r="AN168" s="1" t="str">
        <f aca="false">IF($A168="","",IFERROR(AM168+AF168/INDEX(账户总表!$B:$B,COUNTA(账户总表!$A:$A)),0))</f>
        <v/>
      </c>
      <c r="AO168" s="1" t="str">
        <f aca="false">IF($A168="","",IF(AN168&gt;INDEX(账户总表!$O:$O,COUNTA(账户总表!$A:$A)),"超限","合规"))</f>
        <v/>
      </c>
      <c r="AP168" s="1" t="str">
        <f aca="false">IF($A168="","",IF(AND(AL168="新标的",INDEX(账户总表!$R:$R,COUNTA(账户总表!$A:$A))&gt;=INDEX(账户总表!$S:$S,COUNTA(账户总表!$A:$A))),"新增受限","可通过"))</f>
        <v/>
      </c>
      <c r="AQ168" s="1" t="str">
        <f aca="false">IF($A168="","",IF(K168&lt;&gt;"核心池","非核心池",IF(OR(AI168="超限",AO168="超限",AP168="新增受限"),"不可加仓","可加仓")))</f>
        <v/>
      </c>
      <c r="AR168" s="1" t="str">
        <f aca="false">IF($A168="","",TRIM(IF(AI168="超限","1手超单股上限；","")&amp;IF(AO168="超限","买后仓位超限；","")&amp;IF(AP168="新增受限","有效持仓数超限；","")&amp;IF(AF168&gt;INDEX(账户总表!$C:$C,COUNTA(账户总表!$A:$A)),"现金不足；","")))</f>
        <v/>
      </c>
      <c r="AS168" s="1" t="str">
        <f aca="false">IF($A168="","",IFERROR(INDEX(候选池历史!$L:$L,MATCH(1,(候选池历史!$B:$B=C168)*(候选池历史!$A:$A=$A168),0)),0))</f>
        <v/>
      </c>
      <c r="AT168" s="1" t="str">
        <f aca="false">IF($A168="","",IF(AS168&gt;=3,"★信号强化",IF(K168="核心池","核心观察","")))</f>
        <v/>
      </c>
      <c r="AU168" s="1" t="str">
        <f aca="false">IF($A168="","",IF(AK168&gt;30000-INDEX(账户总表!$B:$B,COUNTA(账户总表!$A:$A)),"不适合婴儿阶段","可纳入幼儿路径"))</f>
        <v/>
      </c>
    </row>
    <row r="169" customFormat="false" ht="15" hidden="false" customHeight="true" outlineLevel="0" collapsed="false">
      <c r="A169" s="9"/>
      <c r="B169" s="9"/>
      <c r="C169" s="9"/>
      <c r="D169" s="26"/>
      <c r="E169" s="26"/>
      <c r="F169" s="26"/>
      <c r="G169" s="28"/>
      <c r="H169" s="9"/>
      <c r="I169" s="14"/>
      <c r="J169" s="9"/>
      <c r="K169" s="5" t="str">
        <f aca="false">IF($A169="","",IF(AND(G169&lt;45%,H169&gt;=0.9),"A",IF(AND(G169&lt;60%,H169&gt;0.8),"B","C")))</f>
        <v/>
      </c>
      <c r="L169" s="5" t="str">
        <f aca="false">IF($A169="","",IF(AND(G169&lt;60%,H169&gt;0.8,I169="True"),"是","否"))</f>
        <v/>
      </c>
      <c r="M169" s="5" t="str">
        <f aca="false">IF($A169="","",IF(AND(D169&gt;0,E169&gt;0,D169&lt;=E169*1.02),"是","否"))</f>
        <v/>
      </c>
      <c r="N169" s="19" t="n">
        <f aca="false">IFERROR(INDEX(账户总表!$O:$O,COUNTA(账户总表!$A:$A)),0)</f>
        <v>0.35</v>
      </c>
      <c r="O169" s="18" t="n">
        <f aca="false">IFERROR(INDEX(账户总表!$B:$B,COUNTA(账户总表!$A:$A))*N169,0)</f>
        <v>7294.812</v>
      </c>
      <c r="P169" s="21" t="n">
        <f aca="false">IFERROR(O169/D169,0)</f>
        <v>0</v>
      </c>
      <c r="Q169" s="21" t="n">
        <f aca="false">IFERROR(FLOOR(P169,100),0)</f>
        <v>0</v>
      </c>
      <c r="R169" s="21" t="n">
        <f aca="false">IFERROR(CEILING(800/(100*D169),1)*100,0)</f>
        <v>0</v>
      </c>
      <c r="S169" s="27"/>
      <c r="T169" s="18" t="n">
        <f aca="false">IFERROR(S169*D169,0)</f>
        <v>0</v>
      </c>
      <c r="U169" s="19" t="n">
        <f aca="false">IFERROR(T169/INDEX(账户总表!$B:$B,COUNTA(账户总表!$A:$A)),0)</f>
        <v>0</v>
      </c>
      <c r="V169" s="19" t="n">
        <f aca="false">IFERROR(INDEX(账户总表!$E:$E,COUNTA(账户总表!$A:$A))+U169,0)</f>
        <v>0.407056412146057</v>
      </c>
      <c r="W169" s="5" t="str">
        <f aca="false">IF($A169="","",IFERROR(IF(V169&lt;=INDEX(账户总表!$N:$N,COUNTA(账户总表!$A:$A)),"是","否"),"否"))</f>
        <v/>
      </c>
      <c r="X169" s="18" t="str">
        <f aca="false">IF($A169="","",MAX(F169*0.98,D169*0.92))</f>
        <v/>
      </c>
      <c r="Y169" s="9"/>
      <c r="Z169" s="5" t="str">
        <f aca="false">IF($A169="","",IFERROR(IF(AND(T169&gt;INDEX(账户总表!$C:$C,COUNTA(账户总表!$A:$A)),L169="是"),"是","否"),"否"))</f>
        <v/>
      </c>
      <c r="AA169" s="18" t="str">
        <f aca="false">IF($A169="","",IFERROR(IF(Z169="是",MAX(0,T169-INDEX(账户总表!$C:$C,COUNTA(账户总表!$A:$A)),IF(N169&gt;0,T169/N169-INDEX(账户总表!$B:$B,COUNTA(账户总表!$A:$A)),0)),0),0))</f>
        <v/>
      </c>
      <c r="AB169" s="18" t="str">
        <f aca="false">IF($A169="","",IF(AND(Z169="是",INDEX(账户总表!$U:$U,COUNTA(账户总表!$A:$A))="是"),IF(INDEX(账户总表!$L:$L,COUNTA(账户总表!$A:$A))&gt;=4,AA169*1.5,AA169),0))</f>
        <v/>
      </c>
      <c r="AC169" s="5" t="str">
        <f aca="false">IF($A169="","",IF(AND(L169="是",Q169&gt;=R169,S169&lt;=Q169,S169&gt;=R169,W169="是",X169&gt;0,M169="是",INDEX(账户总表!$M:$M,COUNTA(账户总表!$A:$A))&lt;=2,INDEX(账户总表!$V:$V,COUNTA(账户总表!$A:$A))="是",OR(T169&lt;=INDEX(账户总表!$C:$C,COUNTA(账户总表!$A:$A)),AND(Z169="是",INDEX(账户总表!$U:$U,COUNTA(账户总表!$A:$A))="是",AB169&gt;0))),"是","否"))</f>
        <v/>
      </c>
      <c r="AD169" s="5" t="str">
        <f aca="false">IF($A169="","",IF(L169&lt;&gt;"是","信号未确认",IF(X169&lt;=0,"止损价未定义",IF(Q169&lt;R169,"100股约束不满足",IF(S169&gt;Q169,"计划股数超单股上限",IF(S169&lt;R169,"计划股数低于最小门槛",IF(W169&lt;&gt;"是","总仓位超限",IF(M169&lt;&gt;"是","追价",IF(INDEX(账户总表!$M:$M,COUNTA(账户总表!$A:$A))&gt;2,"亏钱效应偏高",IF(INDEX(账户总表!$V:$V,COUNTA(账户总表!$A:$A))&lt;&gt;"是","账户不允许新开仓",IF(AND(T169&gt;INDEX(账户总表!$C:$C,COUNTA(账户总表!$A:$A)),INDEX(账户总表!$U:$U,COUNTA(账户总表!$A:$A))&lt;&gt;"是"),"现金不足且不允许转入",IF(AND(Z169="是",AB169&lt;=0),"转入金额未满足",""))))))))))))</f>
        <v/>
      </c>
      <c r="AE169" s="9"/>
      <c r="AF169" s="1" t="str">
        <f aca="false">IF($A169="","",D169*100)</f>
        <v/>
      </c>
      <c r="AG169" s="1" t="str">
        <f aca="false">IF($A169="","",IFERROR(AF169/INDEX(账户总表!$B:$B,COUNTA(账户总表!$A:$A)),0))</f>
        <v/>
      </c>
      <c r="AH169" s="1" t="str">
        <f aca="false">IF($A169="","",IFERROR(INDEX(账户总表!$B:$B,COUNTA(账户总表!$A:$A))*INDEX(账户总表!$O:$O,COUNTA(账户总表!$A:$A)),0))</f>
        <v/>
      </c>
      <c r="AI169" s="1" t="str">
        <f aca="false">IF($A169="","",IF(AF169&gt;AH169,"超限","合规"))</f>
        <v/>
      </c>
      <c r="AJ169" s="1" t="str">
        <f aca="false">IF($A169="","",IFERROR(AF169/INDEX(账户总表!$O:$O,COUNTA(账户总表!$A:$A)),0))</f>
        <v/>
      </c>
      <c r="AK169" s="1" t="str">
        <f aca="false">IF($A169="","",IFERROR(MAX(0,AJ169-INDEX(账户总表!$B:$B,COUNTA(账户总表!$A:$A)),AF169-INDEX(账户总表!$C:$C,COUNTA(账户总表!$A:$A))),0))</f>
        <v/>
      </c>
      <c r="AL169" s="1" t="str">
        <f aca="false">IF($A169="","",IF(COUNTIF(持仓表!$C$2:$C$201,C169)&gt;0,"已有","新标的"))</f>
        <v/>
      </c>
      <c r="AM169" s="1" t="str">
        <f aca="false">IF($A169="","",IFERROR(SUMIFS(持仓表!$N$2:$N$201,持仓表!$C$2:$C$201,C169,持仓表!$A$2:$A$201,$A169),0))</f>
        <v/>
      </c>
      <c r="AN169" s="1" t="str">
        <f aca="false">IF($A169="","",IFERROR(AM169+AF169/INDEX(账户总表!$B:$B,COUNTA(账户总表!$A:$A)),0))</f>
        <v/>
      </c>
      <c r="AO169" s="1" t="str">
        <f aca="false">IF($A169="","",IF(AN169&gt;INDEX(账户总表!$O:$O,COUNTA(账户总表!$A:$A)),"超限","合规"))</f>
        <v/>
      </c>
      <c r="AP169" s="1" t="str">
        <f aca="false">IF($A169="","",IF(AND(AL169="新标的",INDEX(账户总表!$R:$R,COUNTA(账户总表!$A:$A))&gt;=INDEX(账户总表!$S:$S,COUNTA(账户总表!$A:$A))),"新增受限","可通过"))</f>
        <v/>
      </c>
      <c r="AQ169" s="1" t="str">
        <f aca="false">IF($A169="","",IF(K169&lt;&gt;"核心池","非核心池",IF(OR(AI169="超限",AO169="超限",AP169="新增受限"),"不可加仓","可加仓")))</f>
        <v/>
      </c>
      <c r="AR169" s="1" t="str">
        <f aca="false">IF($A169="","",TRIM(IF(AI169="超限","1手超单股上限；","")&amp;IF(AO169="超限","买后仓位超限；","")&amp;IF(AP169="新增受限","有效持仓数超限；","")&amp;IF(AF169&gt;INDEX(账户总表!$C:$C,COUNTA(账户总表!$A:$A)),"现金不足；","")))</f>
        <v/>
      </c>
      <c r="AS169" s="1" t="str">
        <f aca="false">IF($A169="","",IFERROR(INDEX(候选池历史!$L:$L,MATCH(1,(候选池历史!$B:$B=C169)*(候选池历史!$A:$A=$A169),0)),0))</f>
        <v/>
      </c>
      <c r="AT169" s="1" t="str">
        <f aca="false">IF($A169="","",IF(AS169&gt;=3,"★信号强化",IF(K169="核心池","核心观察","")))</f>
        <v/>
      </c>
      <c r="AU169" s="1" t="str">
        <f aca="false">IF($A169="","",IF(AK169&gt;30000-INDEX(账户总表!$B:$B,COUNTA(账户总表!$A:$A)),"不适合婴儿阶段","可纳入幼儿路径"))</f>
        <v/>
      </c>
    </row>
    <row r="170" customFormat="false" ht="15" hidden="false" customHeight="true" outlineLevel="0" collapsed="false">
      <c r="A170" s="6"/>
      <c r="B170" s="6"/>
      <c r="C170" s="6"/>
      <c r="D170" s="17"/>
      <c r="E170" s="17"/>
      <c r="F170" s="17"/>
      <c r="G170" s="22"/>
      <c r="H170" s="6"/>
      <c r="I170" s="13"/>
      <c r="J170" s="6"/>
      <c r="K170" s="5" t="str">
        <f aca="false">IF($A170="","",IF(AND(G170&lt;45%,H170&gt;=0.9),"A",IF(AND(G170&lt;60%,H170&gt;0.8),"B","C")))</f>
        <v/>
      </c>
      <c r="L170" s="5" t="str">
        <f aca="false">IF($A170="","",IF(AND(G170&lt;60%,H170&gt;0.8,I170="True"),"是","否"))</f>
        <v/>
      </c>
      <c r="M170" s="5" t="str">
        <f aca="false">IF($A170="","",IF(AND(D170&gt;0,E170&gt;0,D170&lt;=E170*1.02),"是","否"))</f>
        <v/>
      </c>
      <c r="N170" s="19" t="n">
        <f aca="false">IFERROR(INDEX(账户总表!$O:$O,COUNTA(账户总表!$A:$A)),0)</f>
        <v>0.35</v>
      </c>
      <c r="O170" s="18" t="n">
        <f aca="false">IFERROR(INDEX(账户总表!$B:$B,COUNTA(账户总表!$A:$A))*N170,0)</f>
        <v>7294.812</v>
      </c>
      <c r="P170" s="21" t="n">
        <f aca="false">IFERROR(O170/D170,0)</f>
        <v>0</v>
      </c>
      <c r="Q170" s="21" t="n">
        <f aca="false">IFERROR(FLOOR(P170,100),0)</f>
        <v>0</v>
      </c>
      <c r="R170" s="21" t="n">
        <f aca="false">IFERROR(CEILING(800/(100*D170),1)*100,0)</f>
        <v>0</v>
      </c>
      <c r="S170" s="20"/>
      <c r="T170" s="18" t="n">
        <f aca="false">IFERROR(S170*D170,0)</f>
        <v>0</v>
      </c>
      <c r="U170" s="19" t="n">
        <f aca="false">IFERROR(T170/INDEX(账户总表!$B:$B,COUNTA(账户总表!$A:$A)),0)</f>
        <v>0</v>
      </c>
      <c r="V170" s="19" t="n">
        <f aca="false">IFERROR(INDEX(账户总表!$E:$E,COUNTA(账户总表!$A:$A))+U170,0)</f>
        <v>0.407056412146057</v>
      </c>
      <c r="W170" s="5" t="str">
        <f aca="false">IF($A170="","",IFERROR(IF(V170&lt;=INDEX(账户总表!$N:$N,COUNTA(账户总表!$A:$A)),"是","否"),"否"))</f>
        <v/>
      </c>
      <c r="X170" s="18" t="str">
        <f aca="false">IF($A170="","",MAX(F170*0.98,D170*0.92))</f>
        <v/>
      </c>
      <c r="Y170" s="6"/>
      <c r="Z170" s="5" t="str">
        <f aca="false">IF($A170="","",IFERROR(IF(AND(T170&gt;INDEX(账户总表!$C:$C,COUNTA(账户总表!$A:$A)),L170="是"),"是","否"),"否"))</f>
        <v/>
      </c>
      <c r="AA170" s="18" t="str">
        <f aca="false">IF($A170="","",IFERROR(IF(Z170="是",MAX(0,T170-INDEX(账户总表!$C:$C,COUNTA(账户总表!$A:$A)),IF(N170&gt;0,T170/N170-INDEX(账户总表!$B:$B,COUNTA(账户总表!$A:$A)),0)),0),0))</f>
        <v/>
      </c>
      <c r="AB170" s="18" t="str">
        <f aca="false">IF($A170="","",IF(AND(Z170="是",INDEX(账户总表!$U:$U,COUNTA(账户总表!$A:$A))="是"),IF(INDEX(账户总表!$L:$L,COUNTA(账户总表!$A:$A))&gt;=4,AA170*1.5,AA170),0))</f>
        <v/>
      </c>
      <c r="AC170" s="5" t="str">
        <f aca="false">IF($A170="","",IF(AND(L170="是",Q170&gt;=R170,S170&lt;=Q170,S170&gt;=R170,W170="是",X170&gt;0,M170="是",INDEX(账户总表!$M:$M,COUNTA(账户总表!$A:$A))&lt;=2,INDEX(账户总表!$V:$V,COUNTA(账户总表!$A:$A))="是",OR(T170&lt;=INDEX(账户总表!$C:$C,COUNTA(账户总表!$A:$A)),AND(Z170="是",INDEX(账户总表!$U:$U,COUNTA(账户总表!$A:$A))="是",AB170&gt;0))),"是","否"))</f>
        <v/>
      </c>
      <c r="AD170" s="5" t="str">
        <f aca="false">IF($A170="","",IF(L170&lt;&gt;"是","信号未确认",IF(X170&lt;=0,"止损价未定义",IF(Q170&lt;R170,"100股约束不满足",IF(S170&gt;Q170,"计划股数超单股上限",IF(S170&lt;R170,"计划股数低于最小门槛",IF(W170&lt;&gt;"是","总仓位超限",IF(M170&lt;&gt;"是","追价",IF(INDEX(账户总表!$M:$M,COUNTA(账户总表!$A:$A))&gt;2,"亏钱效应偏高",IF(INDEX(账户总表!$V:$V,COUNTA(账户总表!$A:$A))&lt;&gt;"是","账户不允许新开仓",IF(AND(T170&gt;INDEX(账户总表!$C:$C,COUNTA(账户总表!$A:$A)),INDEX(账户总表!$U:$U,COUNTA(账户总表!$A:$A))&lt;&gt;"是"),"现金不足且不允许转入",IF(AND(Z170="是",AB170&lt;=0),"转入金额未满足",""))))))))))))</f>
        <v/>
      </c>
      <c r="AE170" s="6"/>
      <c r="AF170" s="1" t="str">
        <f aca="false">IF($A170="","",D170*100)</f>
        <v/>
      </c>
      <c r="AG170" s="1" t="str">
        <f aca="false">IF($A170="","",IFERROR(AF170/INDEX(账户总表!$B:$B,COUNTA(账户总表!$A:$A)),0))</f>
        <v/>
      </c>
      <c r="AH170" s="1" t="str">
        <f aca="false">IF($A170="","",IFERROR(INDEX(账户总表!$B:$B,COUNTA(账户总表!$A:$A))*INDEX(账户总表!$O:$O,COUNTA(账户总表!$A:$A)),0))</f>
        <v/>
      </c>
      <c r="AI170" s="1" t="str">
        <f aca="false">IF($A170="","",IF(AF170&gt;AH170,"超限","合规"))</f>
        <v/>
      </c>
      <c r="AJ170" s="1" t="str">
        <f aca="false">IF($A170="","",IFERROR(AF170/INDEX(账户总表!$O:$O,COUNTA(账户总表!$A:$A)),0))</f>
        <v/>
      </c>
      <c r="AK170" s="1" t="str">
        <f aca="false">IF($A170="","",IFERROR(MAX(0,AJ170-INDEX(账户总表!$B:$B,COUNTA(账户总表!$A:$A)),AF170-INDEX(账户总表!$C:$C,COUNTA(账户总表!$A:$A))),0))</f>
        <v/>
      </c>
      <c r="AL170" s="1" t="str">
        <f aca="false">IF($A170="","",IF(COUNTIF(持仓表!$C$2:$C$201,C170)&gt;0,"已有","新标的"))</f>
        <v/>
      </c>
      <c r="AM170" s="1" t="str">
        <f aca="false">IF($A170="","",IFERROR(SUMIFS(持仓表!$N$2:$N$201,持仓表!$C$2:$C$201,C170,持仓表!$A$2:$A$201,$A170),0))</f>
        <v/>
      </c>
      <c r="AN170" s="1" t="str">
        <f aca="false">IF($A170="","",IFERROR(AM170+AF170/INDEX(账户总表!$B:$B,COUNTA(账户总表!$A:$A)),0))</f>
        <v/>
      </c>
      <c r="AO170" s="1" t="str">
        <f aca="false">IF($A170="","",IF(AN170&gt;INDEX(账户总表!$O:$O,COUNTA(账户总表!$A:$A)),"超限","合规"))</f>
        <v/>
      </c>
      <c r="AP170" s="1" t="str">
        <f aca="false">IF($A170="","",IF(AND(AL170="新标的",INDEX(账户总表!$R:$R,COUNTA(账户总表!$A:$A))&gt;=INDEX(账户总表!$S:$S,COUNTA(账户总表!$A:$A))),"新增受限","可通过"))</f>
        <v/>
      </c>
      <c r="AQ170" s="1" t="str">
        <f aca="false">IF($A170="","",IF(K170&lt;&gt;"核心池","非核心池",IF(OR(AI170="超限",AO170="超限",AP170="新增受限"),"不可加仓","可加仓")))</f>
        <v/>
      </c>
      <c r="AR170" s="1" t="str">
        <f aca="false">IF($A170="","",TRIM(IF(AI170="超限","1手超单股上限；","")&amp;IF(AO170="超限","买后仓位超限；","")&amp;IF(AP170="新增受限","有效持仓数超限；","")&amp;IF(AF170&gt;INDEX(账户总表!$C:$C,COUNTA(账户总表!$A:$A)),"现金不足；","")))</f>
        <v/>
      </c>
      <c r="AS170" s="1" t="str">
        <f aca="false">IF($A170="","",IFERROR(INDEX(候选池历史!$L:$L,MATCH(1,(候选池历史!$B:$B=C170)*(候选池历史!$A:$A=$A170),0)),0))</f>
        <v/>
      </c>
      <c r="AT170" s="1" t="str">
        <f aca="false">IF($A170="","",IF(AS170&gt;=3,"★信号强化",IF(K170="核心池","核心观察","")))</f>
        <v/>
      </c>
      <c r="AU170" s="1" t="str">
        <f aca="false">IF($A170="","",IF(AK170&gt;30000-INDEX(账户总表!$B:$B,COUNTA(账户总表!$A:$A)),"不适合婴儿阶段","可纳入幼儿路径"))</f>
        <v/>
      </c>
    </row>
    <row r="171" customFormat="false" ht="15" hidden="false" customHeight="true" outlineLevel="0" collapsed="false">
      <c r="A171" s="9"/>
      <c r="B171" s="9"/>
      <c r="C171" s="9"/>
      <c r="D171" s="26"/>
      <c r="E171" s="26"/>
      <c r="F171" s="26"/>
      <c r="G171" s="28"/>
      <c r="H171" s="9"/>
      <c r="I171" s="14"/>
      <c r="J171" s="9"/>
      <c r="K171" s="5" t="str">
        <f aca="false">IF($A171="","",IF(AND(G171&lt;45%,H171&gt;=0.9),"A",IF(AND(G171&lt;60%,H171&gt;0.8),"B","C")))</f>
        <v/>
      </c>
      <c r="L171" s="5" t="str">
        <f aca="false">IF($A171="","",IF(AND(G171&lt;60%,H171&gt;0.8,I171="True"),"是","否"))</f>
        <v/>
      </c>
      <c r="M171" s="5" t="str">
        <f aca="false">IF($A171="","",IF(AND(D171&gt;0,E171&gt;0,D171&lt;=E171*1.02),"是","否"))</f>
        <v/>
      </c>
      <c r="N171" s="19" t="n">
        <f aca="false">IFERROR(INDEX(账户总表!$O:$O,COUNTA(账户总表!$A:$A)),0)</f>
        <v>0.35</v>
      </c>
      <c r="O171" s="18" t="n">
        <f aca="false">IFERROR(INDEX(账户总表!$B:$B,COUNTA(账户总表!$A:$A))*N171,0)</f>
        <v>7294.812</v>
      </c>
      <c r="P171" s="21" t="n">
        <f aca="false">IFERROR(O171/D171,0)</f>
        <v>0</v>
      </c>
      <c r="Q171" s="21" t="n">
        <f aca="false">IFERROR(FLOOR(P171,100),0)</f>
        <v>0</v>
      </c>
      <c r="R171" s="21" t="n">
        <f aca="false">IFERROR(CEILING(800/(100*D171),1)*100,0)</f>
        <v>0</v>
      </c>
      <c r="S171" s="27"/>
      <c r="T171" s="18" t="n">
        <f aca="false">IFERROR(S171*D171,0)</f>
        <v>0</v>
      </c>
      <c r="U171" s="19" t="n">
        <f aca="false">IFERROR(T171/INDEX(账户总表!$B:$B,COUNTA(账户总表!$A:$A)),0)</f>
        <v>0</v>
      </c>
      <c r="V171" s="19" t="n">
        <f aca="false">IFERROR(INDEX(账户总表!$E:$E,COUNTA(账户总表!$A:$A))+U171,0)</f>
        <v>0.407056412146057</v>
      </c>
      <c r="W171" s="5" t="str">
        <f aca="false">IF($A171="","",IFERROR(IF(V171&lt;=INDEX(账户总表!$N:$N,COUNTA(账户总表!$A:$A)),"是","否"),"否"))</f>
        <v/>
      </c>
      <c r="X171" s="18" t="str">
        <f aca="false">IF($A171="","",MAX(F171*0.98,D171*0.92))</f>
        <v/>
      </c>
      <c r="Y171" s="9"/>
      <c r="Z171" s="5" t="str">
        <f aca="false">IF($A171="","",IFERROR(IF(AND(T171&gt;INDEX(账户总表!$C:$C,COUNTA(账户总表!$A:$A)),L171="是"),"是","否"),"否"))</f>
        <v/>
      </c>
      <c r="AA171" s="18" t="str">
        <f aca="false">IF($A171="","",IFERROR(IF(Z171="是",MAX(0,T171-INDEX(账户总表!$C:$C,COUNTA(账户总表!$A:$A)),IF(N171&gt;0,T171/N171-INDEX(账户总表!$B:$B,COUNTA(账户总表!$A:$A)),0)),0),0))</f>
        <v/>
      </c>
      <c r="AB171" s="18" t="str">
        <f aca="false">IF($A171="","",IF(AND(Z171="是",INDEX(账户总表!$U:$U,COUNTA(账户总表!$A:$A))="是"),IF(INDEX(账户总表!$L:$L,COUNTA(账户总表!$A:$A))&gt;=4,AA171*1.5,AA171),0))</f>
        <v/>
      </c>
      <c r="AC171" s="5" t="str">
        <f aca="false">IF($A171="","",IF(AND(L171="是",Q171&gt;=R171,S171&lt;=Q171,S171&gt;=R171,W171="是",X171&gt;0,M171="是",INDEX(账户总表!$M:$M,COUNTA(账户总表!$A:$A))&lt;=2,INDEX(账户总表!$V:$V,COUNTA(账户总表!$A:$A))="是",OR(T171&lt;=INDEX(账户总表!$C:$C,COUNTA(账户总表!$A:$A)),AND(Z171="是",INDEX(账户总表!$U:$U,COUNTA(账户总表!$A:$A))="是",AB171&gt;0))),"是","否"))</f>
        <v/>
      </c>
      <c r="AD171" s="5" t="str">
        <f aca="false">IF($A171="","",IF(L171&lt;&gt;"是","信号未确认",IF(X171&lt;=0,"止损价未定义",IF(Q171&lt;R171,"100股约束不满足",IF(S171&gt;Q171,"计划股数超单股上限",IF(S171&lt;R171,"计划股数低于最小门槛",IF(W171&lt;&gt;"是","总仓位超限",IF(M171&lt;&gt;"是","追价",IF(INDEX(账户总表!$M:$M,COUNTA(账户总表!$A:$A))&gt;2,"亏钱效应偏高",IF(INDEX(账户总表!$V:$V,COUNTA(账户总表!$A:$A))&lt;&gt;"是","账户不允许新开仓",IF(AND(T171&gt;INDEX(账户总表!$C:$C,COUNTA(账户总表!$A:$A)),INDEX(账户总表!$U:$U,COUNTA(账户总表!$A:$A))&lt;&gt;"是"),"现金不足且不允许转入",IF(AND(Z171="是",AB171&lt;=0),"转入金额未满足",""))))))))))))</f>
        <v/>
      </c>
      <c r="AE171" s="9"/>
      <c r="AF171" s="1" t="str">
        <f aca="false">IF($A171="","",D171*100)</f>
        <v/>
      </c>
      <c r="AG171" s="1" t="str">
        <f aca="false">IF($A171="","",IFERROR(AF171/INDEX(账户总表!$B:$B,COUNTA(账户总表!$A:$A)),0))</f>
        <v/>
      </c>
      <c r="AH171" s="1" t="str">
        <f aca="false">IF($A171="","",IFERROR(INDEX(账户总表!$B:$B,COUNTA(账户总表!$A:$A))*INDEX(账户总表!$O:$O,COUNTA(账户总表!$A:$A)),0))</f>
        <v/>
      </c>
      <c r="AI171" s="1" t="str">
        <f aca="false">IF($A171="","",IF(AF171&gt;AH171,"超限","合规"))</f>
        <v/>
      </c>
      <c r="AJ171" s="1" t="str">
        <f aca="false">IF($A171="","",IFERROR(AF171/INDEX(账户总表!$O:$O,COUNTA(账户总表!$A:$A)),0))</f>
        <v/>
      </c>
      <c r="AK171" s="1" t="str">
        <f aca="false">IF($A171="","",IFERROR(MAX(0,AJ171-INDEX(账户总表!$B:$B,COUNTA(账户总表!$A:$A)),AF171-INDEX(账户总表!$C:$C,COUNTA(账户总表!$A:$A))),0))</f>
        <v/>
      </c>
      <c r="AL171" s="1" t="str">
        <f aca="false">IF($A171="","",IF(COUNTIF(持仓表!$C$2:$C$201,C171)&gt;0,"已有","新标的"))</f>
        <v/>
      </c>
      <c r="AM171" s="1" t="str">
        <f aca="false">IF($A171="","",IFERROR(SUMIFS(持仓表!$N$2:$N$201,持仓表!$C$2:$C$201,C171,持仓表!$A$2:$A$201,$A171),0))</f>
        <v/>
      </c>
      <c r="AN171" s="1" t="str">
        <f aca="false">IF($A171="","",IFERROR(AM171+AF171/INDEX(账户总表!$B:$B,COUNTA(账户总表!$A:$A)),0))</f>
        <v/>
      </c>
      <c r="AO171" s="1" t="str">
        <f aca="false">IF($A171="","",IF(AN171&gt;INDEX(账户总表!$O:$O,COUNTA(账户总表!$A:$A)),"超限","合规"))</f>
        <v/>
      </c>
      <c r="AP171" s="1" t="str">
        <f aca="false">IF($A171="","",IF(AND(AL171="新标的",INDEX(账户总表!$R:$R,COUNTA(账户总表!$A:$A))&gt;=INDEX(账户总表!$S:$S,COUNTA(账户总表!$A:$A))),"新增受限","可通过"))</f>
        <v/>
      </c>
      <c r="AQ171" s="1" t="str">
        <f aca="false">IF($A171="","",IF(K171&lt;&gt;"核心池","非核心池",IF(OR(AI171="超限",AO171="超限",AP171="新增受限"),"不可加仓","可加仓")))</f>
        <v/>
      </c>
      <c r="AR171" s="1" t="str">
        <f aca="false">IF($A171="","",TRIM(IF(AI171="超限","1手超单股上限；","")&amp;IF(AO171="超限","买后仓位超限；","")&amp;IF(AP171="新增受限","有效持仓数超限；","")&amp;IF(AF171&gt;INDEX(账户总表!$C:$C,COUNTA(账户总表!$A:$A)),"现金不足；","")))</f>
        <v/>
      </c>
      <c r="AS171" s="1" t="str">
        <f aca="false">IF($A171="","",IFERROR(INDEX(候选池历史!$L:$L,MATCH(1,(候选池历史!$B:$B=C171)*(候选池历史!$A:$A=$A171),0)),0))</f>
        <v/>
      </c>
      <c r="AT171" s="1" t="str">
        <f aca="false">IF($A171="","",IF(AS171&gt;=3,"★信号强化",IF(K171="核心池","核心观察","")))</f>
        <v/>
      </c>
      <c r="AU171" s="1" t="str">
        <f aca="false">IF($A171="","",IF(AK171&gt;30000-INDEX(账户总表!$B:$B,COUNTA(账户总表!$A:$A)),"不适合婴儿阶段","可纳入幼儿路径"))</f>
        <v/>
      </c>
    </row>
    <row r="172" customFormat="false" ht="15" hidden="false" customHeight="true" outlineLevel="0" collapsed="false">
      <c r="A172" s="6"/>
      <c r="B172" s="6"/>
      <c r="C172" s="6"/>
      <c r="D172" s="17"/>
      <c r="E172" s="17"/>
      <c r="F172" s="17"/>
      <c r="G172" s="22"/>
      <c r="H172" s="6"/>
      <c r="I172" s="13"/>
      <c r="J172" s="6"/>
      <c r="K172" s="5" t="str">
        <f aca="false">IF($A172="","",IF(AND(G172&lt;45%,H172&gt;=0.9),"A",IF(AND(G172&lt;60%,H172&gt;0.8),"B","C")))</f>
        <v/>
      </c>
      <c r="L172" s="5" t="str">
        <f aca="false">IF($A172="","",IF(AND(G172&lt;60%,H172&gt;0.8,I172="True"),"是","否"))</f>
        <v/>
      </c>
      <c r="M172" s="5" t="str">
        <f aca="false">IF($A172="","",IF(AND(D172&gt;0,E172&gt;0,D172&lt;=E172*1.02),"是","否"))</f>
        <v/>
      </c>
      <c r="N172" s="19" t="n">
        <f aca="false">IFERROR(INDEX(账户总表!$O:$O,COUNTA(账户总表!$A:$A)),0)</f>
        <v>0.35</v>
      </c>
      <c r="O172" s="18" t="n">
        <f aca="false">IFERROR(INDEX(账户总表!$B:$B,COUNTA(账户总表!$A:$A))*N172,0)</f>
        <v>7294.812</v>
      </c>
      <c r="P172" s="21" t="n">
        <f aca="false">IFERROR(O172/D172,0)</f>
        <v>0</v>
      </c>
      <c r="Q172" s="21" t="n">
        <f aca="false">IFERROR(FLOOR(P172,100),0)</f>
        <v>0</v>
      </c>
      <c r="R172" s="21" t="n">
        <f aca="false">IFERROR(CEILING(800/(100*D172),1)*100,0)</f>
        <v>0</v>
      </c>
      <c r="S172" s="20"/>
      <c r="T172" s="18" t="n">
        <f aca="false">IFERROR(S172*D172,0)</f>
        <v>0</v>
      </c>
      <c r="U172" s="19" t="n">
        <f aca="false">IFERROR(T172/INDEX(账户总表!$B:$B,COUNTA(账户总表!$A:$A)),0)</f>
        <v>0</v>
      </c>
      <c r="V172" s="19" t="n">
        <f aca="false">IFERROR(INDEX(账户总表!$E:$E,COUNTA(账户总表!$A:$A))+U172,0)</f>
        <v>0.407056412146057</v>
      </c>
      <c r="W172" s="5" t="str">
        <f aca="false">IF($A172="","",IFERROR(IF(V172&lt;=INDEX(账户总表!$N:$N,COUNTA(账户总表!$A:$A)),"是","否"),"否"))</f>
        <v/>
      </c>
      <c r="X172" s="18" t="str">
        <f aca="false">IF($A172="","",MAX(F172*0.98,D172*0.92))</f>
        <v/>
      </c>
      <c r="Y172" s="6"/>
      <c r="Z172" s="5" t="str">
        <f aca="false">IF($A172="","",IFERROR(IF(AND(T172&gt;INDEX(账户总表!$C:$C,COUNTA(账户总表!$A:$A)),L172="是"),"是","否"),"否"))</f>
        <v/>
      </c>
      <c r="AA172" s="18" t="str">
        <f aca="false">IF($A172="","",IFERROR(IF(Z172="是",MAX(0,T172-INDEX(账户总表!$C:$C,COUNTA(账户总表!$A:$A)),IF(N172&gt;0,T172/N172-INDEX(账户总表!$B:$B,COUNTA(账户总表!$A:$A)),0)),0),0))</f>
        <v/>
      </c>
      <c r="AB172" s="18" t="str">
        <f aca="false">IF($A172="","",IF(AND(Z172="是",INDEX(账户总表!$U:$U,COUNTA(账户总表!$A:$A))="是"),IF(INDEX(账户总表!$L:$L,COUNTA(账户总表!$A:$A))&gt;=4,AA172*1.5,AA172),0))</f>
        <v/>
      </c>
      <c r="AC172" s="5" t="str">
        <f aca="false">IF($A172="","",IF(AND(L172="是",Q172&gt;=R172,S172&lt;=Q172,S172&gt;=R172,W172="是",X172&gt;0,M172="是",INDEX(账户总表!$M:$M,COUNTA(账户总表!$A:$A))&lt;=2,INDEX(账户总表!$V:$V,COUNTA(账户总表!$A:$A))="是",OR(T172&lt;=INDEX(账户总表!$C:$C,COUNTA(账户总表!$A:$A)),AND(Z172="是",INDEX(账户总表!$U:$U,COUNTA(账户总表!$A:$A))="是",AB172&gt;0))),"是","否"))</f>
        <v/>
      </c>
      <c r="AD172" s="5" t="str">
        <f aca="false">IF($A172="","",IF(L172&lt;&gt;"是","信号未确认",IF(X172&lt;=0,"止损价未定义",IF(Q172&lt;R172,"100股约束不满足",IF(S172&gt;Q172,"计划股数超单股上限",IF(S172&lt;R172,"计划股数低于最小门槛",IF(W172&lt;&gt;"是","总仓位超限",IF(M172&lt;&gt;"是","追价",IF(INDEX(账户总表!$M:$M,COUNTA(账户总表!$A:$A))&gt;2,"亏钱效应偏高",IF(INDEX(账户总表!$V:$V,COUNTA(账户总表!$A:$A))&lt;&gt;"是","账户不允许新开仓",IF(AND(T172&gt;INDEX(账户总表!$C:$C,COUNTA(账户总表!$A:$A)),INDEX(账户总表!$U:$U,COUNTA(账户总表!$A:$A))&lt;&gt;"是"),"现金不足且不允许转入",IF(AND(Z172="是",AB172&lt;=0),"转入金额未满足",""))))))))))))</f>
        <v/>
      </c>
      <c r="AE172" s="6"/>
      <c r="AF172" s="1" t="str">
        <f aca="false">IF($A172="","",D172*100)</f>
        <v/>
      </c>
      <c r="AG172" s="1" t="str">
        <f aca="false">IF($A172="","",IFERROR(AF172/INDEX(账户总表!$B:$B,COUNTA(账户总表!$A:$A)),0))</f>
        <v/>
      </c>
      <c r="AH172" s="1" t="str">
        <f aca="false">IF($A172="","",IFERROR(INDEX(账户总表!$B:$B,COUNTA(账户总表!$A:$A))*INDEX(账户总表!$O:$O,COUNTA(账户总表!$A:$A)),0))</f>
        <v/>
      </c>
      <c r="AI172" s="1" t="str">
        <f aca="false">IF($A172="","",IF(AF172&gt;AH172,"超限","合规"))</f>
        <v/>
      </c>
      <c r="AJ172" s="1" t="str">
        <f aca="false">IF($A172="","",IFERROR(AF172/INDEX(账户总表!$O:$O,COUNTA(账户总表!$A:$A)),0))</f>
        <v/>
      </c>
      <c r="AK172" s="1" t="str">
        <f aca="false">IF($A172="","",IFERROR(MAX(0,AJ172-INDEX(账户总表!$B:$B,COUNTA(账户总表!$A:$A)),AF172-INDEX(账户总表!$C:$C,COUNTA(账户总表!$A:$A))),0))</f>
        <v/>
      </c>
      <c r="AL172" s="1" t="str">
        <f aca="false">IF($A172="","",IF(COUNTIF(持仓表!$C$2:$C$201,C172)&gt;0,"已有","新标的"))</f>
        <v/>
      </c>
      <c r="AM172" s="1" t="str">
        <f aca="false">IF($A172="","",IFERROR(SUMIFS(持仓表!$N$2:$N$201,持仓表!$C$2:$C$201,C172,持仓表!$A$2:$A$201,$A172),0))</f>
        <v/>
      </c>
      <c r="AN172" s="1" t="str">
        <f aca="false">IF($A172="","",IFERROR(AM172+AF172/INDEX(账户总表!$B:$B,COUNTA(账户总表!$A:$A)),0))</f>
        <v/>
      </c>
      <c r="AO172" s="1" t="str">
        <f aca="false">IF($A172="","",IF(AN172&gt;INDEX(账户总表!$O:$O,COUNTA(账户总表!$A:$A)),"超限","合规"))</f>
        <v/>
      </c>
      <c r="AP172" s="1" t="str">
        <f aca="false">IF($A172="","",IF(AND(AL172="新标的",INDEX(账户总表!$R:$R,COUNTA(账户总表!$A:$A))&gt;=INDEX(账户总表!$S:$S,COUNTA(账户总表!$A:$A))),"新增受限","可通过"))</f>
        <v/>
      </c>
      <c r="AQ172" s="1" t="str">
        <f aca="false">IF($A172="","",IF(K172&lt;&gt;"核心池","非核心池",IF(OR(AI172="超限",AO172="超限",AP172="新增受限"),"不可加仓","可加仓")))</f>
        <v/>
      </c>
      <c r="AR172" s="1" t="str">
        <f aca="false">IF($A172="","",TRIM(IF(AI172="超限","1手超单股上限；","")&amp;IF(AO172="超限","买后仓位超限；","")&amp;IF(AP172="新增受限","有效持仓数超限；","")&amp;IF(AF172&gt;INDEX(账户总表!$C:$C,COUNTA(账户总表!$A:$A)),"现金不足；","")))</f>
        <v/>
      </c>
      <c r="AS172" s="1" t="str">
        <f aca="false">IF($A172="","",IFERROR(INDEX(候选池历史!$L:$L,MATCH(1,(候选池历史!$B:$B=C172)*(候选池历史!$A:$A=$A172),0)),0))</f>
        <v/>
      </c>
      <c r="AT172" s="1" t="str">
        <f aca="false">IF($A172="","",IF(AS172&gt;=3,"★信号强化",IF(K172="核心池","核心观察","")))</f>
        <v/>
      </c>
      <c r="AU172" s="1" t="str">
        <f aca="false">IF($A172="","",IF(AK172&gt;30000-INDEX(账户总表!$B:$B,COUNTA(账户总表!$A:$A)),"不适合婴儿阶段","可纳入幼儿路径"))</f>
        <v/>
      </c>
    </row>
    <row r="173" customFormat="false" ht="15" hidden="false" customHeight="true" outlineLevel="0" collapsed="false">
      <c r="A173" s="9"/>
      <c r="B173" s="9"/>
      <c r="C173" s="9"/>
      <c r="D173" s="26"/>
      <c r="E173" s="26"/>
      <c r="F173" s="26"/>
      <c r="G173" s="28"/>
      <c r="H173" s="9"/>
      <c r="I173" s="14"/>
      <c r="J173" s="9"/>
      <c r="K173" s="5" t="str">
        <f aca="false">IF($A173="","",IF(AND(G173&lt;45%,H173&gt;=0.9),"A",IF(AND(G173&lt;60%,H173&gt;0.8),"B","C")))</f>
        <v/>
      </c>
      <c r="L173" s="5" t="str">
        <f aca="false">IF($A173="","",IF(AND(G173&lt;60%,H173&gt;0.8,I173="True"),"是","否"))</f>
        <v/>
      </c>
      <c r="M173" s="5" t="str">
        <f aca="false">IF($A173="","",IF(AND(D173&gt;0,E173&gt;0,D173&lt;=E173*1.02),"是","否"))</f>
        <v/>
      </c>
      <c r="N173" s="19" t="n">
        <f aca="false">IFERROR(INDEX(账户总表!$O:$O,COUNTA(账户总表!$A:$A)),0)</f>
        <v>0.35</v>
      </c>
      <c r="O173" s="18" t="n">
        <f aca="false">IFERROR(INDEX(账户总表!$B:$B,COUNTA(账户总表!$A:$A))*N173,0)</f>
        <v>7294.812</v>
      </c>
      <c r="P173" s="21" t="n">
        <f aca="false">IFERROR(O173/D173,0)</f>
        <v>0</v>
      </c>
      <c r="Q173" s="21" t="n">
        <f aca="false">IFERROR(FLOOR(P173,100),0)</f>
        <v>0</v>
      </c>
      <c r="R173" s="21" t="n">
        <f aca="false">IFERROR(CEILING(800/(100*D173),1)*100,0)</f>
        <v>0</v>
      </c>
      <c r="S173" s="27"/>
      <c r="T173" s="18" t="n">
        <f aca="false">IFERROR(S173*D173,0)</f>
        <v>0</v>
      </c>
      <c r="U173" s="19" t="n">
        <f aca="false">IFERROR(T173/INDEX(账户总表!$B:$B,COUNTA(账户总表!$A:$A)),0)</f>
        <v>0</v>
      </c>
      <c r="V173" s="19" t="n">
        <f aca="false">IFERROR(INDEX(账户总表!$E:$E,COUNTA(账户总表!$A:$A))+U173,0)</f>
        <v>0.407056412146057</v>
      </c>
      <c r="W173" s="5" t="str">
        <f aca="false">IF($A173="","",IFERROR(IF(V173&lt;=INDEX(账户总表!$N:$N,COUNTA(账户总表!$A:$A)),"是","否"),"否"))</f>
        <v/>
      </c>
      <c r="X173" s="18" t="str">
        <f aca="false">IF($A173="","",MAX(F173*0.98,D173*0.92))</f>
        <v/>
      </c>
      <c r="Y173" s="9"/>
      <c r="Z173" s="5" t="str">
        <f aca="false">IF($A173="","",IFERROR(IF(AND(T173&gt;INDEX(账户总表!$C:$C,COUNTA(账户总表!$A:$A)),L173="是"),"是","否"),"否"))</f>
        <v/>
      </c>
      <c r="AA173" s="18" t="str">
        <f aca="false">IF($A173="","",IFERROR(IF(Z173="是",MAX(0,T173-INDEX(账户总表!$C:$C,COUNTA(账户总表!$A:$A)),IF(N173&gt;0,T173/N173-INDEX(账户总表!$B:$B,COUNTA(账户总表!$A:$A)),0)),0),0))</f>
        <v/>
      </c>
      <c r="AB173" s="18" t="str">
        <f aca="false">IF($A173="","",IF(AND(Z173="是",INDEX(账户总表!$U:$U,COUNTA(账户总表!$A:$A))="是"),IF(INDEX(账户总表!$L:$L,COUNTA(账户总表!$A:$A))&gt;=4,AA173*1.5,AA173),0))</f>
        <v/>
      </c>
      <c r="AC173" s="5" t="str">
        <f aca="false">IF($A173="","",IF(AND(L173="是",Q173&gt;=R173,S173&lt;=Q173,S173&gt;=R173,W173="是",X173&gt;0,M173="是",INDEX(账户总表!$M:$M,COUNTA(账户总表!$A:$A))&lt;=2,INDEX(账户总表!$V:$V,COUNTA(账户总表!$A:$A))="是",OR(T173&lt;=INDEX(账户总表!$C:$C,COUNTA(账户总表!$A:$A)),AND(Z173="是",INDEX(账户总表!$U:$U,COUNTA(账户总表!$A:$A))="是",AB173&gt;0))),"是","否"))</f>
        <v/>
      </c>
      <c r="AD173" s="5" t="str">
        <f aca="false">IF($A173="","",IF(L173&lt;&gt;"是","信号未确认",IF(X173&lt;=0,"止损价未定义",IF(Q173&lt;R173,"100股约束不满足",IF(S173&gt;Q173,"计划股数超单股上限",IF(S173&lt;R173,"计划股数低于最小门槛",IF(W173&lt;&gt;"是","总仓位超限",IF(M173&lt;&gt;"是","追价",IF(INDEX(账户总表!$M:$M,COUNTA(账户总表!$A:$A))&gt;2,"亏钱效应偏高",IF(INDEX(账户总表!$V:$V,COUNTA(账户总表!$A:$A))&lt;&gt;"是","账户不允许新开仓",IF(AND(T173&gt;INDEX(账户总表!$C:$C,COUNTA(账户总表!$A:$A)),INDEX(账户总表!$U:$U,COUNTA(账户总表!$A:$A))&lt;&gt;"是"),"现金不足且不允许转入",IF(AND(Z173="是",AB173&lt;=0),"转入金额未满足",""))))))))))))</f>
        <v/>
      </c>
      <c r="AE173" s="9"/>
      <c r="AF173" s="1" t="str">
        <f aca="false">IF($A173="","",D173*100)</f>
        <v/>
      </c>
      <c r="AG173" s="1" t="str">
        <f aca="false">IF($A173="","",IFERROR(AF173/INDEX(账户总表!$B:$B,COUNTA(账户总表!$A:$A)),0))</f>
        <v/>
      </c>
      <c r="AH173" s="1" t="str">
        <f aca="false">IF($A173="","",IFERROR(INDEX(账户总表!$B:$B,COUNTA(账户总表!$A:$A))*INDEX(账户总表!$O:$O,COUNTA(账户总表!$A:$A)),0))</f>
        <v/>
      </c>
      <c r="AI173" s="1" t="str">
        <f aca="false">IF($A173="","",IF(AF173&gt;AH173,"超限","合规"))</f>
        <v/>
      </c>
      <c r="AJ173" s="1" t="str">
        <f aca="false">IF($A173="","",IFERROR(AF173/INDEX(账户总表!$O:$O,COUNTA(账户总表!$A:$A)),0))</f>
        <v/>
      </c>
      <c r="AK173" s="1" t="str">
        <f aca="false">IF($A173="","",IFERROR(MAX(0,AJ173-INDEX(账户总表!$B:$B,COUNTA(账户总表!$A:$A)),AF173-INDEX(账户总表!$C:$C,COUNTA(账户总表!$A:$A))),0))</f>
        <v/>
      </c>
      <c r="AL173" s="1" t="str">
        <f aca="false">IF($A173="","",IF(COUNTIF(持仓表!$C$2:$C$201,C173)&gt;0,"已有","新标的"))</f>
        <v/>
      </c>
      <c r="AM173" s="1" t="str">
        <f aca="false">IF($A173="","",IFERROR(SUMIFS(持仓表!$N$2:$N$201,持仓表!$C$2:$C$201,C173,持仓表!$A$2:$A$201,$A173),0))</f>
        <v/>
      </c>
      <c r="AN173" s="1" t="str">
        <f aca="false">IF($A173="","",IFERROR(AM173+AF173/INDEX(账户总表!$B:$B,COUNTA(账户总表!$A:$A)),0))</f>
        <v/>
      </c>
      <c r="AO173" s="1" t="str">
        <f aca="false">IF($A173="","",IF(AN173&gt;INDEX(账户总表!$O:$O,COUNTA(账户总表!$A:$A)),"超限","合规"))</f>
        <v/>
      </c>
      <c r="AP173" s="1" t="str">
        <f aca="false">IF($A173="","",IF(AND(AL173="新标的",INDEX(账户总表!$R:$R,COUNTA(账户总表!$A:$A))&gt;=INDEX(账户总表!$S:$S,COUNTA(账户总表!$A:$A))),"新增受限","可通过"))</f>
        <v/>
      </c>
      <c r="AQ173" s="1" t="str">
        <f aca="false">IF($A173="","",IF(K173&lt;&gt;"核心池","非核心池",IF(OR(AI173="超限",AO173="超限",AP173="新增受限"),"不可加仓","可加仓")))</f>
        <v/>
      </c>
      <c r="AR173" s="1" t="str">
        <f aca="false">IF($A173="","",TRIM(IF(AI173="超限","1手超单股上限；","")&amp;IF(AO173="超限","买后仓位超限；","")&amp;IF(AP173="新增受限","有效持仓数超限；","")&amp;IF(AF173&gt;INDEX(账户总表!$C:$C,COUNTA(账户总表!$A:$A)),"现金不足；","")))</f>
        <v/>
      </c>
      <c r="AS173" s="1" t="str">
        <f aca="false">IF($A173="","",IFERROR(INDEX(候选池历史!$L:$L,MATCH(1,(候选池历史!$B:$B=C173)*(候选池历史!$A:$A=$A173),0)),0))</f>
        <v/>
      </c>
      <c r="AT173" s="1" t="str">
        <f aca="false">IF($A173="","",IF(AS173&gt;=3,"★信号强化",IF(K173="核心池","核心观察","")))</f>
        <v/>
      </c>
      <c r="AU173" s="1" t="str">
        <f aca="false">IF($A173="","",IF(AK173&gt;30000-INDEX(账户总表!$B:$B,COUNTA(账户总表!$A:$A)),"不适合婴儿阶段","可纳入幼儿路径"))</f>
        <v/>
      </c>
    </row>
    <row r="174" customFormat="false" ht="15" hidden="false" customHeight="true" outlineLevel="0" collapsed="false">
      <c r="A174" s="6"/>
      <c r="B174" s="6"/>
      <c r="C174" s="6"/>
      <c r="D174" s="17"/>
      <c r="E174" s="17"/>
      <c r="F174" s="17"/>
      <c r="G174" s="22"/>
      <c r="H174" s="6"/>
      <c r="I174" s="13"/>
      <c r="J174" s="6"/>
      <c r="K174" s="5" t="str">
        <f aca="false">IF($A174="","",IF(AND(G174&lt;45%,H174&gt;=0.9),"A",IF(AND(G174&lt;60%,H174&gt;0.8),"B","C")))</f>
        <v/>
      </c>
      <c r="L174" s="5" t="str">
        <f aca="false">IF($A174="","",IF(AND(G174&lt;60%,H174&gt;0.8,I174="True"),"是","否"))</f>
        <v/>
      </c>
      <c r="M174" s="5" t="str">
        <f aca="false">IF($A174="","",IF(AND(D174&gt;0,E174&gt;0,D174&lt;=E174*1.02),"是","否"))</f>
        <v/>
      </c>
      <c r="N174" s="19" t="n">
        <f aca="false">IFERROR(INDEX(账户总表!$O:$O,COUNTA(账户总表!$A:$A)),0)</f>
        <v>0.35</v>
      </c>
      <c r="O174" s="18" t="n">
        <f aca="false">IFERROR(INDEX(账户总表!$B:$B,COUNTA(账户总表!$A:$A))*N174,0)</f>
        <v>7294.812</v>
      </c>
      <c r="P174" s="21" t="n">
        <f aca="false">IFERROR(O174/D174,0)</f>
        <v>0</v>
      </c>
      <c r="Q174" s="21" t="n">
        <f aca="false">IFERROR(FLOOR(P174,100),0)</f>
        <v>0</v>
      </c>
      <c r="R174" s="21" t="n">
        <f aca="false">IFERROR(CEILING(800/(100*D174),1)*100,0)</f>
        <v>0</v>
      </c>
      <c r="S174" s="20"/>
      <c r="T174" s="18" t="n">
        <f aca="false">IFERROR(S174*D174,0)</f>
        <v>0</v>
      </c>
      <c r="U174" s="19" t="n">
        <f aca="false">IFERROR(T174/INDEX(账户总表!$B:$B,COUNTA(账户总表!$A:$A)),0)</f>
        <v>0</v>
      </c>
      <c r="V174" s="19" t="n">
        <f aca="false">IFERROR(INDEX(账户总表!$E:$E,COUNTA(账户总表!$A:$A))+U174,0)</f>
        <v>0.407056412146057</v>
      </c>
      <c r="W174" s="5" t="str">
        <f aca="false">IF($A174="","",IFERROR(IF(V174&lt;=INDEX(账户总表!$N:$N,COUNTA(账户总表!$A:$A)),"是","否"),"否"))</f>
        <v/>
      </c>
      <c r="X174" s="18" t="str">
        <f aca="false">IF($A174="","",MAX(F174*0.98,D174*0.92))</f>
        <v/>
      </c>
      <c r="Y174" s="6"/>
      <c r="Z174" s="5" t="str">
        <f aca="false">IF($A174="","",IFERROR(IF(AND(T174&gt;INDEX(账户总表!$C:$C,COUNTA(账户总表!$A:$A)),L174="是"),"是","否"),"否"))</f>
        <v/>
      </c>
      <c r="AA174" s="18" t="str">
        <f aca="false">IF($A174="","",IFERROR(IF(Z174="是",MAX(0,T174-INDEX(账户总表!$C:$C,COUNTA(账户总表!$A:$A)),IF(N174&gt;0,T174/N174-INDEX(账户总表!$B:$B,COUNTA(账户总表!$A:$A)),0)),0),0))</f>
        <v/>
      </c>
      <c r="AB174" s="18" t="str">
        <f aca="false">IF($A174="","",IF(AND(Z174="是",INDEX(账户总表!$U:$U,COUNTA(账户总表!$A:$A))="是"),IF(INDEX(账户总表!$L:$L,COUNTA(账户总表!$A:$A))&gt;=4,AA174*1.5,AA174),0))</f>
        <v/>
      </c>
      <c r="AC174" s="5" t="str">
        <f aca="false">IF($A174="","",IF(AND(L174="是",Q174&gt;=R174,S174&lt;=Q174,S174&gt;=R174,W174="是",X174&gt;0,M174="是",INDEX(账户总表!$M:$M,COUNTA(账户总表!$A:$A))&lt;=2,INDEX(账户总表!$V:$V,COUNTA(账户总表!$A:$A))="是",OR(T174&lt;=INDEX(账户总表!$C:$C,COUNTA(账户总表!$A:$A)),AND(Z174="是",INDEX(账户总表!$U:$U,COUNTA(账户总表!$A:$A))="是",AB174&gt;0))),"是","否"))</f>
        <v/>
      </c>
      <c r="AD174" s="5" t="str">
        <f aca="false">IF($A174="","",IF(L174&lt;&gt;"是","信号未确认",IF(X174&lt;=0,"止损价未定义",IF(Q174&lt;R174,"100股约束不满足",IF(S174&gt;Q174,"计划股数超单股上限",IF(S174&lt;R174,"计划股数低于最小门槛",IF(W174&lt;&gt;"是","总仓位超限",IF(M174&lt;&gt;"是","追价",IF(INDEX(账户总表!$M:$M,COUNTA(账户总表!$A:$A))&gt;2,"亏钱效应偏高",IF(INDEX(账户总表!$V:$V,COUNTA(账户总表!$A:$A))&lt;&gt;"是","账户不允许新开仓",IF(AND(T174&gt;INDEX(账户总表!$C:$C,COUNTA(账户总表!$A:$A)),INDEX(账户总表!$U:$U,COUNTA(账户总表!$A:$A))&lt;&gt;"是"),"现金不足且不允许转入",IF(AND(Z174="是",AB174&lt;=0),"转入金额未满足",""))))))))))))</f>
        <v/>
      </c>
      <c r="AE174" s="6"/>
      <c r="AF174" s="1" t="str">
        <f aca="false">IF($A174="","",D174*100)</f>
        <v/>
      </c>
      <c r="AG174" s="1" t="str">
        <f aca="false">IF($A174="","",IFERROR(AF174/INDEX(账户总表!$B:$B,COUNTA(账户总表!$A:$A)),0))</f>
        <v/>
      </c>
      <c r="AH174" s="1" t="str">
        <f aca="false">IF($A174="","",IFERROR(INDEX(账户总表!$B:$B,COUNTA(账户总表!$A:$A))*INDEX(账户总表!$O:$O,COUNTA(账户总表!$A:$A)),0))</f>
        <v/>
      </c>
      <c r="AI174" s="1" t="str">
        <f aca="false">IF($A174="","",IF(AF174&gt;AH174,"超限","合规"))</f>
        <v/>
      </c>
      <c r="AJ174" s="1" t="str">
        <f aca="false">IF($A174="","",IFERROR(AF174/INDEX(账户总表!$O:$O,COUNTA(账户总表!$A:$A)),0))</f>
        <v/>
      </c>
      <c r="AK174" s="1" t="str">
        <f aca="false">IF($A174="","",IFERROR(MAX(0,AJ174-INDEX(账户总表!$B:$B,COUNTA(账户总表!$A:$A)),AF174-INDEX(账户总表!$C:$C,COUNTA(账户总表!$A:$A))),0))</f>
        <v/>
      </c>
      <c r="AL174" s="1" t="str">
        <f aca="false">IF($A174="","",IF(COUNTIF(持仓表!$C$2:$C$201,C174)&gt;0,"已有","新标的"))</f>
        <v/>
      </c>
      <c r="AM174" s="1" t="str">
        <f aca="false">IF($A174="","",IFERROR(SUMIFS(持仓表!$N$2:$N$201,持仓表!$C$2:$C$201,C174,持仓表!$A$2:$A$201,$A174),0))</f>
        <v/>
      </c>
      <c r="AN174" s="1" t="str">
        <f aca="false">IF($A174="","",IFERROR(AM174+AF174/INDEX(账户总表!$B:$B,COUNTA(账户总表!$A:$A)),0))</f>
        <v/>
      </c>
      <c r="AO174" s="1" t="str">
        <f aca="false">IF($A174="","",IF(AN174&gt;INDEX(账户总表!$O:$O,COUNTA(账户总表!$A:$A)),"超限","合规"))</f>
        <v/>
      </c>
      <c r="AP174" s="1" t="str">
        <f aca="false">IF($A174="","",IF(AND(AL174="新标的",INDEX(账户总表!$R:$R,COUNTA(账户总表!$A:$A))&gt;=INDEX(账户总表!$S:$S,COUNTA(账户总表!$A:$A))),"新增受限","可通过"))</f>
        <v/>
      </c>
      <c r="AQ174" s="1" t="str">
        <f aca="false">IF($A174="","",IF(K174&lt;&gt;"核心池","非核心池",IF(OR(AI174="超限",AO174="超限",AP174="新增受限"),"不可加仓","可加仓")))</f>
        <v/>
      </c>
      <c r="AR174" s="1" t="str">
        <f aca="false">IF($A174="","",TRIM(IF(AI174="超限","1手超单股上限；","")&amp;IF(AO174="超限","买后仓位超限；","")&amp;IF(AP174="新增受限","有效持仓数超限；","")&amp;IF(AF174&gt;INDEX(账户总表!$C:$C,COUNTA(账户总表!$A:$A)),"现金不足；","")))</f>
        <v/>
      </c>
      <c r="AS174" s="1" t="str">
        <f aca="false">IF($A174="","",IFERROR(INDEX(候选池历史!$L:$L,MATCH(1,(候选池历史!$B:$B=C174)*(候选池历史!$A:$A=$A174),0)),0))</f>
        <v/>
      </c>
      <c r="AT174" s="1" t="str">
        <f aca="false">IF($A174="","",IF(AS174&gt;=3,"★信号强化",IF(K174="核心池","核心观察","")))</f>
        <v/>
      </c>
      <c r="AU174" s="1" t="str">
        <f aca="false">IF($A174="","",IF(AK174&gt;30000-INDEX(账户总表!$B:$B,COUNTA(账户总表!$A:$A)),"不适合婴儿阶段","可纳入幼儿路径"))</f>
        <v/>
      </c>
    </row>
    <row r="175" customFormat="false" ht="15" hidden="false" customHeight="true" outlineLevel="0" collapsed="false">
      <c r="A175" s="9"/>
      <c r="B175" s="9"/>
      <c r="C175" s="9"/>
      <c r="D175" s="26"/>
      <c r="E175" s="26"/>
      <c r="F175" s="26"/>
      <c r="G175" s="28"/>
      <c r="H175" s="9"/>
      <c r="I175" s="14"/>
      <c r="J175" s="9"/>
      <c r="K175" s="5" t="str">
        <f aca="false">IF($A175="","",IF(AND(G175&lt;45%,H175&gt;=0.9),"A",IF(AND(G175&lt;60%,H175&gt;0.8),"B","C")))</f>
        <v/>
      </c>
      <c r="L175" s="5" t="str">
        <f aca="false">IF($A175="","",IF(AND(G175&lt;60%,H175&gt;0.8,I175="True"),"是","否"))</f>
        <v/>
      </c>
      <c r="M175" s="5" t="str">
        <f aca="false">IF($A175="","",IF(AND(D175&gt;0,E175&gt;0,D175&lt;=E175*1.02),"是","否"))</f>
        <v/>
      </c>
      <c r="N175" s="19" t="n">
        <f aca="false">IFERROR(INDEX(账户总表!$O:$O,COUNTA(账户总表!$A:$A)),0)</f>
        <v>0.35</v>
      </c>
      <c r="O175" s="18" t="n">
        <f aca="false">IFERROR(INDEX(账户总表!$B:$B,COUNTA(账户总表!$A:$A))*N175,0)</f>
        <v>7294.812</v>
      </c>
      <c r="P175" s="21" t="n">
        <f aca="false">IFERROR(O175/D175,0)</f>
        <v>0</v>
      </c>
      <c r="Q175" s="21" t="n">
        <f aca="false">IFERROR(FLOOR(P175,100),0)</f>
        <v>0</v>
      </c>
      <c r="R175" s="21" t="n">
        <f aca="false">IFERROR(CEILING(800/(100*D175),1)*100,0)</f>
        <v>0</v>
      </c>
      <c r="S175" s="27"/>
      <c r="T175" s="18" t="n">
        <f aca="false">IFERROR(S175*D175,0)</f>
        <v>0</v>
      </c>
      <c r="U175" s="19" t="n">
        <f aca="false">IFERROR(T175/INDEX(账户总表!$B:$B,COUNTA(账户总表!$A:$A)),0)</f>
        <v>0</v>
      </c>
      <c r="V175" s="19" t="n">
        <f aca="false">IFERROR(INDEX(账户总表!$E:$E,COUNTA(账户总表!$A:$A))+U175,0)</f>
        <v>0.407056412146057</v>
      </c>
      <c r="W175" s="5" t="str">
        <f aca="false">IF($A175="","",IFERROR(IF(V175&lt;=INDEX(账户总表!$N:$N,COUNTA(账户总表!$A:$A)),"是","否"),"否"))</f>
        <v/>
      </c>
      <c r="X175" s="18" t="str">
        <f aca="false">IF($A175="","",MAX(F175*0.98,D175*0.92))</f>
        <v/>
      </c>
      <c r="Y175" s="9"/>
      <c r="Z175" s="5" t="str">
        <f aca="false">IF($A175="","",IFERROR(IF(AND(T175&gt;INDEX(账户总表!$C:$C,COUNTA(账户总表!$A:$A)),L175="是"),"是","否"),"否"))</f>
        <v/>
      </c>
      <c r="AA175" s="18" t="str">
        <f aca="false">IF($A175="","",IFERROR(IF(Z175="是",MAX(0,T175-INDEX(账户总表!$C:$C,COUNTA(账户总表!$A:$A)),IF(N175&gt;0,T175/N175-INDEX(账户总表!$B:$B,COUNTA(账户总表!$A:$A)),0)),0),0))</f>
        <v/>
      </c>
      <c r="AB175" s="18" t="str">
        <f aca="false">IF($A175="","",IF(AND(Z175="是",INDEX(账户总表!$U:$U,COUNTA(账户总表!$A:$A))="是"),IF(INDEX(账户总表!$L:$L,COUNTA(账户总表!$A:$A))&gt;=4,AA175*1.5,AA175),0))</f>
        <v/>
      </c>
      <c r="AC175" s="5" t="str">
        <f aca="false">IF($A175="","",IF(AND(L175="是",Q175&gt;=R175,S175&lt;=Q175,S175&gt;=R175,W175="是",X175&gt;0,M175="是",INDEX(账户总表!$M:$M,COUNTA(账户总表!$A:$A))&lt;=2,INDEX(账户总表!$V:$V,COUNTA(账户总表!$A:$A))="是",OR(T175&lt;=INDEX(账户总表!$C:$C,COUNTA(账户总表!$A:$A)),AND(Z175="是",INDEX(账户总表!$U:$U,COUNTA(账户总表!$A:$A))="是",AB175&gt;0))),"是","否"))</f>
        <v/>
      </c>
      <c r="AD175" s="5" t="str">
        <f aca="false">IF($A175="","",IF(L175&lt;&gt;"是","信号未确认",IF(X175&lt;=0,"止损价未定义",IF(Q175&lt;R175,"100股约束不满足",IF(S175&gt;Q175,"计划股数超单股上限",IF(S175&lt;R175,"计划股数低于最小门槛",IF(W175&lt;&gt;"是","总仓位超限",IF(M175&lt;&gt;"是","追价",IF(INDEX(账户总表!$M:$M,COUNTA(账户总表!$A:$A))&gt;2,"亏钱效应偏高",IF(INDEX(账户总表!$V:$V,COUNTA(账户总表!$A:$A))&lt;&gt;"是","账户不允许新开仓",IF(AND(T175&gt;INDEX(账户总表!$C:$C,COUNTA(账户总表!$A:$A)),INDEX(账户总表!$U:$U,COUNTA(账户总表!$A:$A))&lt;&gt;"是"),"现金不足且不允许转入",IF(AND(Z175="是",AB175&lt;=0),"转入金额未满足",""))))))))))))</f>
        <v/>
      </c>
      <c r="AE175" s="9"/>
      <c r="AF175" s="1" t="str">
        <f aca="false">IF($A175="","",D175*100)</f>
        <v/>
      </c>
      <c r="AG175" s="1" t="str">
        <f aca="false">IF($A175="","",IFERROR(AF175/INDEX(账户总表!$B:$B,COUNTA(账户总表!$A:$A)),0))</f>
        <v/>
      </c>
      <c r="AH175" s="1" t="str">
        <f aca="false">IF($A175="","",IFERROR(INDEX(账户总表!$B:$B,COUNTA(账户总表!$A:$A))*INDEX(账户总表!$O:$O,COUNTA(账户总表!$A:$A)),0))</f>
        <v/>
      </c>
      <c r="AI175" s="1" t="str">
        <f aca="false">IF($A175="","",IF(AF175&gt;AH175,"超限","合规"))</f>
        <v/>
      </c>
      <c r="AJ175" s="1" t="str">
        <f aca="false">IF($A175="","",IFERROR(AF175/INDEX(账户总表!$O:$O,COUNTA(账户总表!$A:$A)),0))</f>
        <v/>
      </c>
      <c r="AK175" s="1" t="str">
        <f aca="false">IF($A175="","",IFERROR(MAX(0,AJ175-INDEX(账户总表!$B:$B,COUNTA(账户总表!$A:$A)),AF175-INDEX(账户总表!$C:$C,COUNTA(账户总表!$A:$A))),0))</f>
        <v/>
      </c>
      <c r="AL175" s="1" t="str">
        <f aca="false">IF($A175="","",IF(COUNTIF(持仓表!$C$2:$C$201,C175)&gt;0,"已有","新标的"))</f>
        <v/>
      </c>
      <c r="AM175" s="1" t="str">
        <f aca="false">IF($A175="","",IFERROR(SUMIFS(持仓表!$N$2:$N$201,持仓表!$C$2:$C$201,C175,持仓表!$A$2:$A$201,$A175),0))</f>
        <v/>
      </c>
      <c r="AN175" s="1" t="str">
        <f aca="false">IF($A175="","",IFERROR(AM175+AF175/INDEX(账户总表!$B:$B,COUNTA(账户总表!$A:$A)),0))</f>
        <v/>
      </c>
      <c r="AO175" s="1" t="str">
        <f aca="false">IF($A175="","",IF(AN175&gt;INDEX(账户总表!$O:$O,COUNTA(账户总表!$A:$A)),"超限","合规"))</f>
        <v/>
      </c>
      <c r="AP175" s="1" t="str">
        <f aca="false">IF($A175="","",IF(AND(AL175="新标的",INDEX(账户总表!$R:$R,COUNTA(账户总表!$A:$A))&gt;=INDEX(账户总表!$S:$S,COUNTA(账户总表!$A:$A))),"新增受限","可通过"))</f>
        <v/>
      </c>
      <c r="AQ175" s="1" t="str">
        <f aca="false">IF($A175="","",IF(K175&lt;&gt;"核心池","非核心池",IF(OR(AI175="超限",AO175="超限",AP175="新增受限"),"不可加仓","可加仓")))</f>
        <v/>
      </c>
      <c r="AR175" s="1" t="str">
        <f aca="false">IF($A175="","",TRIM(IF(AI175="超限","1手超单股上限；","")&amp;IF(AO175="超限","买后仓位超限；","")&amp;IF(AP175="新增受限","有效持仓数超限；","")&amp;IF(AF175&gt;INDEX(账户总表!$C:$C,COUNTA(账户总表!$A:$A)),"现金不足；","")))</f>
        <v/>
      </c>
      <c r="AS175" s="1" t="str">
        <f aca="false">IF($A175="","",IFERROR(INDEX(候选池历史!$L:$L,MATCH(1,(候选池历史!$B:$B=C175)*(候选池历史!$A:$A=$A175),0)),0))</f>
        <v/>
      </c>
      <c r="AT175" s="1" t="str">
        <f aca="false">IF($A175="","",IF(AS175&gt;=3,"★信号强化",IF(K175="核心池","核心观察","")))</f>
        <v/>
      </c>
      <c r="AU175" s="1" t="str">
        <f aca="false">IF($A175="","",IF(AK175&gt;30000-INDEX(账户总表!$B:$B,COUNTA(账户总表!$A:$A)),"不适合婴儿阶段","可纳入幼儿路径"))</f>
        <v/>
      </c>
    </row>
    <row r="176" customFormat="false" ht="15" hidden="false" customHeight="true" outlineLevel="0" collapsed="false">
      <c r="A176" s="6"/>
      <c r="B176" s="6"/>
      <c r="C176" s="6"/>
      <c r="D176" s="17"/>
      <c r="E176" s="17"/>
      <c r="F176" s="17"/>
      <c r="G176" s="22"/>
      <c r="H176" s="6"/>
      <c r="I176" s="13"/>
      <c r="J176" s="6"/>
      <c r="K176" s="5" t="str">
        <f aca="false">IF($A176="","",IF(AND(G176&lt;45%,H176&gt;=0.9),"A",IF(AND(G176&lt;60%,H176&gt;0.8),"B","C")))</f>
        <v/>
      </c>
      <c r="L176" s="5" t="str">
        <f aca="false">IF($A176="","",IF(AND(G176&lt;60%,H176&gt;0.8,I176="True"),"是","否"))</f>
        <v/>
      </c>
      <c r="M176" s="5" t="str">
        <f aca="false">IF($A176="","",IF(AND(D176&gt;0,E176&gt;0,D176&lt;=E176*1.02),"是","否"))</f>
        <v/>
      </c>
      <c r="N176" s="19" t="n">
        <f aca="false">IFERROR(INDEX(账户总表!$O:$O,COUNTA(账户总表!$A:$A)),0)</f>
        <v>0.35</v>
      </c>
      <c r="O176" s="18" t="n">
        <f aca="false">IFERROR(INDEX(账户总表!$B:$B,COUNTA(账户总表!$A:$A))*N176,0)</f>
        <v>7294.812</v>
      </c>
      <c r="P176" s="21" t="n">
        <f aca="false">IFERROR(O176/D176,0)</f>
        <v>0</v>
      </c>
      <c r="Q176" s="21" t="n">
        <f aca="false">IFERROR(FLOOR(P176,100),0)</f>
        <v>0</v>
      </c>
      <c r="R176" s="21" t="n">
        <f aca="false">IFERROR(CEILING(800/(100*D176),1)*100,0)</f>
        <v>0</v>
      </c>
      <c r="S176" s="20"/>
      <c r="T176" s="18" t="n">
        <f aca="false">IFERROR(S176*D176,0)</f>
        <v>0</v>
      </c>
      <c r="U176" s="19" t="n">
        <f aca="false">IFERROR(T176/INDEX(账户总表!$B:$B,COUNTA(账户总表!$A:$A)),0)</f>
        <v>0</v>
      </c>
      <c r="V176" s="19" t="n">
        <f aca="false">IFERROR(INDEX(账户总表!$E:$E,COUNTA(账户总表!$A:$A))+U176,0)</f>
        <v>0.407056412146057</v>
      </c>
      <c r="W176" s="5" t="str">
        <f aca="false">IF($A176="","",IFERROR(IF(V176&lt;=INDEX(账户总表!$N:$N,COUNTA(账户总表!$A:$A)),"是","否"),"否"))</f>
        <v/>
      </c>
      <c r="X176" s="18" t="str">
        <f aca="false">IF($A176="","",MAX(F176*0.98,D176*0.92))</f>
        <v/>
      </c>
      <c r="Y176" s="6"/>
      <c r="Z176" s="5" t="str">
        <f aca="false">IF($A176="","",IFERROR(IF(AND(T176&gt;INDEX(账户总表!$C:$C,COUNTA(账户总表!$A:$A)),L176="是"),"是","否"),"否"))</f>
        <v/>
      </c>
      <c r="AA176" s="18" t="str">
        <f aca="false">IF($A176="","",IFERROR(IF(Z176="是",MAX(0,T176-INDEX(账户总表!$C:$C,COUNTA(账户总表!$A:$A)),IF(N176&gt;0,T176/N176-INDEX(账户总表!$B:$B,COUNTA(账户总表!$A:$A)),0)),0),0))</f>
        <v/>
      </c>
      <c r="AB176" s="18" t="str">
        <f aca="false">IF($A176="","",IF(AND(Z176="是",INDEX(账户总表!$U:$U,COUNTA(账户总表!$A:$A))="是"),IF(INDEX(账户总表!$L:$L,COUNTA(账户总表!$A:$A))&gt;=4,AA176*1.5,AA176),0))</f>
        <v/>
      </c>
      <c r="AC176" s="5" t="str">
        <f aca="false">IF($A176="","",IF(AND(L176="是",Q176&gt;=R176,S176&lt;=Q176,S176&gt;=R176,W176="是",X176&gt;0,M176="是",INDEX(账户总表!$M:$M,COUNTA(账户总表!$A:$A))&lt;=2,INDEX(账户总表!$V:$V,COUNTA(账户总表!$A:$A))="是",OR(T176&lt;=INDEX(账户总表!$C:$C,COUNTA(账户总表!$A:$A)),AND(Z176="是",INDEX(账户总表!$U:$U,COUNTA(账户总表!$A:$A))="是",AB176&gt;0))),"是","否"))</f>
        <v/>
      </c>
      <c r="AD176" s="5" t="str">
        <f aca="false">IF($A176="","",IF(L176&lt;&gt;"是","信号未确认",IF(X176&lt;=0,"止损价未定义",IF(Q176&lt;R176,"100股约束不满足",IF(S176&gt;Q176,"计划股数超单股上限",IF(S176&lt;R176,"计划股数低于最小门槛",IF(W176&lt;&gt;"是","总仓位超限",IF(M176&lt;&gt;"是","追价",IF(INDEX(账户总表!$M:$M,COUNTA(账户总表!$A:$A))&gt;2,"亏钱效应偏高",IF(INDEX(账户总表!$V:$V,COUNTA(账户总表!$A:$A))&lt;&gt;"是","账户不允许新开仓",IF(AND(T176&gt;INDEX(账户总表!$C:$C,COUNTA(账户总表!$A:$A)),INDEX(账户总表!$U:$U,COUNTA(账户总表!$A:$A))&lt;&gt;"是"),"现金不足且不允许转入",IF(AND(Z176="是",AB176&lt;=0),"转入金额未满足",""))))))))))))</f>
        <v/>
      </c>
      <c r="AE176" s="6"/>
      <c r="AF176" s="1" t="str">
        <f aca="false">IF($A176="","",D176*100)</f>
        <v/>
      </c>
      <c r="AG176" s="1" t="str">
        <f aca="false">IF($A176="","",IFERROR(AF176/INDEX(账户总表!$B:$B,COUNTA(账户总表!$A:$A)),0))</f>
        <v/>
      </c>
      <c r="AH176" s="1" t="str">
        <f aca="false">IF($A176="","",IFERROR(INDEX(账户总表!$B:$B,COUNTA(账户总表!$A:$A))*INDEX(账户总表!$O:$O,COUNTA(账户总表!$A:$A)),0))</f>
        <v/>
      </c>
      <c r="AI176" s="1" t="str">
        <f aca="false">IF($A176="","",IF(AF176&gt;AH176,"超限","合规"))</f>
        <v/>
      </c>
      <c r="AJ176" s="1" t="str">
        <f aca="false">IF($A176="","",IFERROR(AF176/INDEX(账户总表!$O:$O,COUNTA(账户总表!$A:$A)),0))</f>
        <v/>
      </c>
      <c r="AK176" s="1" t="str">
        <f aca="false">IF($A176="","",IFERROR(MAX(0,AJ176-INDEX(账户总表!$B:$B,COUNTA(账户总表!$A:$A)),AF176-INDEX(账户总表!$C:$C,COUNTA(账户总表!$A:$A))),0))</f>
        <v/>
      </c>
      <c r="AL176" s="1" t="str">
        <f aca="false">IF($A176="","",IF(COUNTIF(持仓表!$C$2:$C$201,C176)&gt;0,"已有","新标的"))</f>
        <v/>
      </c>
      <c r="AM176" s="1" t="str">
        <f aca="false">IF($A176="","",IFERROR(SUMIFS(持仓表!$N$2:$N$201,持仓表!$C$2:$C$201,C176,持仓表!$A$2:$A$201,$A176),0))</f>
        <v/>
      </c>
      <c r="AN176" s="1" t="str">
        <f aca="false">IF($A176="","",IFERROR(AM176+AF176/INDEX(账户总表!$B:$B,COUNTA(账户总表!$A:$A)),0))</f>
        <v/>
      </c>
      <c r="AO176" s="1" t="str">
        <f aca="false">IF($A176="","",IF(AN176&gt;INDEX(账户总表!$O:$O,COUNTA(账户总表!$A:$A)),"超限","合规"))</f>
        <v/>
      </c>
      <c r="AP176" s="1" t="str">
        <f aca="false">IF($A176="","",IF(AND(AL176="新标的",INDEX(账户总表!$R:$R,COUNTA(账户总表!$A:$A))&gt;=INDEX(账户总表!$S:$S,COUNTA(账户总表!$A:$A))),"新增受限","可通过"))</f>
        <v/>
      </c>
      <c r="AQ176" s="1" t="str">
        <f aca="false">IF($A176="","",IF(K176&lt;&gt;"核心池","非核心池",IF(OR(AI176="超限",AO176="超限",AP176="新增受限"),"不可加仓","可加仓")))</f>
        <v/>
      </c>
      <c r="AR176" s="1" t="str">
        <f aca="false">IF($A176="","",TRIM(IF(AI176="超限","1手超单股上限；","")&amp;IF(AO176="超限","买后仓位超限；","")&amp;IF(AP176="新增受限","有效持仓数超限；","")&amp;IF(AF176&gt;INDEX(账户总表!$C:$C,COUNTA(账户总表!$A:$A)),"现金不足；","")))</f>
        <v/>
      </c>
      <c r="AS176" s="1" t="str">
        <f aca="false">IF($A176="","",IFERROR(INDEX(候选池历史!$L:$L,MATCH(1,(候选池历史!$B:$B=C176)*(候选池历史!$A:$A=$A176),0)),0))</f>
        <v/>
      </c>
      <c r="AT176" s="1" t="str">
        <f aca="false">IF($A176="","",IF(AS176&gt;=3,"★信号强化",IF(K176="核心池","核心观察","")))</f>
        <v/>
      </c>
      <c r="AU176" s="1" t="str">
        <f aca="false">IF($A176="","",IF(AK176&gt;30000-INDEX(账户总表!$B:$B,COUNTA(账户总表!$A:$A)),"不适合婴儿阶段","可纳入幼儿路径"))</f>
        <v/>
      </c>
    </row>
    <row r="177" customFormat="false" ht="15" hidden="false" customHeight="true" outlineLevel="0" collapsed="false">
      <c r="A177" s="9"/>
      <c r="B177" s="9"/>
      <c r="C177" s="9"/>
      <c r="D177" s="26"/>
      <c r="E177" s="26"/>
      <c r="F177" s="26"/>
      <c r="G177" s="28"/>
      <c r="H177" s="9"/>
      <c r="I177" s="14"/>
      <c r="J177" s="9"/>
      <c r="K177" s="5" t="str">
        <f aca="false">IF($A177="","",IF(AND(G177&lt;45%,H177&gt;=0.9),"A",IF(AND(G177&lt;60%,H177&gt;0.8),"B","C")))</f>
        <v/>
      </c>
      <c r="L177" s="5" t="str">
        <f aca="false">IF($A177="","",IF(AND(G177&lt;60%,H177&gt;0.8,I177="True"),"是","否"))</f>
        <v/>
      </c>
      <c r="M177" s="5" t="str">
        <f aca="false">IF($A177="","",IF(AND(D177&gt;0,E177&gt;0,D177&lt;=E177*1.02),"是","否"))</f>
        <v/>
      </c>
      <c r="N177" s="19" t="n">
        <f aca="false">IFERROR(INDEX(账户总表!$O:$O,COUNTA(账户总表!$A:$A)),0)</f>
        <v>0.35</v>
      </c>
      <c r="O177" s="18" t="n">
        <f aca="false">IFERROR(INDEX(账户总表!$B:$B,COUNTA(账户总表!$A:$A))*N177,0)</f>
        <v>7294.812</v>
      </c>
      <c r="P177" s="21" t="n">
        <f aca="false">IFERROR(O177/D177,0)</f>
        <v>0</v>
      </c>
      <c r="Q177" s="21" t="n">
        <f aca="false">IFERROR(FLOOR(P177,100),0)</f>
        <v>0</v>
      </c>
      <c r="R177" s="21" t="n">
        <f aca="false">IFERROR(CEILING(800/(100*D177),1)*100,0)</f>
        <v>0</v>
      </c>
      <c r="S177" s="27"/>
      <c r="T177" s="18" t="n">
        <f aca="false">IFERROR(S177*D177,0)</f>
        <v>0</v>
      </c>
      <c r="U177" s="19" t="n">
        <f aca="false">IFERROR(T177/INDEX(账户总表!$B:$B,COUNTA(账户总表!$A:$A)),0)</f>
        <v>0</v>
      </c>
      <c r="V177" s="19" t="n">
        <f aca="false">IFERROR(INDEX(账户总表!$E:$E,COUNTA(账户总表!$A:$A))+U177,0)</f>
        <v>0.407056412146057</v>
      </c>
      <c r="W177" s="5" t="str">
        <f aca="false">IF($A177="","",IFERROR(IF(V177&lt;=INDEX(账户总表!$N:$N,COUNTA(账户总表!$A:$A)),"是","否"),"否"))</f>
        <v/>
      </c>
      <c r="X177" s="18" t="str">
        <f aca="false">IF($A177="","",MAX(F177*0.98,D177*0.92))</f>
        <v/>
      </c>
      <c r="Y177" s="9"/>
      <c r="Z177" s="5" t="str">
        <f aca="false">IF($A177="","",IFERROR(IF(AND(T177&gt;INDEX(账户总表!$C:$C,COUNTA(账户总表!$A:$A)),L177="是"),"是","否"),"否"))</f>
        <v/>
      </c>
      <c r="AA177" s="18" t="str">
        <f aca="false">IF($A177="","",IFERROR(IF(Z177="是",MAX(0,T177-INDEX(账户总表!$C:$C,COUNTA(账户总表!$A:$A)),IF(N177&gt;0,T177/N177-INDEX(账户总表!$B:$B,COUNTA(账户总表!$A:$A)),0)),0),0))</f>
        <v/>
      </c>
      <c r="AB177" s="18" t="str">
        <f aca="false">IF($A177="","",IF(AND(Z177="是",INDEX(账户总表!$U:$U,COUNTA(账户总表!$A:$A))="是"),IF(INDEX(账户总表!$L:$L,COUNTA(账户总表!$A:$A))&gt;=4,AA177*1.5,AA177),0))</f>
        <v/>
      </c>
      <c r="AC177" s="5" t="str">
        <f aca="false">IF($A177="","",IF(AND(L177="是",Q177&gt;=R177,S177&lt;=Q177,S177&gt;=R177,W177="是",X177&gt;0,M177="是",INDEX(账户总表!$M:$M,COUNTA(账户总表!$A:$A))&lt;=2,INDEX(账户总表!$V:$V,COUNTA(账户总表!$A:$A))="是",OR(T177&lt;=INDEX(账户总表!$C:$C,COUNTA(账户总表!$A:$A)),AND(Z177="是",INDEX(账户总表!$U:$U,COUNTA(账户总表!$A:$A))="是",AB177&gt;0))),"是","否"))</f>
        <v/>
      </c>
      <c r="AD177" s="5" t="str">
        <f aca="false">IF($A177="","",IF(L177&lt;&gt;"是","信号未确认",IF(X177&lt;=0,"止损价未定义",IF(Q177&lt;R177,"100股约束不满足",IF(S177&gt;Q177,"计划股数超单股上限",IF(S177&lt;R177,"计划股数低于最小门槛",IF(W177&lt;&gt;"是","总仓位超限",IF(M177&lt;&gt;"是","追价",IF(INDEX(账户总表!$M:$M,COUNTA(账户总表!$A:$A))&gt;2,"亏钱效应偏高",IF(INDEX(账户总表!$V:$V,COUNTA(账户总表!$A:$A))&lt;&gt;"是","账户不允许新开仓",IF(AND(T177&gt;INDEX(账户总表!$C:$C,COUNTA(账户总表!$A:$A)),INDEX(账户总表!$U:$U,COUNTA(账户总表!$A:$A))&lt;&gt;"是"),"现金不足且不允许转入",IF(AND(Z177="是",AB177&lt;=0),"转入金额未满足",""))))))))))))</f>
        <v/>
      </c>
      <c r="AE177" s="9"/>
      <c r="AF177" s="1" t="str">
        <f aca="false">IF($A177="","",D177*100)</f>
        <v/>
      </c>
      <c r="AG177" s="1" t="str">
        <f aca="false">IF($A177="","",IFERROR(AF177/INDEX(账户总表!$B:$B,COUNTA(账户总表!$A:$A)),0))</f>
        <v/>
      </c>
      <c r="AH177" s="1" t="str">
        <f aca="false">IF($A177="","",IFERROR(INDEX(账户总表!$B:$B,COUNTA(账户总表!$A:$A))*INDEX(账户总表!$O:$O,COUNTA(账户总表!$A:$A)),0))</f>
        <v/>
      </c>
      <c r="AI177" s="1" t="str">
        <f aca="false">IF($A177="","",IF(AF177&gt;AH177,"超限","合规"))</f>
        <v/>
      </c>
      <c r="AJ177" s="1" t="str">
        <f aca="false">IF($A177="","",IFERROR(AF177/INDEX(账户总表!$O:$O,COUNTA(账户总表!$A:$A)),0))</f>
        <v/>
      </c>
      <c r="AK177" s="1" t="str">
        <f aca="false">IF($A177="","",IFERROR(MAX(0,AJ177-INDEX(账户总表!$B:$B,COUNTA(账户总表!$A:$A)),AF177-INDEX(账户总表!$C:$C,COUNTA(账户总表!$A:$A))),0))</f>
        <v/>
      </c>
      <c r="AL177" s="1" t="str">
        <f aca="false">IF($A177="","",IF(COUNTIF(持仓表!$C$2:$C$201,C177)&gt;0,"已有","新标的"))</f>
        <v/>
      </c>
      <c r="AM177" s="1" t="str">
        <f aca="false">IF($A177="","",IFERROR(SUMIFS(持仓表!$N$2:$N$201,持仓表!$C$2:$C$201,C177,持仓表!$A$2:$A$201,$A177),0))</f>
        <v/>
      </c>
      <c r="AN177" s="1" t="str">
        <f aca="false">IF($A177="","",IFERROR(AM177+AF177/INDEX(账户总表!$B:$B,COUNTA(账户总表!$A:$A)),0))</f>
        <v/>
      </c>
      <c r="AO177" s="1" t="str">
        <f aca="false">IF($A177="","",IF(AN177&gt;INDEX(账户总表!$O:$O,COUNTA(账户总表!$A:$A)),"超限","合规"))</f>
        <v/>
      </c>
      <c r="AP177" s="1" t="str">
        <f aca="false">IF($A177="","",IF(AND(AL177="新标的",INDEX(账户总表!$R:$R,COUNTA(账户总表!$A:$A))&gt;=INDEX(账户总表!$S:$S,COUNTA(账户总表!$A:$A))),"新增受限","可通过"))</f>
        <v/>
      </c>
      <c r="AQ177" s="1" t="str">
        <f aca="false">IF($A177="","",IF(K177&lt;&gt;"核心池","非核心池",IF(OR(AI177="超限",AO177="超限",AP177="新增受限"),"不可加仓","可加仓")))</f>
        <v/>
      </c>
      <c r="AR177" s="1" t="str">
        <f aca="false">IF($A177="","",TRIM(IF(AI177="超限","1手超单股上限；","")&amp;IF(AO177="超限","买后仓位超限；","")&amp;IF(AP177="新增受限","有效持仓数超限；","")&amp;IF(AF177&gt;INDEX(账户总表!$C:$C,COUNTA(账户总表!$A:$A)),"现金不足；","")))</f>
        <v/>
      </c>
      <c r="AS177" s="1" t="str">
        <f aca="false">IF($A177="","",IFERROR(INDEX(候选池历史!$L:$L,MATCH(1,(候选池历史!$B:$B=C177)*(候选池历史!$A:$A=$A177),0)),0))</f>
        <v/>
      </c>
      <c r="AT177" s="1" t="str">
        <f aca="false">IF($A177="","",IF(AS177&gt;=3,"★信号强化",IF(K177="核心池","核心观察","")))</f>
        <v/>
      </c>
      <c r="AU177" s="1" t="str">
        <f aca="false">IF($A177="","",IF(AK177&gt;30000-INDEX(账户总表!$B:$B,COUNTA(账户总表!$A:$A)),"不适合婴儿阶段","可纳入幼儿路径"))</f>
        <v/>
      </c>
    </row>
    <row r="178" customFormat="false" ht="15" hidden="false" customHeight="true" outlineLevel="0" collapsed="false">
      <c r="A178" s="6"/>
      <c r="B178" s="6"/>
      <c r="C178" s="6"/>
      <c r="D178" s="17"/>
      <c r="E178" s="17"/>
      <c r="F178" s="17"/>
      <c r="G178" s="22"/>
      <c r="H178" s="6"/>
      <c r="I178" s="13"/>
      <c r="J178" s="6"/>
      <c r="K178" s="5" t="str">
        <f aca="false">IF($A178="","",IF(AND(G178&lt;45%,H178&gt;=0.9),"A",IF(AND(G178&lt;60%,H178&gt;0.8),"B","C")))</f>
        <v/>
      </c>
      <c r="L178" s="5" t="str">
        <f aca="false">IF($A178="","",IF(AND(G178&lt;60%,H178&gt;0.8,I178="True"),"是","否"))</f>
        <v/>
      </c>
      <c r="M178" s="5" t="str">
        <f aca="false">IF($A178="","",IF(AND(D178&gt;0,E178&gt;0,D178&lt;=E178*1.02),"是","否"))</f>
        <v/>
      </c>
      <c r="N178" s="19" t="n">
        <f aca="false">IFERROR(INDEX(账户总表!$O:$O,COUNTA(账户总表!$A:$A)),0)</f>
        <v>0.35</v>
      </c>
      <c r="O178" s="18" t="n">
        <f aca="false">IFERROR(INDEX(账户总表!$B:$B,COUNTA(账户总表!$A:$A))*N178,0)</f>
        <v>7294.812</v>
      </c>
      <c r="P178" s="21" t="n">
        <f aca="false">IFERROR(O178/D178,0)</f>
        <v>0</v>
      </c>
      <c r="Q178" s="21" t="n">
        <f aca="false">IFERROR(FLOOR(P178,100),0)</f>
        <v>0</v>
      </c>
      <c r="R178" s="21" t="n">
        <f aca="false">IFERROR(CEILING(800/(100*D178),1)*100,0)</f>
        <v>0</v>
      </c>
      <c r="S178" s="20"/>
      <c r="T178" s="18" t="n">
        <f aca="false">IFERROR(S178*D178,0)</f>
        <v>0</v>
      </c>
      <c r="U178" s="19" t="n">
        <f aca="false">IFERROR(T178/INDEX(账户总表!$B:$B,COUNTA(账户总表!$A:$A)),0)</f>
        <v>0</v>
      </c>
      <c r="V178" s="19" t="n">
        <f aca="false">IFERROR(INDEX(账户总表!$E:$E,COUNTA(账户总表!$A:$A))+U178,0)</f>
        <v>0.407056412146057</v>
      </c>
      <c r="W178" s="5" t="str">
        <f aca="false">IF($A178="","",IFERROR(IF(V178&lt;=INDEX(账户总表!$N:$N,COUNTA(账户总表!$A:$A)),"是","否"),"否"))</f>
        <v/>
      </c>
      <c r="X178" s="18" t="str">
        <f aca="false">IF($A178="","",MAX(F178*0.98,D178*0.92))</f>
        <v/>
      </c>
      <c r="Y178" s="6"/>
      <c r="Z178" s="5" t="str">
        <f aca="false">IF($A178="","",IFERROR(IF(AND(T178&gt;INDEX(账户总表!$C:$C,COUNTA(账户总表!$A:$A)),L178="是"),"是","否"),"否"))</f>
        <v/>
      </c>
      <c r="AA178" s="18" t="str">
        <f aca="false">IF($A178="","",IFERROR(IF(Z178="是",MAX(0,T178-INDEX(账户总表!$C:$C,COUNTA(账户总表!$A:$A)),IF(N178&gt;0,T178/N178-INDEX(账户总表!$B:$B,COUNTA(账户总表!$A:$A)),0)),0),0))</f>
        <v/>
      </c>
      <c r="AB178" s="18" t="str">
        <f aca="false">IF($A178="","",IF(AND(Z178="是",INDEX(账户总表!$U:$U,COUNTA(账户总表!$A:$A))="是"),IF(INDEX(账户总表!$L:$L,COUNTA(账户总表!$A:$A))&gt;=4,AA178*1.5,AA178),0))</f>
        <v/>
      </c>
      <c r="AC178" s="5" t="str">
        <f aca="false">IF($A178="","",IF(AND(L178="是",Q178&gt;=R178,S178&lt;=Q178,S178&gt;=R178,W178="是",X178&gt;0,M178="是",INDEX(账户总表!$M:$M,COUNTA(账户总表!$A:$A))&lt;=2,INDEX(账户总表!$V:$V,COUNTA(账户总表!$A:$A))="是",OR(T178&lt;=INDEX(账户总表!$C:$C,COUNTA(账户总表!$A:$A)),AND(Z178="是",INDEX(账户总表!$U:$U,COUNTA(账户总表!$A:$A))="是",AB178&gt;0))),"是","否"))</f>
        <v/>
      </c>
      <c r="AD178" s="5" t="str">
        <f aca="false">IF($A178="","",IF(L178&lt;&gt;"是","信号未确认",IF(X178&lt;=0,"止损价未定义",IF(Q178&lt;R178,"100股约束不满足",IF(S178&gt;Q178,"计划股数超单股上限",IF(S178&lt;R178,"计划股数低于最小门槛",IF(W178&lt;&gt;"是","总仓位超限",IF(M178&lt;&gt;"是","追价",IF(INDEX(账户总表!$M:$M,COUNTA(账户总表!$A:$A))&gt;2,"亏钱效应偏高",IF(INDEX(账户总表!$V:$V,COUNTA(账户总表!$A:$A))&lt;&gt;"是","账户不允许新开仓",IF(AND(T178&gt;INDEX(账户总表!$C:$C,COUNTA(账户总表!$A:$A)),INDEX(账户总表!$U:$U,COUNTA(账户总表!$A:$A))&lt;&gt;"是"),"现金不足且不允许转入",IF(AND(Z178="是",AB178&lt;=0),"转入金额未满足",""))))))))))))</f>
        <v/>
      </c>
      <c r="AE178" s="6"/>
      <c r="AF178" s="1" t="str">
        <f aca="false">IF($A178="","",D178*100)</f>
        <v/>
      </c>
      <c r="AG178" s="1" t="str">
        <f aca="false">IF($A178="","",IFERROR(AF178/INDEX(账户总表!$B:$B,COUNTA(账户总表!$A:$A)),0))</f>
        <v/>
      </c>
      <c r="AH178" s="1" t="str">
        <f aca="false">IF($A178="","",IFERROR(INDEX(账户总表!$B:$B,COUNTA(账户总表!$A:$A))*INDEX(账户总表!$O:$O,COUNTA(账户总表!$A:$A)),0))</f>
        <v/>
      </c>
      <c r="AI178" s="1" t="str">
        <f aca="false">IF($A178="","",IF(AF178&gt;AH178,"超限","合规"))</f>
        <v/>
      </c>
      <c r="AJ178" s="1" t="str">
        <f aca="false">IF($A178="","",IFERROR(AF178/INDEX(账户总表!$O:$O,COUNTA(账户总表!$A:$A)),0))</f>
        <v/>
      </c>
      <c r="AK178" s="1" t="str">
        <f aca="false">IF($A178="","",IFERROR(MAX(0,AJ178-INDEX(账户总表!$B:$B,COUNTA(账户总表!$A:$A)),AF178-INDEX(账户总表!$C:$C,COUNTA(账户总表!$A:$A))),0))</f>
        <v/>
      </c>
      <c r="AL178" s="1" t="str">
        <f aca="false">IF($A178="","",IF(COUNTIF(持仓表!$C$2:$C$201,C178)&gt;0,"已有","新标的"))</f>
        <v/>
      </c>
      <c r="AM178" s="1" t="str">
        <f aca="false">IF($A178="","",IFERROR(SUMIFS(持仓表!$N$2:$N$201,持仓表!$C$2:$C$201,C178,持仓表!$A$2:$A$201,$A178),0))</f>
        <v/>
      </c>
      <c r="AN178" s="1" t="str">
        <f aca="false">IF($A178="","",IFERROR(AM178+AF178/INDEX(账户总表!$B:$B,COUNTA(账户总表!$A:$A)),0))</f>
        <v/>
      </c>
      <c r="AO178" s="1" t="str">
        <f aca="false">IF($A178="","",IF(AN178&gt;INDEX(账户总表!$O:$O,COUNTA(账户总表!$A:$A)),"超限","合规"))</f>
        <v/>
      </c>
      <c r="AP178" s="1" t="str">
        <f aca="false">IF($A178="","",IF(AND(AL178="新标的",INDEX(账户总表!$R:$R,COUNTA(账户总表!$A:$A))&gt;=INDEX(账户总表!$S:$S,COUNTA(账户总表!$A:$A))),"新增受限","可通过"))</f>
        <v/>
      </c>
      <c r="AQ178" s="1" t="str">
        <f aca="false">IF($A178="","",IF(K178&lt;&gt;"核心池","非核心池",IF(OR(AI178="超限",AO178="超限",AP178="新增受限"),"不可加仓","可加仓")))</f>
        <v/>
      </c>
      <c r="AR178" s="1" t="str">
        <f aca="false">IF($A178="","",TRIM(IF(AI178="超限","1手超单股上限；","")&amp;IF(AO178="超限","买后仓位超限；","")&amp;IF(AP178="新增受限","有效持仓数超限；","")&amp;IF(AF178&gt;INDEX(账户总表!$C:$C,COUNTA(账户总表!$A:$A)),"现金不足；","")))</f>
        <v/>
      </c>
      <c r="AS178" s="1" t="str">
        <f aca="false">IF($A178="","",IFERROR(INDEX(候选池历史!$L:$L,MATCH(1,(候选池历史!$B:$B=C178)*(候选池历史!$A:$A=$A178),0)),0))</f>
        <v/>
      </c>
      <c r="AT178" s="1" t="str">
        <f aca="false">IF($A178="","",IF(AS178&gt;=3,"★信号强化",IF(K178="核心池","核心观察","")))</f>
        <v/>
      </c>
      <c r="AU178" s="1" t="str">
        <f aca="false">IF($A178="","",IF(AK178&gt;30000-INDEX(账户总表!$B:$B,COUNTA(账户总表!$A:$A)),"不适合婴儿阶段","可纳入幼儿路径"))</f>
        <v/>
      </c>
    </row>
    <row r="179" customFormat="false" ht="15" hidden="false" customHeight="true" outlineLevel="0" collapsed="false">
      <c r="A179" s="9"/>
      <c r="B179" s="9"/>
      <c r="C179" s="9"/>
      <c r="D179" s="26"/>
      <c r="E179" s="26"/>
      <c r="F179" s="26"/>
      <c r="G179" s="28"/>
      <c r="H179" s="9"/>
      <c r="I179" s="14"/>
      <c r="J179" s="9"/>
      <c r="K179" s="5" t="str">
        <f aca="false">IF($A179="","",IF(AND(G179&lt;45%,H179&gt;=0.9),"A",IF(AND(G179&lt;60%,H179&gt;0.8),"B","C")))</f>
        <v/>
      </c>
      <c r="L179" s="5" t="str">
        <f aca="false">IF($A179="","",IF(AND(G179&lt;60%,H179&gt;0.8,I179="True"),"是","否"))</f>
        <v/>
      </c>
      <c r="M179" s="5" t="str">
        <f aca="false">IF($A179="","",IF(AND(D179&gt;0,E179&gt;0,D179&lt;=E179*1.02),"是","否"))</f>
        <v/>
      </c>
      <c r="N179" s="19" t="n">
        <f aca="false">IFERROR(INDEX(账户总表!$O:$O,COUNTA(账户总表!$A:$A)),0)</f>
        <v>0.35</v>
      </c>
      <c r="O179" s="18" t="n">
        <f aca="false">IFERROR(INDEX(账户总表!$B:$B,COUNTA(账户总表!$A:$A))*N179,0)</f>
        <v>7294.812</v>
      </c>
      <c r="P179" s="21" t="n">
        <f aca="false">IFERROR(O179/D179,0)</f>
        <v>0</v>
      </c>
      <c r="Q179" s="21" t="n">
        <f aca="false">IFERROR(FLOOR(P179,100),0)</f>
        <v>0</v>
      </c>
      <c r="R179" s="21" t="n">
        <f aca="false">IFERROR(CEILING(800/(100*D179),1)*100,0)</f>
        <v>0</v>
      </c>
      <c r="S179" s="27"/>
      <c r="T179" s="18" t="n">
        <f aca="false">IFERROR(S179*D179,0)</f>
        <v>0</v>
      </c>
      <c r="U179" s="19" t="n">
        <f aca="false">IFERROR(T179/INDEX(账户总表!$B:$B,COUNTA(账户总表!$A:$A)),0)</f>
        <v>0</v>
      </c>
      <c r="V179" s="19" t="n">
        <f aca="false">IFERROR(INDEX(账户总表!$E:$E,COUNTA(账户总表!$A:$A))+U179,0)</f>
        <v>0.407056412146057</v>
      </c>
      <c r="W179" s="5" t="str">
        <f aca="false">IF($A179="","",IFERROR(IF(V179&lt;=INDEX(账户总表!$N:$N,COUNTA(账户总表!$A:$A)),"是","否"),"否"))</f>
        <v/>
      </c>
      <c r="X179" s="18" t="str">
        <f aca="false">IF($A179="","",MAX(F179*0.98,D179*0.92))</f>
        <v/>
      </c>
      <c r="Y179" s="9"/>
      <c r="Z179" s="5" t="str">
        <f aca="false">IF($A179="","",IFERROR(IF(AND(T179&gt;INDEX(账户总表!$C:$C,COUNTA(账户总表!$A:$A)),L179="是"),"是","否"),"否"))</f>
        <v/>
      </c>
      <c r="AA179" s="18" t="str">
        <f aca="false">IF($A179="","",IFERROR(IF(Z179="是",MAX(0,T179-INDEX(账户总表!$C:$C,COUNTA(账户总表!$A:$A)),IF(N179&gt;0,T179/N179-INDEX(账户总表!$B:$B,COUNTA(账户总表!$A:$A)),0)),0),0))</f>
        <v/>
      </c>
      <c r="AB179" s="18" t="str">
        <f aca="false">IF($A179="","",IF(AND(Z179="是",INDEX(账户总表!$U:$U,COUNTA(账户总表!$A:$A))="是"),IF(INDEX(账户总表!$L:$L,COUNTA(账户总表!$A:$A))&gt;=4,AA179*1.5,AA179),0))</f>
        <v/>
      </c>
      <c r="AC179" s="5" t="str">
        <f aca="false">IF($A179="","",IF(AND(L179="是",Q179&gt;=R179,S179&lt;=Q179,S179&gt;=R179,W179="是",X179&gt;0,M179="是",INDEX(账户总表!$M:$M,COUNTA(账户总表!$A:$A))&lt;=2,INDEX(账户总表!$V:$V,COUNTA(账户总表!$A:$A))="是",OR(T179&lt;=INDEX(账户总表!$C:$C,COUNTA(账户总表!$A:$A)),AND(Z179="是",INDEX(账户总表!$U:$U,COUNTA(账户总表!$A:$A))="是",AB179&gt;0))),"是","否"))</f>
        <v/>
      </c>
      <c r="AD179" s="5" t="str">
        <f aca="false">IF($A179="","",IF(L179&lt;&gt;"是","信号未确认",IF(X179&lt;=0,"止损价未定义",IF(Q179&lt;R179,"100股约束不满足",IF(S179&gt;Q179,"计划股数超单股上限",IF(S179&lt;R179,"计划股数低于最小门槛",IF(W179&lt;&gt;"是","总仓位超限",IF(M179&lt;&gt;"是","追价",IF(INDEX(账户总表!$M:$M,COUNTA(账户总表!$A:$A))&gt;2,"亏钱效应偏高",IF(INDEX(账户总表!$V:$V,COUNTA(账户总表!$A:$A))&lt;&gt;"是","账户不允许新开仓",IF(AND(T179&gt;INDEX(账户总表!$C:$C,COUNTA(账户总表!$A:$A)),INDEX(账户总表!$U:$U,COUNTA(账户总表!$A:$A))&lt;&gt;"是"),"现金不足且不允许转入",IF(AND(Z179="是",AB179&lt;=0),"转入金额未满足",""))))))))))))</f>
        <v/>
      </c>
      <c r="AE179" s="9"/>
      <c r="AF179" s="1" t="str">
        <f aca="false">IF($A179="","",D179*100)</f>
        <v/>
      </c>
      <c r="AG179" s="1" t="str">
        <f aca="false">IF($A179="","",IFERROR(AF179/INDEX(账户总表!$B:$B,COUNTA(账户总表!$A:$A)),0))</f>
        <v/>
      </c>
      <c r="AH179" s="1" t="str">
        <f aca="false">IF($A179="","",IFERROR(INDEX(账户总表!$B:$B,COUNTA(账户总表!$A:$A))*INDEX(账户总表!$O:$O,COUNTA(账户总表!$A:$A)),0))</f>
        <v/>
      </c>
      <c r="AI179" s="1" t="str">
        <f aca="false">IF($A179="","",IF(AF179&gt;AH179,"超限","合规"))</f>
        <v/>
      </c>
      <c r="AJ179" s="1" t="str">
        <f aca="false">IF($A179="","",IFERROR(AF179/INDEX(账户总表!$O:$O,COUNTA(账户总表!$A:$A)),0))</f>
        <v/>
      </c>
      <c r="AK179" s="1" t="str">
        <f aca="false">IF($A179="","",IFERROR(MAX(0,AJ179-INDEX(账户总表!$B:$B,COUNTA(账户总表!$A:$A)),AF179-INDEX(账户总表!$C:$C,COUNTA(账户总表!$A:$A))),0))</f>
        <v/>
      </c>
      <c r="AL179" s="1" t="str">
        <f aca="false">IF($A179="","",IF(COUNTIF(持仓表!$C$2:$C$201,C179)&gt;0,"已有","新标的"))</f>
        <v/>
      </c>
      <c r="AM179" s="1" t="str">
        <f aca="false">IF($A179="","",IFERROR(SUMIFS(持仓表!$N$2:$N$201,持仓表!$C$2:$C$201,C179,持仓表!$A$2:$A$201,$A179),0))</f>
        <v/>
      </c>
      <c r="AN179" s="1" t="str">
        <f aca="false">IF($A179="","",IFERROR(AM179+AF179/INDEX(账户总表!$B:$B,COUNTA(账户总表!$A:$A)),0))</f>
        <v/>
      </c>
      <c r="AO179" s="1" t="str">
        <f aca="false">IF($A179="","",IF(AN179&gt;INDEX(账户总表!$O:$O,COUNTA(账户总表!$A:$A)),"超限","合规"))</f>
        <v/>
      </c>
      <c r="AP179" s="1" t="str">
        <f aca="false">IF($A179="","",IF(AND(AL179="新标的",INDEX(账户总表!$R:$R,COUNTA(账户总表!$A:$A))&gt;=INDEX(账户总表!$S:$S,COUNTA(账户总表!$A:$A))),"新增受限","可通过"))</f>
        <v/>
      </c>
      <c r="AQ179" s="1" t="str">
        <f aca="false">IF($A179="","",IF(K179&lt;&gt;"核心池","非核心池",IF(OR(AI179="超限",AO179="超限",AP179="新增受限"),"不可加仓","可加仓")))</f>
        <v/>
      </c>
      <c r="AR179" s="1" t="str">
        <f aca="false">IF($A179="","",TRIM(IF(AI179="超限","1手超单股上限；","")&amp;IF(AO179="超限","买后仓位超限；","")&amp;IF(AP179="新增受限","有效持仓数超限；","")&amp;IF(AF179&gt;INDEX(账户总表!$C:$C,COUNTA(账户总表!$A:$A)),"现金不足；","")))</f>
        <v/>
      </c>
      <c r="AS179" s="1" t="str">
        <f aca="false">IF($A179="","",IFERROR(INDEX(候选池历史!$L:$L,MATCH(1,(候选池历史!$B:$B=C179)*(候选池历史!$A:$A=$A179),0)),0))</f>
        <v/>
      </c>
      <c r="AT179" s="1" t="str">
        <f aca="false">IF($A179="","",IF(AS179&gt;=3,"★信号强化",IF(K179="核心池","核心观察","")))</f>
        <v/>
      </c>
      <c r="AU179" s="1" t="str">
        <f aca="false">IF($A179="","",IF(AK179&gt;30000-INDEX(账户总表!$B:$B,COUNTA(账户总表!$A:$A)),"不适合婴儿阶段","可纳入幼儿路径"))</f>
        <v/>
      </c>
    </row>
    <row r="180" customFormat="false" ht="15" hidden="false" customHeight="true" outlineLevel="0" collapsed="false">
      <c r="A180" s="6"/>
      <c r="B180" s="6"/>
      <c r="C180" s="6"/>
      <c r="D180" s="17"/>
      <c r="E180" s="17"/>
      <c r="F180" s="17"/>
      <c r="G180" s="22"/>
      <c r="H180" s="6"/>
      <c r="I180" s="13"/>
      <c r="J180" s="6"/>
      <c r="K180" s="5" t="str">
        <f aca="false">IF($A180="","",IF(AND(G180&lt;45%,H180&gt;=0.9),"A",IF(AND(G180&lt;60%,H180&gt;0.8),"B","C")))</f>
        <v/>
      </c>
      <c r="L180" s="5" t="str">
        <f aca="false">IF($A180="","",IF(AND(G180&lt;60%,H180&gt;0.8,I180="True"),"是","否"))</f>
        <v/>
      </c>
      <c r="M180" s="5" t="str">
        <f aca="false">IF($A180="","",IF(AND(D180&gt;0,E180&gt;0,D180&lt;=E180*1.02),"是","否"))</f>
        <v/>
      </c>
      <c r="N180" s="19" t="n">
        <f aca="false">IFERROR(INDEX(账户总表!$O:$O,COUNTA(账户总表!$A:$A)),0)</f>
        <v>0.35</v>
      </c>
      <c r="O180" s="18" t="n">
        <f aca="false">IFERROR(INDEX(账户总表!$B:$B,COUNTA(账户总表!$A:$A))*N180,0)</f>
        <v>7294.812</v>
      </c>
      <c r="P180" s="21" t="n">
        <f aca="false">IFERROR(O180/D180,0)</f>
        <v>0</v>
      </c>
      <c r="Q180" s="21" t="n">
        <f aca="false">IFERROR(FLOOR(P180,100),0)</f>
        <v>0</v>
      </c>
      <c r="R180" s="21" t="n">
        <f aca="false">IFERROR(CEILING(800/(100*D180),1)*100,0)</f>
        <v>0</v>
      </c>
      <c r="S180" s="20"/>
      <c r="T180" s="18" t="n">
        <f aca="false">IFERROR(S180*D180,0)</f>
        <v>0</v>
      </c>
      <c r="U180" s="19" t="n">
        <f aca="false">IFERROR(T180/INDEX(账户总表!$B:$B,COUNTA(账户总表!$A:$A)),0)</f>
        <v>0</v>
      </c>
      <c r="V180" s="19" t="n">
        <f aca="false">IFERROR(INDEX(账户总表!$E:$E,COUNTA(账户总表!$A:$A))+U180,0)</f>
        <v>0.407056412146057</v>
      </c>
      <c r="W180" s="5" t="str">
        <f aca="false">IF($A180="","",IFERROR(IF(V180&lt;=INDEX(账户总表!$N:$N,COUNTA(账户总表!$A:$A)),"是","否"),"否"))</f>
        <v/>
      </c>
      <c r="X180" s="18" t="str">
        <f aca="false">IF($A180="","",MAX(F180*0.98,D180*0.92))</f>
        <v/>
      </c>
      <c r="Y180" s="6"/>
      <c r="Z180" s="5" t="str">
        <f aca="false">IF($A180="","",IFERROR(IF(AND(T180&gt;INDEX(账户总表!$C:$C,COUNTA(账户总表!$A:$A)),L180="是"),"是","否"),"否"))</f>
        <v/>
      </c>
      <c r="AA180" s="18" t="str">
        <f aca="false">IF($A180="","",IFERROR(IF(Z180="是",MAX(0,T180-INDEX(账户总表!$C:$C,COUNTA(账户总表!$A:$A)),IF(N180&gt;0,T180/N180-INDEX(账户总表!$B:$B,COUNTA(账户总表!$A:$A)),0)),0),0))</f>
        <v/>
      </c>
      <c r="AB180" s="18" t="str">
        <f aca="false">IF($A180="","",IF(AND(Z180="是",INDEX(账户总表!$U:$U,COUNTA(账户总表!$A:$A))="是"),IF(INDEX(账户总表!$L:$L,COUNTA(账户总表!$A:$A))&gt;=4,AA180*1.5,AA180),0))</f>
        <v/>
      </c>
      <c r="AC180" s="5" t="str">
        <f aca="false">IF($A180="","",IF(AND(L180="是",Q180&gt;=R180,S180&lt;=Q180,S180&gt;=R180,W180="是",X180&gt;0,M180="是",INDEX(账户总表!$M:$M,COUNTA(账户总表!$A:$A))&lt;=2,INDEX(账户总表!$V:$V,COUNTA(账户总表!$A:$A))="是",OR(T180&lt;=INDEX(账户总表!$C:$C,COUNTA(账户总表!$A:$A)),AND(Z180="是",INDEX(账户总表!$U:$U,COUNTA(账户总表!$A:$A))="是",AB180&gt;0))),"是","否"))</f>
        <v/>
      </c>
      <c r="AD180" s="5" t="str">
        <f aca="false">IF($A180="","",IF(L180&lt;&gt;"是","信号未确认",IF(X180&lt;=0,"止损价未定义",IF(Q180&lt;R180,"100股约束不满足",IF(S180&gt;Q180,"计划股数超单股上限",IF(S180&lt;R180,"计划股数低于最小门槛",IF(W180&lt;&gt;"是","总仓位超限",IF(M180&lt;&gt;"是","追价",IF(INDEX(账户总表!$M:$M,COUNTA(账户总表!$A:$A))&gt;2,"亏钱效应偏高",IF(INDEX(账户总表!$V:$V,COUNTA(账户总表!$A:$A))&lt;&gt;"是","账户不允许新开仓",IF(AND(T180&gt;INDEX(账户总表!$C:$C,COUNTA(账户总表!$A:$A)),INDEX(账户总表!$U:$U,COUNTA(账户总表!$A:$A))&lt;&gt;"是"),"现金不足且不允许转入",IF(AND(Z180="是",AB180&lt;=0),"转入金额未满足",""))))))))))))</f>
        <v/>
      </c>
      <c r="AE180" s="6"/>
      <c r="AF180" s="1" t="str">
        <f aca="false">IF($A180="","",D180*100)</f>
        <v/>
      </c>
      <c r="AG180" s="1" t="str">
        <f aca="false">IF($A180="","",IFERROR(AF180/INDEX(账户总表!$B:$B,COUNTA(账户总表!$A:$A)),0))</f>
        <v/>
      </c>
      <c r="AH180" s="1" t="str">
        <f aca="false">IF($A180="","",IFERROR(INDEX(账户总表!$B:$B,COUNTA(账户总表!$A:$A))*INDEX(账户总表!$O:$O,COUNTA(账户总表!$A:$A)),0))</f>
        <v/>
      </c>
      <c r="AI180" s="1" t="str">
        <f aca="false">IF($A180="","",IF(AF180&gt;AH180,"超限","合规"))</f>
        <v/>
      </c>
      <c r="AJ180" s="1" t="str">
        <f aca="false">IF($A180="","",IFERROR(AF180/INDEX(账户总表!$O:$O,COUNTA(账户总表!$A:$A)),0))</f>
        <v/>
      </c>
      <c r="AK180" s="1" t="str">
        <f aca="false">IF($A180="","",IFERROR(MAX(0,AJ180-INDEX(账户总表!$B:$B,COUNTA(账户总表!$A:$A)),AF180-INDEX(账户总表!$C:$C,COUNTA(账户总表!$A:$A))),0))</f>
        <v/>
      </c>
      <c r="AL180" s="1" t="str">
        <f aca="false">IF($A180="","",IF(COUNTIF(持仓表!$C$2:$C$201,C180)&gt;0,"已有","新标的"))</f>
        <v/>
      </c>
      <c r="AM180" s="1" t="str">
        <f aca="false">IF($A180="","",IFERROR(SUMIFS(持仓表!$N$2:$N$201,持仓表!$C$2:$C$201,C180,持仓表!$A$2:$A$201,$A180),0))</f>
        <v/>
      </c>
      <c r="AN180" s="1" t="str">
        <f aca="false">IF($A180="","",IFERROR(AM180+AF180/INDEX(账户总表!$B:$B,COUNTA(账户总表!$A:$A)),0))</f>
        <v/>
      </c>
      <c r="AO180" s="1" t="str">
        <f aca="false">IF($A180="","",IF(AN180&gt;INDEX(账户总表!$O:$O,COUNTA(账户总表!$A:$A)),"超限","合规"))</f>
        <v/>
      </c>
      <c r="AP180" s="1" t="str">
        <f aca="false">IF($A180="","",IF(AND(AL180="新标的",INDEX(账户总表!$R:$R,COUNTA(账户总表!$A:$A))&gt;=INDEX(账户总表!$S:$S,COUNTA(账户总表!$A:$A))),"新增受限","可通过"))</f>
        <v/>
      </c>
      <c r="AQ180" s="1" t="str">
        <f aca="false">IF($A180="","",IF(K180&lt;&gt;"核心池","非核心池",IF(OR(AI180="超限",AO180="超限",AP180="新增受限"),"不可加仓","可加仓")))</f>
        <v/>
      </c>
      <c r="AR180" s="1" t="str">
        <f aca="false">IF($A180="","",TRIM(IF(AI180="超限","1手超单股上限；","")&amp;IF(AO180="超限","买后仓位超限；","")&amp;IF(AP180="新增受限","有效持仓数超限；","")&amp;IF(AF180&gt;INDEX(账户总表!$C:$C,COUNTA(账户总表!$A:$A)),"现金不足；","")))</f>
        <v/>
      </c>
      <c r="AS180" s="1" t="str">
        <f aca="false">IF($A180="","",IFERROR(INDEX(候选池历史!$L:$L,MATCH(1,(候选池历史!$B:$B=C180)*(候选池历史!$A:$A=$A180),0)),0))</f>
        <v/>
      </c>
      <c r="AT180" s="1" t="str">
        <f aca="false">IF($A180="","",IF(AS180&gt;=3,"★信号强化",IF(K180="核心池","核心观察","")))</f>
        <v/>
      </c>
      <c r="AU180" s="1" t="str">
        <f aca="false">IF($A180="","",IF(AK180&gt;30000-INDEX(账户总表!$B:$B,COUNTA(账户总表!$A:$A)),"不适合婴儿阶段","可纳入幼儿路径"))</f>
        <v/>
      </c>
    </row>
    <row r="181" customFormat="false" ht="15" hidden="false" customHeight="true" outlineLevel="0" collapsed="false">
      <c r="A181" s="9"/>
      <c r="B181" s="9"/>
      <c r="C181" s="9"/>
      <c r="D181" s="26"/>
      <c r="E181" s="26"/>
      <c r="F181" s="26"/>
      <c r="G181" s="28"/>
      <c r="H181" s="9"/>
      <c r="I181" s="14"/>
      <c r="J181" s="9"/>
      <c r="K181" s="5" t="str">
        <f aca="false">IF($A181="","",IF(AND(G181&lt;45%,H181&gt;=0.9),"A",IF(AND(G181&lt;60%,H181&gt;0.8),"B","C")))</f>
        <v/>
      </c>
      <c r="L181" s="5" t="str">
        <f aca="false">IF($A181="","",IF(AND(G181&lt;60%,H181&gt;0.8,I181="True"),"是","否"))</f>
        <v/>
      </c>
      <c r="M181" s="5" t="str">
        <f aca="false">IF($A181="","",IF(AND(D181&gt;0,E181&gt;0,D181&lt;=E181*1.02),"是","否"))</f>
        <v/>
      </c>
      <c r="N181" s="19" t="n">
        <f aca="false">IFERROR(INDEX(账户总表!$O:$O,COUNTA(账户总表!$A:$A)),0)</f>
        <v>0.35</v>
      </c>
      <c r="O181" s="18" t="n">
        <f aca="false">IFERROR(INDEX(账户总表!$B:$B,COUNTA(账户总表!$A:$A))*N181,0)</f>
        <v>7294.812</v>
      </c>
      <c r="P181" s="21" t="n">
        <f aca="false">IFERROR(O181/D181,0)</f>
        <v>0</v>
      </c>
      <c r="Q181" s="21" t="n">
        <f aca="false">IFERROR(FLOOR(P181,100),0)</f>
        <v>0</v>
      </c>
      <c r="R181" s="21" t="n">
        <f aca="false">IFERROR(CEILING(800/(100*D181),1)*100,0)</f>
        <v>0</v>
      </c>
      <c r="S181" s="27"/>
      <c r="T181" s="18" t="n">
        <f aca="false">IFERROR(S181*D181,0)</f>
        <v>0</v>
      </c>
      <c r="U181" s="19" t="n">
        <f aca="false">IFERROR(T181/INDEX(账户总表!$B:$B,COUNTA(账户总表!$A:$A)),0)</f>
        <v>0</v>
      </c>
      <c r="V181" s="19" t="n">
        <f aca="false">IFERROR(INDEX(账户总表!$E:$E,COUNTA(账户总表!$A:$A))+U181,0)</f>
        <v>0.407056412146057</v>
      </c>
      <c r="W181" s="5" t="str">
        <f aca="false">IF($A181="","",IFERROR(IF(V181&lt;=INDEX(账户总表!$N:$N,COUNTA(账户总表!$A:$A)),"是","否"),"否"))</f>
        <v/>
      </c>
      <c r="X181" s="18" t="str">
        <f aca="false">IF($A181="","",MAX(F181*0.98,D181*0.92))</f>
        <v/>
      </c>
      <c r="Y181" s="9"/>
      <c r="Z181" s="5" t="str">
        <f aca="false">IF($A181="","",IFERROR(IF(AND(T181&gt;INDEX(账户总表!$C:$C,COUNTA(账户总表!$A:$A)),L181="是"),"是","否"),"否"))</f>
        <v/>
      </c>
      <c r="AA181" s="18" t="str">
        <f aca="false">IF($A181="","",IFERROR(IF(Z181="是",MAX(0,T181-INDEX(账户总表!$C:$C,COUNTA(账户总表!$A:$A)),IF(N181&gt;0,T181/N181-INDEX(账户总表!$B:$B,COUNTA(账户总表!$A:$A)),0)),0),0))</f>
        <v/>
      </c>
      <c r="AB181" s="18" t="str">
        <f aca="false">IF($A181="","",IF(AND(Z181="是",INDEX(账户总表!$U:$U,COUNTA(账户总表!$A:$A))="是"),IF(INDEX(账户总表!$L:$L,COUNTA(账户总表!$A:$A))&gt;=4,AA181*1.5,AA181),0))</f>
        <v/>
      </c>
      <c r="AC181" s="5" t="str">
        <f aca="false">IF($A181="","",IF(AND(L181="是",Q181&gt;=R181,S181&lt;=Q181,S181&gt;=R181,W181="是",X181&gt;0,M181="是",INDEX(账户总表!$M:$M,COUNTA(账户总表!$A:$A))&lt;=2,INDEX(账户总表!$V:$V,COUNTA(账户总表!$A:$A))="是",OR(T181&lt;=INDEX(账户总表!$C:$C,COUNTA(账户总表!$A:$A)),AND(Z181="是",INDEX(账户总表!$U:$U,COUNTA(账户总表!$A:$A))="是",AB181&gt;0))),"是","否"))</f>
        <v/>
      </c>
      <c r="AD181" s="5" t="str">
        <f aca="false">IF($A181="","",IF(L181&lt;&gt;"是","信号未确认",IF(X181&lt;=0,"止损价未定义",IF(Q181&lt;R181,"100股约束不满足",IF(S181&gt;Q181,"计划股数超单股上限",IF(S181&lt;R181,"计划股数低于最小门槛",IF(W181&lt;&gt;"是","总仓位超限",IF(M181&lt;&gt;"是","追价",IF(INDEX(账户总表!$M:$M,COUNTA(账户总表!$A:$A))&gt;2,"亏钱效应偏高",IF(INDEX(账户总表!$V:$V,COUNTA(账户总表!$A:$A))&lt;&gt;"是","账户不允许新开仓",IF(AND(T181&gt;INDEX(账户总表!$C:$C,COUNTA(账户总表!$A:$A)),INDEX(账户总表!$U:$U,COUNTA(账户总表!$A:$A))&lt;&gt;"是"),"现金不足且不允许转入",IF(AND(Z181="是",AB181&lt;=0),"转入金额未满足",""))))))))))))</f>
        <v/>
      </c>
      <c r="AE181" s="9"/>
      <c r="AF181" s="1" t="str">
        <f aca="false">IF($A181="","",D181*100)</f>
        <v/>
      </c>
      <c r="AG181" s="1" t="str">
        <f aca="false">IF($A181="","",IFERROR(AF181/INDEX(账户总表!$B:$B,COUNTA(账户总表!$A:$A)),0))</f>
        <v/>
      </c>
      <c r="AH181" s="1" t="str">
        <f aca="false">IF($A181="","",IFERROR(INDEX(账户总表!$B:$B,COUNTA(账户总表!$A:$A))*INDEX(账户总表!$O:$O,COUNTA(账户总表!$A:$A)),0))</f>
        <v/>
      </c>
      <c r="AI181" s="1" t="str">
        <f aca="false">IF($A181="","",IF(AF181&gt;AH181,"超限","合规"))</f>
        <v/>
      </c>
      <c r="AJ181" s="1" t="str">
        <f aca="false">IF($A181="","",IFERROR(AF181/INDEX(账户总表!$O:$O,COUNTA(账户总表!$A:$A)),0))</f>
        <v/>
      </c>
      <c r="AK181" s="1" t="str">
        <f aca="false">IF($A181="","",IFERROR(MAX(0,AJ181-INDEX(账户总表!$B:$B,COUNTA(账户总表!$A:$A)),AF181-INDEX(账户总表!$C:$C,COUNTA(账户总表!$A:$A))),0))</f>
        <v/>
      </c>
      <c r="AL181" s="1" t="str">
        <f aca="false">IF($A181="","",IF(COUNTIF(持仓表!$C$2:$C$201,C181)&gt;0,"已有","新标的"))</f>
        <v/>
      </c>
      <c r="AM181" s="1" t="str">
        <f aca="false">IF($A181="","",IFERROR(SUMIFS(持仓表!$N$2:$N$201,持仓表!$C$2:$C$201,C181,持仓表!$A$2:$A$201,$A181),0))</f>
        <v/>
      </c>
      <c r="AN181" s="1" t="str">
        <f aca="false">IF($A181="","",IFERROR(AM181+AF181/INDEX(账户总表!$B:$B,COUNTA(账户总表!$A:$A)),0))</f>
        <v/>
      </c>
      <c r="AO181" s="1" t="str">
        <f aca="false">IF($A181="","",IF(AN181&gt;INDEX(账户总表!$O:$O,COUNTA(账户总表!$A:$A)),"超限","合规"))</f>
        <v/>
      </c>
      <c r="AP181" s="1" t="str">
        <f aca="false">IF($A181="","",IF(AND(AL181="新标的",INDEX(账户总表!$R:$R,COUNTA(账户总表!$A:$A))&gt;=INDEX(账户总表!$S:$S,COUNTA(账户总表!$A:$A))),"新增受限","可通过"))</f>
        <v/>
      </c>
      <c r="AQ181" s="1" t="str">
        <f aca="false">IF($A181="","",IF(K181&lt;&gt;"核心池","非核心池",IF(OR(AI181="超限",AO181="超限",AP181="新增受限"),"不可加仓","可加仓")))</f>
        <v/>
      </c>
      <c r="AR181" s="1" t="str">
        <f aca="false">IF($A181="","",TRIM(IF(AI181="超限","1手超单股上限；","")&amp;IF(AO181="超限","买后仓位超限；","")&amp;IF(AP181="新增受限","有效持仓数超限；","")&amp;IF(AF181&gt;INDEX(账户总表!$C:$C,COUNTA(账户总表!$A:$A)),"现金不足；","")))</f>
        <v/>
      </c>
      <c r="AS181" s="1" t="str">
        <f aca="false">IF($A181="","",IFERROR(INDEX(候选池历史!$L:$L,MATCH(1,(候选池历史!$B:$B=C181)*(候选池历史!$A:$A=$A181),0)),0))</f>
        <v/>
      </c>
      <c r="AT181" s="1" t="str">
        <f aca="false">IF($A181="","",IF(AS181&gt;=3,"★信号强化",IF(K181="核心池","核心观察","")))</f>
        <v/>
      </c>
      <c r="AU181" s="1" t="str">
        <f aca="false">IF($A181="","",IF(AK181&gt;30000-INDEX(账户总表!$B:$B,COUNTA(账户总表!$A:$A)),"不适合婴儿阶段","可纳入幼儿路径"))</f>
        <v/>
      </c>
    </row>
    <row r="182" customFormat="false" ht="15" hidden="false" customHeight="true" outlineLevel="0" collapsed="false">
      <c r="A182" s="6"/>
      <c r="B182" s="6"/>
      <c r="C182" s="6"/>
      <c r="D182" s="17"/>
      <c r="E182" s="17"/>
      <c r="F182" s="17"/>
      <c r="G182" s="22"/>
      <c r="H182" s="6"/>
      <c r="I182" s="13"/>
      <c r="J182" s="6"/>
      <c r="K182" s="5" t="str">
        <f aca="false">IF($A182="","",IF(AND(G182&lt;45%,H182&gt;=0.9),"A",IF(AND(G182&lt;60%,H182&gt;0.8),"B","C")))</f>
        <v/>
      </c>
      <c r="L182" s="5" t="str">
        <f aca="false">IF($A182="","",IF(AND(G182&lt;60%,H182&gt;0.8,I182="True"),"是","否"))</f>
        <v/>
      </c>
      <c r="M182" s="5" t="str">
        <f aca="false">IF($A182="","",IF(AND(D182&gt;0,E182&gt;0,D182&lt;=E182*1.02),"是","否"))</f>
        <v/>
      </c>
      <c r="N182" s="19" t="n">
        <f aca="false">IFERROR(INDEX(账户总表!$O:$O,COUNTA(账户总表!$A:$A)),0)</f>
        <v>0.35</v>
      </c>
      <c r="O182" s="18" t="n">
        <f aca="false">IFERROR(INDEX(账户总表!$B:$B,COUNTA(账户总表!$A:$A))*N182,0)</f>
        <v>7294.812</v>
      </c>
      <c r="P182" s="21" t="n">
        <f aca="false">IFERROR(O182/D182,0)</f>
        <v>0</v>
      </c>
      <c r="Q182" s="21" t="n">
        <f aca="false">IFERROR(FLOOR(P182,100),0)</f>
        <v>0</v>
      </c>
      <c r="R182" s="21" t="n">
        <f aca="false">IFERROR(CEILING(800/(100*D182),1)*100,0)</f>
        <v>0</v>
      </c>
      <c r="S182" s="20"/>
      <c r="T182" s="18" t="n">
        <f aca="false">IFERROR(S182*D182,0)</f>
        <v>0</v>
      </c>
      <c r="U182" s="19" t="n">
        <f aca="false">IFERROR(T182/INDEX(账户总表!$B:$B,COUNTA(账户总表!$A:$A)),0)</f>
        <v>0</v>
      </c>
      <c r="V182" s="19" t="n">
        <f aca="false">IFERROR(INDEX(账户总表!$E:$E,COUNTA(账户总表!$A:$A))+U182,0)</f>
        <v>0.407056412146057</v>
      </c>
      <c r="W182" s="5" t="str">
        <f aca="false">IF($A182="","",IFERROR(IF(V182&lt;=INDEX(账户总表!$N:$N,COUNTA(账户总表!$A:$A)),"是","否"),"否"))</f>
        <v/>
      </c>
      <c r="X182" s="18" t="str">
        <f aca="false">IF($A182="","",MAX(F182*0.98,D182*0.92))</f>
        <v/>
      </c>
      <c r="Y182" s="6"/>
      <c r="Z182" s="5" t="str">
        <f aca="false">IF($A182="","",IFERROR(IF(AND(T182&gt;INDEX(账户总表!$C:$C,COUNTA(账户总表!$A:$A)),L182="是"),"是","否"),"否"))</f>
        <v/>
      </c>
      <c r="AA182" s="18" t="str">
        <f aca="false">IF($A182="","",IFERROR(IF(Z182="是",MAX(0,T182-INDEX(账户总表!$C:$C,COUNTA(账户总表!$A:$A)),IF(N182&gt;0,T182/N182-INDEX(账户总表!$B:$B,COUNTA(账户总表!$A:$A)),0)),0),0))</f>
        <v/>
      </c>
      <c r="AB182" s="18" t="str">
        <f aca="false">IF($A182="","",IF(AND(Z182="是",INDEX(账户总表!$U:$U,COUNTA(账户总表!$A:$A))="是"),IF(INDEX(账户总表!$L:$L,COUNTA(账户总表!$A:$A))&gt;=4,AA182*1.5,AA182),0))</f>
        <v/>
      </c>
      <c r="AC182" s="5" t="str">
        <f aca="false">IF($A182="","",IF(AND(L182="是",Q182&gt;=R182,S182&lt;=Q182,S182&gt;=R182,W182="是",X182&gt;0,M182="是",INDEX(账户总表!$M:$M,COUNTA(账户总表!$A:$A))&lt;=2,INDEX(账户总表!$V:$V,COUNTA(账户总表!$A:$A))="是",OR(T182&lt;=INDEX(账户总表!$C:$C,COUNTA(账户总表!$A:$A)),AND(Z182="是",INDEX(账户总表!$U:$U,COUNTA(账户总表!$A:$A))="是",AB182&gt;0))),"是","否"))</f>
        <v/>
      </c>
      <c r="AD182" s="5" t="str">
        <f aca="false">IF($A182="","",IF(L182&lt;&gt;"是","信号未确认",IF(X182&lt;=0,"止损价未定义",IF(Q182&lt;R182,"100股约束不满足",IF(S182&gt;Q182,"计划股数超单股上限",IF(S182&lt;R182,"计划股数低于最小门槛",IF(W182&lt;&gt;"是","总仓位超限",IF(M182&lt;&gt;"是","追价",IF(INDEX(账户总表!$M:$M,COUNTA(账户总表!$A:$A))&gt;2,"亏钱效应偏高",IF(INDEX(账户总表!$V:$V,COUNTA(账户总表!$A:$A))&lt;&gt;"是","账户不允许新开仓",IF(AND(T182&gt;INDEX(账户总表!$C:$C,COUNTA(账户总表!$A:$A)),INDEX(账户总表!$U:$U,COUNTA(账户总表!$A:$A))&lt;&gt;"是"),"现金不足且不允许转入",IF(AND(Z182="是",AB182&lt;=0),"转入金额未满足",""))))))))))))</f>
        <v/>
      </c>
      <c r="AE182" s="6"/>
      <c r="AF182" s="1" t="str">
        <f aca="false">IF($A182="","",D182*100)</f>
        <v/>
      </c>
      <c r="AG182" s="1" t="str">
        <f aca="false">IF($A182="","",IFERROR(AF182/INDEX(账户总表!$B:$B,COUNTA(账户总表!$A:$A)),0))</f>
        <v/>
      </c>
      <c r="AH182" s="1" t="str">
        <f aca="false">IF($A182="","",IFERROR(INDEX(账户总表!$B:$B,COUNTA(账户总表!$A:$A))*INDEX(账户总表!$O:$O,COUNTA(账户总表!$A:$A)),0))</f>
        <v/>
      </c>
      <c r="AI182" s="1" t="str">
        <f aca="false">IF($A182="","",IF(AF182&gt;AH182,"超限","合规"))</f>
        <v/>
      </c>
      <c r="AJ182" s="1" t="str">
        <f aca="false">IF($A182="","",IFERROR(AF182/INDEX(账户总表!$O:$O,COUNTA(账户总表!$A:$A)),0))</f>
        <v/>
      </c>
      <c r="AK182" s="1" t="str">
        <f aca="false">IF($A182="","",IFERROR(MAX(0,AJ182-INDEX(账户总表!$B:$B,COUNTA(账户总表!$A:$A)),AF182-INDEX(账户总表!$C:$C,COUNTA(账户总表!$A:$A))),0))</f>
        <v/>
      </c>
      <c r="AL182" s="1" t="str">
        <f aca="false">IF($A182="","",IF(COUNTIF(持仓表!$C$2:$C$201,C182)&gt;0,"已有","新标的"))</f>
        <v/>
      </c>
      <c r="AM182" s="1" t="str">
        <f aca="false">IF($A182="","",IFERROR(SUMIFS(持仓表!$N$2:$N$201,持仓表!$C$2:$C$201,C182,持仓表!$A$2:$A$201,$A182),0))</f>
        <v/>
      </c>
      <c r="AN182" s="1" t="str">
        <f aca="false">IF($A182="","",IFERROR(AM182+AF182/INDEX(账户总表!$B:$B,COUNTA(账户总表!$A:$A)),0))</f>
        <v/>
      </c>
      <c r="AO182" s="1" t="str">
        <f aca="false">IF($A182="","",IF(AN182&gt;INDEX(账户总表!$O:$O,COUNTA(账户总表!$A:$A)),"超限","合规"))</f>
        <v/>
      </c>
      <c r="AP182" s="1" t="str">
        <f aca="false">IF($A182="","",IF(AND(AL182="新标的",INDEX(账户总表!$R:$R,COUNTA(账户总表!$A:$A))&gt;=INDEX(账户总表!$S:$S,COUNTA(账户总表!$A:$A))),"新增受限","可通过"))</f>
        <v/>
      </c>
      <c r="AQ182" s="1" t="str">
        <f aca="false">IF($A182="","",IF(K182&lt;&gt;"核心池","非核心池",IF(OR(AI182="超限",AO182="超限",AP182="新增受限"),"不可加仓","可加仓")))</f>
        <v/>
      </c>
      <c r="AR182" s="1" t="str">
        <f aca="false">IF($A182="","",TRIM(IF(AI182="超限","1手超单股上限；","")&amp;IF(AO182="超限","买后仓位超限；","")&amp;IF(AP182="新增受限","有效持仓数超限；","")&amp;IF(AF182&gt;INDEX(账户总表!$C:$C,COUNTA(账户总表!$A:$A)),"现金不足；","")))</f>
        <v/>
      </c>
      <c r="AS182" s="1" t="str">
        <f aca="false">IF($A182="","",IFERROR(INDEX(候选池历史!$L:$L,MATCH(1,(候选池历史!$B:$B=C182)*(候选池历史!$A:$A=$A182),0)),0))</f>
        <v/>
      </c>
      <c r="AT182" s="1" t="str">
        <f aca="false">IF($A182="","",IF(AS182&gt;=3,"★信号强化",IF(K182="核心池","核心观察","")))</f>
        <v/>
      </c>
      <c r="AU182" s="1" t="str">
        <f aca="false">IF($A182="","",IF(AK182&gt;30000-INDEX(账户总表!$B:$B,COUNTA(账户总表!$A:$A)),"不适合婴儿阶段","可纳入幼儿路径"))</f>
        <v/>
      </c>
    </row>
    <row r="183" customFormat="false" ht="15" hidden="false" customHeight="true" outlineLevel="0" collapsed="false">
      <c r="A183" s="9"/>
      <c r="B183" s="9"/>
      <c r="C183" s="9"/>
      <c r="D183" s="26"/>
      <c r="E183" s="26"/>
      <c r="F183" s="26"/>
      <c r="G183" s="28"/>
      <c r="H183" s="9"/>
      <c r="I183" s="14"/>
      <c r="J183" s="9"/>
      <c r="K183" s="5" t="str">
        <f aca="false">IF($A183="","",IF(AND(G183&lt;45%,H183&gt;=0.9),"A",IF(AND(G183&lt;60%,H183&gt;0.8),"B","C")))</f>
        <v/>
      </c>
      <c r="L183" s="5" t="str">
        <f aca="false">IF($A183="","",IF(AND(G183&lt;60%,H183&gt;0.8,I183="True"),"是","否"))</f>
        <v/>
      </c>
      <c r="M183" s="5" t="str">
        <f aca="false">IF($A183="","",IF(AND(D183&gt;0,E183&gt;0,D183&lt;=E183*1.02),"是","否"))</f>
        <v/>
      </c>
      <c r="N183" s="19" t="n">
        <f aca="false">IFERROR(INDEX(账户总表!$O:$O,COUNTA(账户总表!$A:$A)),0)</f>
        <v>0.35</v>
      </c>
      <c r="O183" s="18" t="n">
        <f aca="false">IFERROR(INDEX(账户总表!$B:$B,COUNTA(账户总表!$A:$A))*N183,0)</f>
        <v>7294.812</v>
      </c>
      <c r="P183" s="21" t="n">
        <f aca="false">IFERROR(O183/D183,0)</f>
        <v>0</v>
      </c>
      <c r="Q183" s="21" t="n">
        <f aca="false">IFERROR(FLOOR(P183,100),0)</f>
        <v>0</v>
      </c>
      <c r="R183" s="21" t="n">
        <f aca="false">IFERROR(CEILING(800/(100*D183),1)*100,0)</f>
        <v>0</v>
      </c>
      <c r="S183" s="27"/>
      <c r="T183" s="18" t="n">
        <f aca="false">IFERROR(S183*D183,0)</f>
        <v>0</v>
      </c>
      <c r="U183" s="19" t="n">
        <f aca="false">IFERROR(T183/INDEX(账户总表!$B:$B,COUNTA(账户总表!$A:$A)),0)</f>
        <v>0</v>
      </c>
      <c r="V183" s="19" t="n">
        <f aca="false">IFERROR(INDEX(账户总表!$E:$E,COUNTA(账户总表!$A:$A))+U183,0)</f>
        <v>0.407056412146057</v>
      </c>
      <c r="W183" s="5" t="str">
        <f aca="false">IF($A183="","",IFERROR(IF(V183&lt;=INDEX(账户总表!$N:$N,COUNTA(账户总表!$A:$A)),"是","否"),"否"))</f>
        <v/>
      </c>
      <c r="X183" s="18" t="str">
        <f aca="false">IF($A183="","",MAX(F183*0.98,D183*0.92))</f>
        <v/>
      </c>
      <c r="Y183" s="9"/>
      <c r="Z183" s="5" t="str">
        <f aca="false">IF($A183="","",IFERROR(IF(AND(T183&gt;INDEX(账户总表!$C:$C,COUNTA(账户总表!$A:$A)),L183="是"),"是","否"),"否"))</f>
        <v/>
      </c>
      <c r="AA183" s="18" t="str">
        <f aca="false">IF($A183="","",IFERROR(IF(Z183="是",MAX(0,T183-INDEX(账户总表!$C:$C,COUNTA(账户总表!$A:$A)),IF(N183&gt;0,T183/N183-INDEX(账户总表!$B:$B,COUNTA(账户总表!$A:$A)),0)),0),0))</f>
        <v/>
      </c>
      <c r="AB183" s="18" t="str">
        <f aca="false">IF($A183="","",IF(AND(Z183="是",INDEX(账户总表!$U:$U,COUNTA(账户总表!$A:$A))="是"),IF(INDEX(账户总表!$L:$L,COUNTA(账户总表!$A:$A))&gt;=4,AA183*1.5,AA183),0))</f>
        <v/>
      </c>
      <c r="AC183" s="5" t="str">
        <f aca="false">IF($A183="","",IF(AND(L183="是",Q183&gt;=R183,S183&lt;=Q183,S183&gt;=R183,W183="是",X183&gt;0,M183="是",INDEX(账户总表!$M:$M,COUNTA(账户总表!$A:$A))&lt;=2,INDEX(账户总表!$V:$V,COUNTA(账户总表!$A:$A))="是",OR(T183&lt;=INDEX(账户总表!$C:$C,COUNTA(账户总表!$A:$A)),AND(Z183="是",INDEX(账户总表!$U:$U,COUNTA(账户总表!$A:$A))="是",AB183&gt;0))),"是","否"))</f>
        <v/>
      </c>
      <c r="AD183" s="5" t="str">
        <f aca="false">IF($A183="","",IF(L183&lt;&gt;"是","信号未确认",IF(X183&lt;=0,"止损价未定义",IF(Q183&lt;R183,"100股约束不满足",IF(S183&gt;Q183,"计划股数超单股上限",IF(S183&lt;R183,"计划股数低于最小门槛",IF(W183&lt;&gt;"是","总仓位超限",IF(M183&lt;&gt;"是","追价",IF(INDEX(账户总表!$M:$M,COUNTA(账户总表!$A:$A))&gt;2,"亏钱效应偏高",IF(INDEX(账户总表!$V:$V,COUNTA(账户总表!$A:$A))&lt;&gt;"是","账户不允许新开仓",IF(AND(T183&gt;INDEX(账户总表!$C:$C,COUNTA(账户总表!$A:$A)),INDEX(账户总表!$U:$U,COUNTA(账户总表!$A:$A))&lt;&gt;"是"),"现金不足且不允许转入",IF(AND(Z183="是",AB183&lt;=0),"转入金额未满足",""))))))))))))</f>
        <v/>
      </c>
      <c r="AE183" s="9"/>
      <c r="AF183" s="1" t="str">
        <f aca="false">IF($A183="","",D183*100)</f>
        <v/>
      </c>
      <c r="AG183" s="1" t="str">
        <f aca="false">IF($A183="","",IFERROR(AF183/INDEX(账户总表!$B:$B,COUNTA(账户总表!$A:$A)),0))</f>
        <v/>
      </c>
      <c r="AH183" s="1" t="str">
        <f aca="false">IF($A183="","",IFERROR(INDEX(账户总表!$B:$B,COUNTA(账户总表!$A:$A))*INDEX(账户总表!$O:$O,COUNTA(账户总表!$A:$A)),0))</f>
        <v/>
      </c>
      <c r="AI183" s="1" t="str">
        <f aca="false">IF($A183="","",IF(AF183&gt;AH183,"超限","合规"))</f>
        <v/>
      </c>
      <c r="AJ183" s="1" t="str">
        <f aca="false">IF($A183="","",IFERROR(AF183/INDEX(账户总表!$O:$O,COUNTA(账户总表!$A:$A)),0))</f>
        <v/>
      </c>
      <c r="AK183" s="1" t="str">
        <f aca="false">IF($A183="","",IFERROR(MAX(0,AJ183-INDEX(账户总表!$B:$B,COUNTA(账户总表!$A:$A)),AF183-INDEX(账户总表!$C:$C,COUNTA(账户总表!$A:$A))),0))</f>
        <v/>
      </c>
      <c r="AL183" s="1" t="str">
        <f aca="false">IF($A183="","",IF(COUNTIF(持仓表!$C$2:$C$201,C183)&gt;0,"已有","新标的"))</f>
        <v/>
      </c>
      <c r="AM183" s="1" t="str">
        <f aca="false">IF($A183="","",IFERROR(SUMIFS(持仓表!$N$2:$N$201,持仓表!$C$2:$C$201,C183,持仓表!$A$2:$A$201,$A183),0))</f>
        <v/>
      </c>
      <c r="AN183" s="1" t="str">
        <f aca="false">IF($A183="","",IFERROR(AM183+AF183/INDEX(账户总表!$B:$B,COUNTA(账户总表!$A:$A)),0))</f>
        <v/>
      </c>
      <c r="AO183" s="1" t="str">
        <f aca="false">IF($A183="","",IF(AN183&gt;INDEX(账户总表!$O:$O,COUNTA(账户总表!$A:$A)),"超限","合规"))</f>
        <v/>
      </c>
      <c r="AP183" s="1" t="str">
        <f aca="false">IF($A183="","",IF(AND(AL183="新标的",INDEX(账户总表!$R:$R,COUNTA(账户总表!$A:$A))&gt;=INDEX(账户总表!$S:$S,COUNTA(账户总表!$A:$A))),"新增受限","可通过"))</f>
        <v/>
      </c>
      <c r="AQ183" s="1" t="str">
        <f aca="false">IF($A183="","",IF(K183&lt;&gt;"核心池","非核心池",IF(OR(AI183="超限",AO183="超限",AP183="新增受限"),"不可加仓","可加仓")))</f>
        <v/>
      </c>
      <c r="AR183" s="1" t="str">
        <f aca="false">IF($A183="","",TRIM(IF(AI183="超限","1手超单股上限；","")&amp;IF(AO183="超限","买后仓位超限；","")&amp;IF(AP183="新增受限","有效持仓数超限；","")&amp;IF(AF183&gt;INDEX(账户总表!$C:$C,COUNTA(账户总表!$A:$A)),"现金不足；","")))</f>
        <v/>
      </c>
      <c r="AS183" s="1" t="str">
        <f aca="false">IF($A183="","",IFERROR(INDEX(候选池历史!$L:$L,MATCH(1,(候选池历史!$B:$B=C183)*(候选池历史!$A:$A=$A183),0)),0))</f>
        <v/>
      </c>
      <c r="AT183" s="1" t="str">
        <f aca="false">IF($A183="","",IF(AS183&gt;=3,"★信号强化",IF(K183="核心池","核心观察","")))</f>
        <v/>
      </c>
      <c r="AU183" s="1" t="str">
        <f aca="false">IF($A183="","",IF(AK183&gt;30000-INDEX(账户总表!$B:$B,COUNTA(账户总表!$A:$A)),"不适合婴儿阶段","可纳入幼儿路径"))</f>
        <v/>
      </c>
    </row>
    <row r="184" customFormat="false" ht="15" hidden="false" customHeight="true" outlineLevel="0" collapsed="false">
      <c r="A184" s="6"/>
      <c r="B184" s="6"/>
      <c r="C184" s="6"/>
      <c r="D184" s="17"/>
      <c r="E184" s="17"/>
      <c r="F184" s="17"/>
      <c r="G184" s="22"/>
      <c r="H184" s="6"/>
      <c r="I184" s="13"/>
      <c r="J184" s="6"/>
      <c r="K184" s="5" t="str">
        <f aca="false">IF($A184="","",IF(AND(G184&lt;45%,H184&gt;=0.9),"A",IF(AND(G184&lt;60%,H184&gt;0.8),"B","C")))</f>
        <v/>
      </c>
      <c r="L184" s="5" t="str">
        <f aca="false">IF($A184="","",IF(AND(G184&lt;60%,H184&gt;0.8,I184="True"),"是","否"))</f>
        <v/>
      </c>
      <c r="M184" s="5" t="str">
        <f aca="false">IF($A184="","",IF(AND(D184&gt;0,E184&gt;0,D184&lt;=E184*1.02),"是","否"))</f>
        <v/>
      </c>
      <c r="N184" s="19" t="n">
        <f aca="false">IFERROR(INDEX(账户总表!$O:$O,COUNTA(账户总表!$A:$A)),0)</f>
        <v>0.35</v>
      </c>
      <c r="O184" s="18" t="n">
        <f aca="false">IFERROR(INDEX(账户总表!$B:$B,COUNTA(账户总表!$A:$A))*N184,0)</f>
        <v>7294.812</v>
      </c>
      <c r="P184" s="21" t="n">
        <f aca="false">IFERROR(O184/D184,0)</f>
        <v>0</v>
      </c>
      <c r="Q184" s="21" t="n">
        <f aca="false">IFERROR(FLOOR(P184,100),0)</f>
        <v>0</v>
      </c>
      <c r="R184" s="21" t="n">
        <f aca="false">IFERROR(CEILING(800/(100*D184),1)*100,0)</f>
        <v>0</v>
      </c>
      <c r="S184" s="20"/>
      <c r="T184" s="18" t="n">
        <f aca="false">IFERROR(S184*D184,0)</f>
        <v>0</v>
      </c>
      <c r="U184" s="19" t="n">
        <f aca="false">IFERROR(T184/INDEX(账户总表!$B:$B,COUNTA(账户总表!$A:$A)),0)</f>
        <v>0</v>
      </c>
      <c r="V184" s="19" t="n">
        <f aca="false">IFERROR(INDEX(账户总表!$E:$E,COUNTA(账户总表!$A:$A))+U184,0)</f>
        <v>0.407056412146057</v>
      </c>
      <c r="W184" s="5" t="str">
        <f aca="false">IF($A184="","",IFERROR(IF(V184&lt;=INDEX(账户总表!$N:$N,COUNTA(账户总表!$A:$A)),"是","否"),"否"))</f>
        <v/>
      </c>
      <c r="X184" s="18" t="str">
        <f aca="false">IF($A184="","",MAX(F184*0.98,D184*0.92))</f>
        <v/>
      </c>
      <c r="Y184" s="6"/>
      <c r="Z184" s="5" t="str">
        <f aca="false">IF($A184="","",IFERROR(IF(AND(T184&gt;INDEX(账户总表!$C:$C,COUNTA(账户总表!$A:$A)),L184="是"),"是","否"),"否"))</f>
        <v/>
      </c>
      <c r="AA184" s="18" t="str">
        <f aca="false">IF($A184="","",IFERROR(IF(Z184="是",MAX(0,T184-INDEX(账户总表!$C:$C,COUNTA(账户总表!$A:$A)),IF(N184&gt;0,T184/N184-INDEX(账户总表!$B:$B,COUNTA(账户总表!$A:$A)),0)),0),0))</f>
        <v/>
      </c>
      <c r="AB184" s="18" t="str">
        <f aca="false">IF($A184="","",IF(AND(Z184="是",INDEX(账户总表!$U:$U,COUNTA(账户总表!$A:$A))="是"),IF(INDEX(账户总表!$L:$L,COUNTA(账户总表!$A:$A))&gt;=4,AA184*1.5,AA184),0))</f>
        <v/>
      </c>
      <c r="AC184" s="5" t="str">
        <f aca="false">IF($A184="","",IF(AND(L184="是",Q184&gt;=R184,S184&lt;=Q184,S184&gt;=R184,W184="是",X184&gt;0,M184="是",INDEX(账户总表!$M:$M,COUNTA(账户总表!$A:$A))&lt;=2,INDEX(账户总表!$V:$V,COUNTA(账户总表!$A:$A))="是",OR(T184&lt;=INDEX(账户总表!$C:$C,COUNTA(账户总表!$A:$A)),AND(Z184="是",INDEX(账户总表!$U:$U,COUNTA(账户总表!$A:$A))="是",AB184&gt;0))),"是","否"))</f>
        <v/>
      </c>
      <c r="AD184" s="5" t="str">
        <f aca="false">IF($A184="","",IF(L184&lt;&gt;"是","信号未确认",IF(X184&lt;=0,"止损价未定义",IF(Q184&lt;R184,"100股约束不满足",IF(S184&gt;Q184,"计划股数超单股上限",IF(S184&lt;R184,"计划股数低于最小门槛",IF(W184&lt;&gt;"是","总仓位超限",IF(M184&lt;&gt;"是","追价",IF(INDEX(账户总表!$M:$M,COUNTA(账户总表!$A:$A))&gt;2,"亏钱效应偏高",IF(INDEX(账户总表!$V:$V,COUNTA(账户总表!$A:$A))&lt;&gt;"是","账户不允许新开仓",IF(AND(T184&gt;INDEX(账户总表!$C:$C,COUNTA(账户总表!$A:$A)),INDEX(账户总表!$U:$U,COUNTA(账户总表!$A:$A))&lt;&gt;"是"),"现金不足且不允许转入",IF(AND(Z184="是",AB184&lt;=0),"转入金额未满足",""))))))))))))</f>
        <v/>
      </c>
      <c r="AE184" s="6"/>
      <c r="AF184" s="1" t="str">
        <f aca="false">IF($A184="","",D184*100)</f>
        <v/>
      </c>
      <c r="AG184" s="1" t="str">
        <f aca="false">IF($A184="","",IFERROR(AF184/INDEX(账户总表!$B:$B,COUNTA(账户总表!$A:$A)),0))</f>
        <v/>
      </c>
      <c r="AH184" s="1" t="str">
        <f aca="false">IF($A184="","",IFERROR(INDEX(账户总表!$B:$B,COUNTA(账户总表!$A:$A))*INDEX(账户总表!$O:$O,COUNTA(账户总表!$A:$A)),0))</f>
        <v/>
      </c>
      <c r="AI184" s="1" t="str">
        <f aca="false">IF($A184="","",IF(AF184&gt;AH184,"超限","合规"))</f>
        <v/>
      </c>
      <c r="AJ184" s="1" t="str">
        <f aca="false">IF($A184="","",IFERROR(AF184/INDEX(账户总表!$O:$O,COUNTA(账户总表!$A:$A)),0))</f>
        <v/>
      </c>
      <c r="AK184" s="1" t="str">
        <f aca="false">IF($A184="","",IFERROR(MAX(0,AJ184-INDEX(账户总表!$B:$B,COUNTA(账户总表!$A:$A)),AF184-INDEX(账户总表!$C:$C,COUNTA(账户总表!$A:$A))),0))</f>
        <v/>
      </c>
      <c r="AL184" s="1" t="str">
        <f aca="false">IF($A184="","",IF(COUNTIF(持仓表!$C$2:$C$201,C184)&gt;0,"已有","新标的"))</f>
        <v/>
      </c>
      <c r="AM184" s="1" t="str">
        <f aca="false">IF($A184="","",IFERROR(SUMIFS(持仓表!$N$2:$N$201,持仓表!$C$2:$C$201,C184,持仓表!$A$2:$A$201,$A184),0))</f>
        <v/>
      </c>
      <c r="AN184" s="1" t="str">
        <f aca="false">IF($A184="","",IFERROR(AM184+AF184/INDEX(账户总表!$B:$B,COUNTA(账户总表!$A:$A)),0))</f>
        <v/>
      </c>
      <c r="AO184" s="1" t="str">
        <f aca="false">IF($A184="","",IF(AN184&gt;INDEX(账户总表!$O:$O,COUNTA(账户总表!$A:$A)),"超限","合规"))</f>
        <v/>
      </c>
      <c r="AP184" s="1" t="str">
        <f aca="false">IF($A184="","",IF(AND(AL184="新标的",INDEX(账户总表!$R:$R,COUNTA(账户总表!$A:$A))&gt;=INDEX(账户总表!$S:$S,COUNTA(账户总表!$A:$A))),"新增受限","可通过"))</f>
        <v/>
      </c>
      <c r="AQ184" s="1" t="str">
        <f aca="false">IF($A184="","",IF(K184&lt;&gt;"核心池","非核心池",IF(OR(AI184="超限",AO184="超限",AP184="新增受限"),"不可加仓","可加仓")))</f>
        <v/>
      </c>
      <c r="AR184" s="1" t="str">
        <f aca="false">IF($A184="","",TRIM(IF(AI184="超限","1手超单股上限；","")&amp;IF(AO184="超限","买后仓位超限；","")&amp;IF(AP184="新增受限","有效持仓数超限；","")&amp;IF(AF184&gt;INDEX(账户总表!$C:$C,COUNTA(账户总表!$A:$A)),"现金不足；","")))</f>
        <v/>
      </c>
      <c r="AS184" s="1" t="str">
        <f aca="false">IF($A184="","",IFERROR(INDEX(候选池历史!$L:$L,MATCH(1,(候选池历史!$B:$B=C184)*(候选池历史!$A:$A=$A184),0)),0))</f>
        <v/>
      </c>
      <c r="AT184" s="1" t="str">
        <f aca="false">IF($A184="","",IF(AS184&gt;=3,"★信号强化",IF(K184="核心池","核心观察","")))</f>
        <v/>
      </c>
      <c r="AU184" s="1" t="str">
        <f aca="false">IF($A184="","",IF(AK184&gt;30000-INDEX(账户总表!$B:$B,COUNTA(账户总表!$A:$A)),"不适合婴儿阶段","可纳入幼儿路径"))</f>
        <v/>
      </c>
    </row>
    <row r="185" customFormat="false" ht="15" hidden="false" customHeight="true" outlineLevel="0" collapsed="false">
      <c r="A185" s="9"/>
      <c r="B185" s="9"/>
      <c r="C185" s="9"/>
      <c r="D185" s="26"/>
      <c r="E185" s="26"/>
      <c r="F185" s="26"/>
      <c r="G185" s="28"/>
      <c r="H185" s="9"/>
      <c r="I185" s="14"/>
      <c r="J185" s="9"/>
      <c r="K185" s="5" t="str">
        <f aca="false">IF($A185="","",IF(AND(G185&lt;45%,H185&gt;=0.9),"A",IF(AND(G185&lt;60%,H185&gt;0.8),"B","C")))</f>
        <v/>
      </c>
      <c r="L185" s="5" t="str">
        <f aca="false">IF($A185="","",IF(AND(G185&lt;60%,H185&gt;0.8,I185="True"),"是","否"))</f>
        <v/>
      </c>
      <c r="M185" s="5" t="str">
        <f aca="false">IF($A185="","",IF(AND(D185&gt;0,E185&gt;0,D185&lt;=E185*1.02),"是","否"))</f>
        <v/>
      </c>
      <c r="N185" s="19" t="n">
        <f aca="false">IFERROR(INDEX(账户总表!$O:$O,COUNTA(账户总表!$A:$A)),0)</f>
        <v>0.35</v>
      </c>
      <c r="O185" s="18" t="n">
        <f aca="false">IFERROR(INDEX(账户总表!$B:$B,COUNTA(账户总表!$A:$A))*N185,0)</f>
        <v>7294.812</v>
      </c>
      <c r="P185" s="21" t="n">
        <f aca="false">IFERROR(O185/D185,0)</f>
        <v>0</v>
      </c>
      <c r="Q185" s="21" t="n">
        <f aca="false">IFERROR(FLOOR(P185,100),0)</f>
        <v>0</v>
      </c>
      <c r="R185" s="21" t="n">
        <f aca="false">IFERROR(CEILING(800/(100*D185),1)*100,0)</f>
        <v>0</v>
      </c>
      <c r="S185" s="27"/>
      <c r="T185" s="18" t="n">
        <f aca="false">IFERROR(S185*D185,0)</f>
        <v>0</v>
      </c>
      <c r="U185" s="19" t="n">
        <f aca="false">IFERROR(T185/INDEX(账户总表!$B:$B,COUNTA(账户总表!$A:$A)),0)</f>
        <v>0</v>
      </c>
      <c r="V185" s="19" t="n">
        <f aca="false">IFERROR(INDEX(账户总表!$E:$E,COUNTA(账户总表!$A:$A))+U185,0)</f>
        <v>0.407056412146057</v>
      </c>
      <c r="W185" s="5" t="str">
        <f aca="false">IF($A185="","",IFERROR(IF(V185&lt;=INDEX(账户总表!$N:$N,COUNTA(账户总表!$A:$A)),"是","否"),"否"))</f>
        <v/>
      </c>
      <c r="X185" s="18" t="str">
        <f aca="false">IF($A185="","",MAX(F185*0.98,D185*0.92))</f>
        <v/>
      </c>
      <c r="Y185" s="9"/>
      <c r="Z185" s="5" t="str">
        <f aca="false">IF($A185="","",IFERROR(IF(AND(T185&gt;INDEX(账户总表!$C:$C,COUNTA(账户总表!$A:$A)),L185="是"),"是","否"),"否"))</f>
        <v/>
      </c>
      <c r="AA185" s="18" t="str">
        <f aca="false">IF($A185="","",IFERROR(IF(Z185="是",MAX(0,T185-INDEX(账户总表!$C:$C,COUNTA(账户总表!$A:$A)),IF(N185&gt;0,T185/N185-INDEX(账户总表!$B:$B,COUNTA(账户总表!$A:$A)),0)),0),0))</f>
        <v/>
      </c>
      <c r="AB185" s="18" t="str">
        <f aca="false">IF($A185="","",IF(AND(Z185="是",INDEX(账户总表!$U:$U,COUNTA(账户总表!$A:$A))="是"),IF(INDEX(账户总表!$L:$L,COUNTA(账户总表!$A:$A))&gt;=4,AA185*1.5,AA185),0))</f>
        <v/>
      </c>
      <c r="AC185" s="5" t="str">
        <f aca="false">IF($A185="","",IF(AND(L185="是",Q185&gt;=R185,S185&lt;=Q185,S185&gt;=R185,W185="是",X185&gt;0,M185="是",INDEX(账户总表!$M:$M,COUNTA(账户总表!$A:$A))&lt;=2,INDEX(账户总表!$V:$V,COUNTA(账户总表!$A:$A))="是",OR(T185&lt;=INDEX(账户总表!$C:$C,COUNTA(账户总表!$A:$A)),AND(Z185="是",INDEX(账户总表!$U:$U,COUNTA(账户总表!$A:$A))="是",AB185&gt;0))),"是","否"))</f>
        <v/>
      </c>
      <c r="AD185" s="5" t="str">
        <f aca="false">IF($A185="","",IF(L185&lt;&gt;"是","信号未确认",IF(X185&lt;=0,"止损价未定义",IF(Q185&lt;R185,"100股约束不满足",IF(S185&gt;Q185,"计划股数超单股上限",IF(S185&lt;R185,"计划股数低于最小门槛",IF(W185&lt;&gt;"是","总仓位超限",IF(M185&lt;&gt;"是","追价",IF(INDEX(账户总表!$M:$M,COUNTA(账户总表!$A:$A))&gt;2,"亏钱效应偏高",IF(INDEX(账户总表!$V:$V,COUNTA(账户总表!$A:$A))&lt;&gt;"是","账户不允许新开仓",IF(AND(T185&gt;INDEX(账户总表!$C:$C,COUNTA(账户总表!$A:$A)),INDEX(账户总表!$U:$U,COUNTA(账户总表!$A:$A))&lt;&gt;"是"),"现金不足且不允许转入",IF(AND(Z185="是",AB185&lt;=0),"转入金额未满足",""))))))))))))</f>
        <v/>
      </c>
      <c r="AE185" s="9"/>
      <c r="AF185" s="1" t="str">
        <f aca="false">IF($A185="","",D185*100)</f>
        <v/>
      </c>
      <c r="AG185" s="1" t="str">
        <f aca="false">IF($A185="","",IFERROR(AF185/INDEX(账户总表!$B:$B,COUNTA(账户总表!$A:$A)),0))</f>
        <v/>
      </c>
      <c r="AH185" s="1" t="str">
        <f aca="false">IF($A185="","",IFERROR(INDEX(账户总表!$B:$B,COUNTA(账户总表!$A:$A))*INDEX(账户总表!$O:$O,COUNTA(账户总表!$A:$A)),0))</f>
        <v/>
      </c>
      <c r="AI185" s="1" t="str">
        <f aca="false">IF($A185="","",IF(AF185&gt;AH185,"超限","合规"))</f>
        <v/>
      </c>
      <c r="AJ185" s="1" t="str">
        <f aca="false">IF($A185="","",IFERROR(AF185/INDEX(账户总表!$O:$O,COUNTA(账户总表!$A:$A)),0))</f>
        <v/>
      </c>
      <c r="AK185" s="1" t="str">
        <f aca="false">IF($A185="","",IFERROR(MAX(0,AJ185-INDEX(账户总表!$B:$B,COUNTA(账户总表!$A:$A)),AF185-INDEX(账户总表!$C:$C,COUNTA(账户总表!$A:$A))),0))</f>
        <v/>
      </c>
      <c r="AL185" s="1" t="str">
        <f aca="false">IF($A185="","",IF(COUNTIF(持仓表!$C$2:$C$201,C185)&gt;0,"已有","新标的"))</f>
        <v/>
      </c>
      <c r="AM185" s="1" t="str">
        <f aca="false">IF($A185="","",IFERROR(SUMIFS(持仓表!$N$2:$N$201,持仓表!$C$2:$C$201,C185,持仓表!$A$2:$A$201,$A185),0))</f>
        <v/>
      </c>
      <c r="AN185" s="1" t="str">
        <f aca="false">IF($A185="","",IFERROR(AM185+AF185/INDEX(账户总表!$B:$B,COUNTA(账户总表!$A:$A)),0))</f>
        <v/>
      </c>
      <c r="AO185" s="1" t="str">
        <f aca="false">IF($A185="","",IF(AN185&gt;INDEX(账户总表!$O:$O,COUNTA(账户总表!$A:$A)),"超限","合规"))</f>
        <v/>
      </c>
      <c r="AP185" s="1" t="str">
        <f aca="false">IF($A185="","",IF(AND(AL185="新标的",INDEX(账户总表!$R:$R,COUNTA(账户总表!$A:$A))&gt;=INDEX(账户总表!$S:$S,COUNTA(账户总表!$A:$A))),"新增受限","可通过"))</f>
        <v/>
      </c>
      <c r="AQ185" s="1" t="str">
        <f aca="false">IF($A185="","",IF(K185&lt;&gt;"核心池","非核心池",IF(OR(AI185="超限",AO185="超限",AP185="新增受限"),"不可加仓","可加仓")))</f>
        <v/>
      </c>
      <c r="AR185" s="1" t="str">
        <f aca="false">IF($A185="","",TRIM(IF(AI185="超限","1手超单股上限；","")&amp;IF(AO185="超限","买后仓位超限；","")&amp;IF(AP185="新增受限","有效持仓数超限；","")&amp;IF(AF185&gt;INDEX(账户总表!$C:$C,COUNTA(账户总表!$A:$A)),"现金不足；","")))</f>
        <v/>
      </c>
      <c r="AS185" s="1" t="str">
        <f aca="false">IF($A185="","",IFERROR(INDEX(候选池历史!$L:$L,MATCH(1,(候选池历史!$B:$B=C185)*(候选池历史!$A:$A=$A185),0)),0))</f>
        <v/>
      </c>
      <c r="AT185" s="1" t="str">
        <f aca="false">IF($A185="","",IF(AS185&gt;=3,"★信号强化",IF(K185="核心池","核心观察","")))</f>
        <v/>
      </c>
      <c r="AU185" s="1" t="str">
        <f aca="false">IF($A185="","",IF(AK185&gt;30000-INDEX(账户总表!$B:$B,COUNTA(账户总表!$A:$A)),"不适合婴儿阶段","可纳入幼儿路径"))</f>
        <v/>
      </c>
    </row>
    <row r="186" customFormat="false" ht="15" hidden="false" customHeight="true" outlineLevel="0" collapsed="false">
      <c r="A186" s="6"/>
      <c r="B186" s="6"/>
      <c r="C186" s="6"/>
      <c r="D186" s="17"/>
      <c r="E186" s="17"/>
      <c r="F186" s="17"/>
      <c r="G186" s="22"/>
      <c r="H186" s="6"/>
      <c r="I186" s="13"/>
      <c r="J186" s="6"/>
      <c r="K186" s="5" t="str">
        <f aca="false">IF($A186="","",IF(AND(G186&lt;45%,H186&gt;=0.9),"A",IF(AND(G186&lt;60%,H186&gt;0.8),"B","C")))</f>
        <v/>
      </c>
      <c r="L186" s="5" t="str">
        <f aca="false">IF($A186="","",IF(AND(G186&lt;60%,H186&gt;0.8,I186="True"),"是","否"))</f>
        <v/>
      </c>
      <c r="M186" s="5" t="str">
        <f aca="false">IF($A186="","",IF(AND(D186&gt;0,E186&gt;0,D186&lt;=E186*1.02),"是","否"))</f>
        <v/>
      </c>
      <c r="N186" s="19" t="n">
        <f aca="false">IFERROR(INDEX(账户总表!$O:$O,COUNTA(账户总表!$A:$A)),0)</f>
        <v>0.35</v>
      </c>
      <c r="O186" s="18" t="n">
        <f aca="false">IFERROR(INDEX(账户总表!$B:$B,COUNTA(账户总表!$A:$A))*N186,0)</f>
        <v>7294.812</v>
      </c>
      <c r="P186" s="21" t="n">
        <f aca="false">IFERROR(O186/D186,0)</f>
        <v>0</v>
      </c>
      <c r="Q186" s="21" t="n">
        <f aca="false">IFERROR(FLOOR(P186,100),0)</f>
        <v>0</v>
      </c>
      <c r="R186" s="21" t="n">
        <f aca="false">IFERROR(CEILING(800/(100*D186),1)*100,0)</f>
        <v>0</v>
      </c>
      <c r="S186" s="20"/>
      <c r="T186" s="18" t="n">
        <f aca="false">IFERROR(S186*D186,0)</f>
        <v>0</v>
      </c>
      <c r="U186" s="19" t="n">
        <f aca="false">IFERROR(T186/INDEX(账户总表!$B:$B,COUNTA(账户总表!$A:$A)),0)</f>
        <v>0</v>
      </c>
      <c r="V186" s="19" t="n">
        <f aca="false">IFERROR(INDEX(账户总表!$E:$E,COUNTA(账户总表!$A:$A))+U186,0)</f>
        <v>0.407056412146057</v>
      </c>
      <c r="W186" s="5" t="str">
        <f aca="false">IF($A186="","",IFERROR(IF(V186&lt;=INDEX(账户总表!$N:$N,COUNTA(账户总表!$A:$A)),"是","否"),"否"))</f>
        <v/>
      </c>
      <c r="X186" s="18" t="str">
        <f aca="false">IF($A186="","",MAX(F186*0.98,D186*0.92))</f>
        <v/>
      </c>
      <c r="Y186" s="6"/>
      <c r="Z186" s="5" t="str">
        <f aca="false">IF($A186="","",IFERROR(IF(AND(T186&gt;INDEX(账户总表!$C:$C,COUNTA(账户总表!$A:$A)),L186="是"),"是","否"),"否"))</f>
        <v/>
      </c>
      <c r="AA186" s="18" t="str">
        <f aca="false">IF($A186="","",IFERROR(IF(Z186="是",MAX(0,T186-INDEX(账户总表!$C:$C,COUNTA(账户总表!$A:$A)),IF(N186&gt;0,T186/N186-INDEX(账户总表!$B:$B,COUNTA(账户总表!$A:$A)),0)),0),0))</f>
        <v/>
      </c>
      <c r="AB186" s="18" t="str">
        <f aca="false">IF($A186="","",IF(AND(Z186="是",INDEX(账户总表!$U:$U,COUNTA(账户总表!$A:$A))="是"),IF(INDEX(账户总表!$L:$L,COUNTA(账户总表!$A:$A))&gt;=4,AA186*1.5,AA186),0))</f>
        <v/>
      </c>
      <c r="AC186" s="5" t="str">
        <f aca="false">IF($A186="","",IF(AND(L186="是",Q186&gt;=R186,S186&lt;=Q186,S186&gt;=R186,W186="是",X186&gt;0,M186="是",INDEX(账户总表!$M:$M,COUNTA(账户总表!$A:$A))&lt;=2,INDEX(账户总表!$V:$V,COUNTA(账户总表!$A:$A))="是",OR(T186&lt;=INDEX(账户总表!$C:$C,COUNTA(账户总表!$A:$A)),AND(Z186="是",INDEX(账户总表!$U:$U,COUNTA(账户总表!$A:$A))="是",AB186&gt;0))),"是","否"))</f>
        <v/>
      </c>
      <c r="AD186" s="5" t="str">
        <f aca="false">IF($A186="","",IF(L186&lt;&gt;"是","信号未确认",IF(X186&lt;=0,"止损价未定义",IF(Q186&lt;R186,"100股约束不满足",IF(S186&gt;Q186,"计划股数超单股上限",IF(S186&lt;R186,"计划股数低于最小门槛",IF(W186&lt;&gt;"是","总仓位超限",IF(M186&lt;&gt;"是","追价",IF(INDEX(账户总表!$M:$M,COUNTA(账户总表!$A:$A))&gt;2,"亏钱效应偏高",IF(INDEX(账户总表!$V:$V,COUNTA(账户总表!$A:$A))&lt;&gt;"是","账户不允许新开仓",IF(AND(T186&gt;INDEX(账户总表!$C:$C,COUNTA(账户总表!$A:$A)),INDEX(账户总表!$U:$U,COUNTA(账户总表!$A:$A))&lt;&gt;"是"),"现金不足且不允许转入",IF(AND(Z186="是",AB186&lt;=0),"转入金额未满足",""))))))))))))</f>
        <v/>
      </c>
      <c r="AE186" s="6"/>
      <c r="AF186" s="1" t="str">
        <f aca="false">IF($A186="","",D186*100)</f>
        <v/>
      </c>
      <c r="AG186" s="1" t="str">
        <f aca="false">IF($A186="","",IFERROR(AF186/INDEX(账户总表!$B:$B,COUNTA(账户总表!$A:$A)),0))</f>
        <v/>
      </c>
      <c r="AH186" s="1" t="str">
        <f aca="false">IF($A186="","",IFERROR(INDEX(账户总表!$B:$B,COUNTA(账户总表!$A:$A))*INDEX(账户总表!$O:$O,COUNTA(账户总表!$A:$A)),0))</f>
        <v/>
      </c>
      <c r="AI186" s="1" t="str">
        <f aca="false">IF($A186="","",IF(AF186&gt;AH186,"超限","合规"))</f>
        <v/>
      </c>
      <c r="AJ186" s="1" t="str">
        <f aca="false">IF($A186="","",IFERROR(AF186/INDEX(账户总表!$O:$O,COUNTA(账户总表!$A:$A)),0))</f>
        <v/>
      </c>
      <c r="AK186" s="1" t="str">
        <f aca="false">IF($A186="","",IFERROR(MAX(0,AJ186-INDEX(账户总表!$B:$B,COUNTA(账户总表!$A:$A)),AF186-INDEX(账户总表!$C:$C,COUNTA(账户总表!$A:$A))),0))</f>
        <v/>
      </c>
      <c r="AL186" s="1" t="str">
        <f aca="false">IF($A186="","",IF(COUNTIF(持仓表!$C$2:$C$201,C186)&gt;0,"已有","新标的"))</f>
        <v/>
      </c>
      <c r="AM186" s="1" t="str">
        <f aca="false">IF($A186="","",IFERROR(SUMIFS(持仓表!$N$2:$N$201,持仓表!$C$2:$C$201,C186,持仓表!$A$2:$A$201,$A186),0))</f>
        <v/>
      </c>
      <c r="AN186" s="1" t="str">
        <f aca="false">IF($A186="","",IFERROR(AM186+AF186/INDEX(账户总表!$B:$B,COUNTA(账户总表!$A:$A)),0))</f>
        <v/>
      </c>
      <c r="AO186" s="1" t="str">
        <f aca="false">IF($A186="","",IF(AN186&gt;INDEX(账户总表!$O:$O,COUNTA(账户总表!$A:$A)),"超限","合规"))</f>
        <v/>
      </c>
      <c r="AP186" s="1" t="str">
        <f aca="false">IF($A186="","",IF(AND(AL186="新标的",INDEX(账户总表!$R:$R,COUNTA(账户总表!$A:$A))&gt;=INDEX(账户总表!$S:$S,COUNTA(账户总表!$A:$A))),"新增受限","可通过"))</f>
        <v/>
      </c>
      <c r="AQ186" s="1" t="str">
        <f aca="false">IF($A186="","",IF(K186&lt;&gt;"核心池","非核心池",IF(OR(AI186="超限",AO186="超限",AP186="新增受限"),"不可加仓","可加仓")))</f>
        <v/>
      </c>
      <c r="AR186" s="1" t="str">
        <f aca="false">IF($A186="","",TRIM(IF(AI186="超限","1手超单股上限；","")&amp;IF(AO186="超限","买后仓位超限；","")&amp;IF(AP186="新增受限","有效持仓数超限；","")&amp;IF(AF186&gt;INDEX(账户总表!$C:$C,COUNTA(账户总表!$A:$A)),"现金不足；","")))</f>
        <v/>
      </c>
      <c r="AS186" s="1" t="str">
        <f aca="false">IF($A186="","",IFERROR(INDEX(候选池历史!$L:$L,MATCH(1,(候选池历史!$B:$B=C186)*(候选池历史!$A:$A=$A186),0)),0))</f>
        <v/>
      </c>
      <c r="AT186" s="1" t="str">
        <f aca="false">IF($A186="","",IF(AS186&gt;=3,"★信号强化",IF(K186="核心池","核心观察","")))</f>
        <v/>
      </c>
      <c r="AU186" s="1" t="str">
        <f aca="false">IF($A186="","",IF(AK186&gt;30000-INDEX(账户总表!$B:$B,COUNTA(账户总表!$A:$A)),"不适合婴儿阶段","可纳入幼儿路径"))</f>
        <v/>
      </c>
    </row>
    <row r="187" customFormat="false" ht="15" hidden="false" customHeight="true" outlineLevel="0" collapsed="false">
      <c r="A187" s="9"/>
      <c r="B187" s="9"/>
      <c r="C187" s="9"/>
      <c r="D187" s="26"/>
      <c r="E187" s="26"/>
      <c r="F187" s="26"/>
      <c r="G187" s="28"/>
      <c r="H187" s="9"/>
      <c r="I187" s="14"/>
      <c r="J187" s="9"/>
      <c r="K187" s="5" t="str">
        <f aca="false">IF($A187="","",IF(AND(G187&lt;45%,H187&gt;=0.9),"A",IF(AND(G187&lt;60%,H187&gt;0.8),"B","C")))</f>
        <v/>
      </c>
      <c r="L187" s="5" t="str">
        <f aca="false">IF($A187="","",IF(AND(G187&lt;60%,H187&gt;0.8,I187="True"),"是","否"))</f>
        <v/>
      </c>
      <c r="M187" s="5" t="str">
        <f aca="false">IF($A187="","",IF(AND(D187&gt;0,E187&gt;0,D187&lt;=E187*1.02),"是","否"))</f>
        <v/>
      </c>
      <c r="N187" s="19" t="n">
        <f aca="false">IFERROR(INDEX(账户总表!$O:$O,COUNTA(账户总表!$A:$A)),0)</f>
        <v>0.35</v>
      </c>
      <c r="O187" s="18" t="n">
        <f aca="false">IFERROR(INDEX(账户总表!$B:$B,COUNTA(账户总表!$A:$A))*N187,0)</f>
        <v>7294.812</v>
      </c>
      <c r="P187" s="21" t="n">
        <f aca="false">IFERROR(O187/D187,0)</f>
        <v>0</v>
      </c>
      <c r="Q187" s="21" t="n">
        <f aca="false">IFERROR(FLOOR(P187,100),0)</f>
        <v>0</v>
      </c>
      <c r="R187" s="21" t="n">
        <f aca="false">IFERROR(CEILING(800/(100*D187),1)*100,0)</f>
        <v>0</v>
      </c>
      <c r="S187" s="27"/>
      <c r="T187" s="18" t="n">
        <f aca="false">IFERROR(S187*D187,0)</f>
        <v>0</v>
      </c>
      <c r="U187" s="19" t="n">
        <f aca="false">IFERROR(T187/INDEX(账户总表!$B:$B,COUNTA(账户总表!$A:$A)),0)</f>
        <v>0</v>
      </c>
      <c r="V187" s="19" t="n">
        <f aca="false">IFERROR(INDEX(账户总表!$E:$E,COUNTA(账户总表!$A:$A))+U187,0)</f>
        <v>0.407056412146057</v>
      </c>
      <c r="W187" s="5" t="str">
        <f aca="false">IF($A187="","",IFERROR(IF(V187&lt;=INDEX(账户总表!$N:$N,COUNTA(账户总表!$A:$A)),"是","否"),"否"))</f>
        <v/>
      </c>
      <c r="X187" s="18" t="str">
        <f aca="false">IF($A187="","",MAX(F187*0.98,D187*0.92))</f>
        <v/>
      </c>
      <c r="Y187" s="9"/>
      <c r="Z187" s="5" t="str">
        <f aca="false">IF($A187="","",IFERROR(IF(AND(T187&gt;INDEX(账户总表!$C:$C,COUNTA(账户总表!$A:$A)),L187="是"),"是","否"),"否"))</f>
        <v/>
      </c>
      <c r="AA187" s="18" t="str">
        <f aca="false">IF($A187="","",IFERROR(IF(Z187="是",MAX(0,T187-INDEX(账户总表!$C:$C,COUNTA(账户总表!$A:$A)),IF(N187&gt;0,T187/N187-INDEX(账户总表!$B:$B,COUNTA(账户总表!$A:$A)),0)),0),0))</f>
        <v/>
      </c>
      <c r="AB187" s="18" t="str">
        <f aca="false">IF($A187="","",IF(AND(Z187="是",INDEX(账户总表!$U:$U,COUNTA(账户总表!$A:$A))="是"),IF(INDEX(账户总表!$L:$L,COUNTA(账户总表!$A:$A))&gt;=4,AA187*1.5,AA187),0))</f>
        <v/>
      </c>
      <c r="AC187" s="5" t="str">
        <f aca="false">IF($A187="","",IF(AND(L187="是",Q187&gt;=R187,S187&lt;=Q187,S187&gt;=R187,W187="是",X187&gt;0,M187="是",INDEX(账户总表!$M:$M,COUNTA(账户总表!$A:$A))&lt;=2,INDEX(账户总表!$V:$V,COUNTA(账户总表!$A:$A))="是",OR(T187&lt;=INDEX(账户总表!$C:$C,COUNTA(账户总表!$A:$A)),AND(Z187="是",INDEX(账户总表!$U:$U,COUNTA(账户总表!$A:$A))="是",AB187&gt;0))),"是","否"))</f>
        <v/>
      </c>
      <c r="AD187" s="5" t="str">
        <f aca="false">IF($A187="","",IF(L187&lt;&gt;"是","信号未确认",IF(X187&lt;=0,"止损价未定义",IF(Q187&lt;R187,"100股约束不满足",IF(S187&gt;Q187,"计划股数超单股上限",IF(S187&lt;R187,"计划股数低于最小门槛",IF(W187&lt;&gt;"是","总仓位超限",IF(M187&lt;&gt;"是","追价",IF(INDEX(账户总表!$M:$M,COUNTA(账户总表!$A:$A))&gt;2,"亏钱效应偏高",IF(INDEX(账户总表!$V:$V,COUNTA(账户总表!$A:$A))&lt;&gt;"是","账户不允许新开仓",IF(AND(T187&gt;INDEX(账户总表!$C:$C,COUNTA(账户总表!$A:$A)),INDEX(账户总表!$U:$U,COUNTA(账户总表!$A:$A))&lt;&gt;"是"),"现金不足且不允许转入",IF(AND(Z187="是",AB187&lt;=0),"转入金额未满足",""))))))))))))</f>
        <v/>
      </c>
      <c r="AE187" s="9"/>
      <c r="AF187" s="1" t="str">
        <f aca="false">IF($A187="","",D187*100)</f>
        <v/>
      </c>
      <c r="AG187" s="1" t="str">
        <f aca="false">IF($A187="","",IFERROR(AF187/INDEX(账户总表!$B:$B,COUNTA(账户总表!$A:$A)),0))</f>
        <v/>
      </c>
      <c r="AH187" s="1" t="str">
        <f aca="false">IF($A187="","",IFERROR(INDEX(账户总表!$B:$B,COUNTA(账户总表!$A:$A))*INDEX(账户总表!$O:$O,COUNTA(账户总表!$A:$A)),0))</f>
        <v/>
      </c>
      <c r="AI187" s="1" t="str">
        <f aca="false">IF($A187="","",IF(AF187&gt;AH187,"超限","合规"))</f>
        <v/>
      </c>
      <c r="AJ187" s="1" t="str">
        <f aca="false">IF($A187="","",IFERROR(AF187/INDEX(账户总表!$O:$O,COUNTA(账户总表!$A:$A)),0))</f>
        <v/>
      </c>
      <c r="AK187" s="1" t="str">
        <f aca="false">IF($A187="","",IFERROR(MAX(0,AJ187-INDEX(账户总表!$B:$B,COUNTA(账户总表!$A:$A)),AF187-INDEX(账户总表!$C:$C,COUNTA(账户总表!$A:$A))),0))</f>
        <v/>
      </c>
      <c r="AL187" s="1" t="str">
        <f aca="false">IF($A187="","",IF(COUNTIF(持仓表!$C$2:$C$201,C187)&gt;0,"已有","新标的"))</f>
        <v/>
      </c>
      <c r="AM187" s="1" t="str">
        <f aca="false">IF($A187="","",IFERROR(SUMIFS(持仓表!$N$2:$N$201,持仓表!$C$2:$C$201,C187,持仓表!$A$2:$A$201,$A187),0))</f>
        <v/>
      </c>
      <c r="AN187" s="1" t="str">
        <f aca="false">IF($A187="","",IFERROR(AM187+AF187/INDEX(账户总表!$B:$B,COUNTA(账户总表!$A:$A)),0))</f>
        <v/>
      </c>
      <c r="AO187" s="1" t="str">
        <f aca="false">IF($A187="","",IF(AN187&gt;INDEX(账户总表!$O:$O,COUNTA(账户总表!$A:$A)),"超限","合规"))</f>
        <v/>
      </c>
      <c r="AP187" s="1" t="str">
        <f aca="false">IF($A187="","",IF(AND(AL187="新标的",INDEX(账户总表!$R:$R,COUNTA(账户总表!$A:$A))&gt;=INDEX(账户总表!$S:$S,COUNTA(账户总表!$A:$A))),"新增受限","可通过"))</f>
        <v/>
      </c>
      <c r="AQ187" s="1" t="str">
        <f aca="false">IF($A187="","",IF(K187&lt;&gt;"核心池","非核心池",IF(OR(AI187="超限",AO187="超限",AP187="新增受限"),"不可加仓","可加仓")))</f>
        <v/>
      </c>
      <c r="AR187" s="1" t="str">
        <f aca="false">IF($A187="","",TRIM(IF(AI187="超限","1手超单股上限；","")&amp;IF(AO187="超限","买后仓位超限；","")&amp;IF(AP187="新增受限","有效持仓数超限；","")&amp;IF(AF187&gt;INDEX(账户总表!$C:$C,COUNTA(账户总表!$A:$A)),"现金不足；","")))</f>
        <v/>
      </c>
      <c r="AS187" s="1" t="str">
        <f aca="false">IF($A187="","",IFERROR(INDEX(候选池历史!$L:$L,MATCH(1,(候选池历史!$B:$B=C187)*(候选池历史!$A:$A=$A187),0)),0))</f>
        <v/>
      </c>
      <c r="AT187" s="1" t="str">
        <f aca="false">IF($A187="","",IF(AS187&gt;=3,"★信号强化",IF(K187="核心池","核心观察","")))</f>
        <v/>
      </c>
      <c r="AU187" s="1" t="str">
        <f aca="false">IF($A187="","",IF(AK187&gt;30000-INDEX(账户总表!$B:$B,COUNTA(账户总表!$A:$A)),"不适合婴儿阶段","可纳入幼儿路径"))</f>
        <v/>
      </c>
    </row>
    <row r="188" customFormat="false" ht="15" hidden="false" customHeight="true" outlineLevel="0" collapsed="false">
      <c r="A188" s="6"/>
      <c r="B188" s="6"/>
      <c r="C188" s="6"/>
      <c r="D188" s="17"/>
      <c r="E188" s="17"/>
      <c r="F188" s="17"/>
      <c r="G188" s="22"/>
      <c r="H188" s="6"/>
      <c r="I188" s="13"/>
      <c r="J188" s="6"/>
      <c r="K188" s="5" t="str">
        <f aca="false">IF($A188="","",IF(AND(G188&lt;45%,H188&gt;=0.9),"A",IF(AND(G188&lt;60%,H188&gt;0.8),"B","C")))</f>
        <v/>
      </c>
      <c r="L188" s="5" t="str">
        <f aca="false">IF($A188="","",IF(AND(G188&lt;60%,H188&gt;0.8,I188="True"),"是","否"))</f>
        <v/>
      </c>
      <c r="M188" s="5" t="str">
        <f aca="false">IF($A188="","",IF(AND(D188&gt;0,E188&gt;0,D188&lt;=E188*1.02),"是","否"))</f>
        <v/>
      </c>
      <c r="N188" s="19" t="n">
        <f aca="false">IFERROR(INDEX(账户总表!$O:$O,COUNTA(账户总表!$A:$A)),0)</f>
        <v>0.35</v>
      </c>
      <c r="O188" s="18" t="n">
        <f aca="false">IFERROR(INDEX(账户总表!$B:$B,COUNTA(账户总表!$A:$A))*N188,0)</f>
        <v>7294.812</v>
      </c>
      <c r="P188" s="21" t="n">
        <f aca="false">IFERROR(O188/D188,0)</f>
        <v>0</v>
      </c>
      <c r="Q188" s="21" t="n">
        <f aca="false">IFERROR(FLOOR(P188,100),0)</f>
        <v>0</v>
      </c>
      <c r="R188" s="21" t="n">
        <f aca="false">IFERROR(CEILING(800/(100*D188),1)*100,0)</f>
        <v>0</v>
      </c>
      <c r="S188" s="20"/>
      <c r="T188" s="18" t="n">
        <f aca="false">IFERROR(S188*D188,0)</f>
        <v>0</v>
      </c>
      <c r="U188" s="19" t="n">
        <f aca="false">IFERROR(T188/INDEX(账户总表!$B:$B,COUNTA(账户总表!$A:$A)),0)</f>
        <v>0</v>
      </c>
      <c r="V188" s="19" t="n">
        <f aca="false">IFERROR(INDEX(账户总表!$E:$E,COUNTA(账户总表!$A:$A))+U188,0)</f>
        <v>0.407056412146057</v>
      </c>
      <c r="W188" s="5" t="str">
        <f aca="false">IF($A188="","",IFERROR(IF(V188&lt;=INDEX(账户总表!$N:$N,COUNTA(账户总表!$A:$A)),"是","否"),"否"))</f>
        <v/>
      </c>
      <c r="X188" s="18" t="str">
        <f aca="false">IF($A188="","",MAX(F188*0.98,D188*0.92))</f>
        <v/>
      </c>
      <c r="Y188" s="6"/>
      <c r="Z188" s="5" t="str">
        <f aca="false">IF($A188="","",IFERROR(IF(AND(T188&gt;INDEX(账户总表!$C:$C,COUNTA(账户总表!$A:$A)),L188="是"),"是","否"),"否"))</f>
        <v/>
      </c>
      <c r="AA188" s="18" t="str">
        <f aca="false">IF($A188="","",IFERROR(IF(Z188="是",MAX(0,T188-INDEX(账户总表!$C:$C,COUNTA(账户总表!$A:$A)),IF(N188&gt;0,T188/N188-INDEX(账户总表!$B:$B,COUNTA(账户总表!$A:$A)),0)),0),0))</f>
        <v/>
      </c>
      <c r="AB188" s="18" t="str">
        <f aca="false">IF($A188="","",IF(AND(Z188="是",INDEX(账户总表!$U:$U,COUNTA(账户总表!$A:$A))="是"),IF(INDEX(账户总表!$L:$L,COUNTA(账户总表!$A:$A))&gt;=4,AA188*1.5,AA188),0))</f>
        <v/>
      </c>
      <c r="AC188" s="5" t="str">
        <f aca="false">IF($A188="","",IF(AND(L188="是",Q188&gt;=R188,S188&lt;=Q188,S188&gt;=R188,W188="是",X188&gt;0,M188="是",INDEX(账户总表!$M:$M,COUNTA(账户总表!$A:$A))&lt;=2,INDEX(账户总表!$V:$V,COUNTA(账户总表!$A:$A))="是",OR(T188&lt;=INDEX(账户总表!$C:$C,COUNTA(账户总表!$A:$A)),AND(Z188="是",INDEX(账户总表!$U:$U,COUNTA(账户总表!$A:$A))="是",AB188&gt;0))),"是","否"))</f>
        <v/>
      </c>
      <c r="AD188" s="5" t="str">
        <f aca="false">IF($A188="","",IF(L188&lt;&gt;"是","信号未确认",IF(X188&lt;=0,"止损价未定义",IF(Q188&lt;R188,"100股约束不满足",IF(S188&gt;Q188,"计划股数超单股上限",IF(S188&lt;R188,"计划股数低于最小门槛",IF(W188&lt;&gt;"是","总仓位超限",IF(M188&lt;&gt;"是","追价",IF(INDEX(账户总表!$M:$M,COUNTA(账户总表!$A:$A))&gt;2,"亏钱效应偏高",IF(INDEX(账户总表!$V:$V,COUNTA(账户总表!$A:$A))&lt;&gt;"是","账户不允许新开仓",IF(AND(T188&gt;INDEX(账户总表!$C:$C,COUNTA(账户总表!$A:$A)),INDEX(账户总表!$U:$U,COUNTA(账户总表!$A:$A))&lt;&gt;"是"),"现金不足且不允许转入",IF(AND(Z188="是",AB188&lt;=0),"转入金额未满足",""))))))))))))</f>
        <v/>
      </c>
      <c r="AE188" s="6"/>
      <c r="AF188" s="1" t="str">
        <f aca="false">IF($A188="","",D188*100)</f>
        <v/>
      </c>
      <c r="AG188" s="1" t="str">
        <f aca="false">IF($A188="","",IFERROR(AF188/INDEX(账户总表!$B:$B,COUNTA(账户总表!$A:$A)),0))</f>
        <v/>
      </c>
      <c r="AH188" s="1" t="str">
        <f aca="false">IF($A188="","",IFERROR(INDEX(账户总表!$B:$B,COUNTA(账户总表!$A:$A))*INDEX(账户总表!$O:$O,COUNTA(账户总表!$A:$A)),0))</f>
        <v/>
      </c>
      <c r="AI188" s="1" t="str">
        <f aca="false">IF($A188="","",IF(AF188&gt;AH188,"超限","合规"))</f>
        <v/>
      </c>
      <c r="AJ188" s="1" t="str">
        <f aca="false">IF($A188="","",IFERROR(AF188/INDEX(账户总表!$O:$O,COUNTA(账户总表!$A:$A)),0))</f>
        <v/>
      </c>
      <c r="AK188" s="1" t="str">
        <f aca="false">IF($A188="","",IFERROR(MAX(0,AJ188-INDEX(账户总表!$B:$B,COUNTA(账户总表!$A:$A)),AF188-INDEX(账户总表!$C:$C,COUNTA(账户总表!$A:$A))),0))</f>
        <v/>
      </c>
      <c r="AL188" s="1" t="str">
        <f aca="false">IF($A188="","",IF(COUNTIF(持仓表!$C$2:$C$201,C188)&gt;0,"已有","新标的"))</f>
        <v/>
      </c>
      <c r="AM188" s="1" t="str">
        <f aca="false">IF($A188="","",IFERROR(SUMIFS(持仓表!$N$2:$N$201,持仓表!$C$2:$C$201,C188,持仓表!$A$2:$A$201,$A188),0))</f>
        <v/>
      </c>
      <c r="AN188" s="1" t="str">
        <f aca="false">IF($A188="","",IFERROR(AM188+AF188/INDEX(账户总表!$B:$B,COUNTA(账户总表!$A:$A)),0))</f>
        <v/>
      </c>
      <c r="AO188" s="1" t="str">
        <f aca="false">IF($A188="","",IF(AN188&gt;INDEX(账户总表!$O:$O,COUNTA(账户总表!$A:$A)),"超限","合规"))</f>
        <v/>
      </c>
      <c r="AP188" s="1" t="str">
        <f aca="false">IF($A188="","",IF(AND(AL188="新标的",INDEX(账户总表!$R:$R,COUNTA(账户总表!$A:$A))&gt;=INDEX(账户总表!$S:$S,COUNTA(账户总表!$A:$A))),"新增受限","可通过"))</f>
        <v/>
      </c>
      <c r="AQ188" s="1" t="str">
        <f aca="false">IF($A188="","",IF(K188&lt;&gt;"核心池","非核心池",IF(OR(AI188="超限",AO188="超限",AP188="新增受限"),"不可加仓","可加仓")))</f>
        <v/>
      </c>
      <c r="AR188" s="1" t="str">
        <f aca="false">IF($A188="","",TRIM(IF(AI188="超限","1手超单股上限；","")&amp;IF(AO188="超限","买后仓位超限；","")&amp;IF(AP188="新增受限","有效持仓数超限；","")&amp;IF(AF188&gt;INDEX(账户总表!$C:$C,COUNTA(账户总表!$A:$A)),"现金不足；","")))</f>
        <v/>
      </c>
      <c r="AS188" s="1" t="str">
        <f aca="false">IF($A188="","",IFERROR(INDEX(候选池历史!$L:$L,MATCH(1,(候选池历史!$B:$B=C188)*(候选池历史!$A:$A=$A188),0)),0))</f>
        <v/>
      </c>
      <c r="AT188" s="1" t="str">
        <f aca="false">IF($A188="","",IF(AS188&gt;=3,"★信号强化",IF(K188="核心池","核心观察","")))</f>
        <v/>
      </c>
      <c r="AU188" s="1" t="str">
        <f aca="false">IF($A188="","",IF(AK188&gt;30000-INDEX(账户总表!$B:$B,COUNTA(账户总表!$A:$A)),"不适合婴儿阶段","可纳入幼儿路径"))</f>
        <v/>
      </c>
    </row>
    <row r="189" customFormat="false" ht="15" hidden="false" customHeight="true" outlineLevel="0" collapsed="false">
      <c r="A189" s="9"/>
      <c r="B189" s="9"/>
      <c r="C189" s="9"/>
      <c r="D189" s="26"/>
      <c r="E189" s="26"/>
      <c r="F189" s="26"/>
      <c r="G189" s="28"/>
      <c r="H189" s="9"/>
      <c r="I189" s="14"/>
      <c r="J189" s="9"/>
      <c r="K189" s="5" t="str">
        <f aca="false">IF($A189="","",IF(AND(G189&lt;45%,H189&gt;=0.9),"A",IF(AND(G189&lt;60%,H189&gt;0.8),"B","C")))</f>
        <v/>
      </c>
      <c r="L189" s="5" t="str">
        <f aca="false">IF($A189="","",IF(AND(G189&lt;60%,H189&gt;0.8,I189="True"),"是","否"))</f>
        <v/>
      </c>
      <c r="M189" s="5" t="str">
        <f aca="false">IF($A189="","",IF(AND(D189&gt;0,E189&gt;0,D189&lt;=E189*1.02),"是","否"))</f>
        <v/>
      </c>
      <c r="N189" s="19" t="n">
        <f aca="false">IFERROR(INDEX(账户总表!$O:$O,COUNTA(账户总表!$A:$A)),0)</f>
        <v>0.35</v>
      </c>
      <c r="O189" s="18" t="n">
        <f aca="false">IFERROR(INDEX(账户总表!$B:$B,COUNTA(账户总表!$A:$A))*N189,0)</f>
        <v>7294.812</v>
      </c>
      <c r="P189" s="21" t="n">
        <f aca="false">IFERROR(O189/D189,0)</f>
        <v>0</v>
      </c>
      <c r="Q189" s="21" t="n">
        <f aca="false">IFERROR(FLOOR(P189,100),0)</f>
        <v>0</v>
      </c>
      <c r="R189" s="21" t="n">
        <f aca="false">IFERROR(CEILING(800/(100*D189),1)*100,0)</f>
        <v>0</v>
      </c>
      <c r="S189" s="27"/>
      <c r="T189" s="18" t="n">
        <f aca="false">IFERROR(S189*D189,0)</f>
        <v>0</v>
      </c>
      <c r="U189" s="19" t="n">
        <f aca="false">IFERROR(T189/INDEX(账户总表!$B:$B,COUNTA(账户总表!$A:$A)),0)</f>
        <v>0</v>
      </c>
      <c r="V189" s="19" t="n">
        <f aca="false">IFERROR(INDEX(账户总表!$E:$E,COUNTA(账户总表!$A:$A))+U189,0)</f>
        <v>0.407056412146057</v>
      </c>
      <c r="W189" s="5" t="str">
        <f aca="false">IF($A189="","",IFERROR(IF(V189&lt;=INDEX(账户总表!$N:$N,COUNTA(账户总表!$A:$A)),"是","否"),"否"))</f>
        <v/>
      </c>
      <c r="X189" s="18" t="str">
        <f aca="false">IF($A189="","",MAX(F189*0.98,D189*0.92))</f>
        <v/>
      </c>
      <c r="Y189" s="9"/>
      <c r="Z189" s="5" t="str">
        <f aca="false">IF($A189="","",IFERROR(IF(AND(T189&gt;INDEX(账户总表!$C:$C,COUNTA(账户总表!$A:$A)),L189="是"),"是","否"),"否"))</f>
        <v/>
      </c>
      <c r="AA189" s="18" t="str">
        <f aca="false">IF($A189="","",IFERROR(IF(Z189="是",MAX(0,T189-INDEX(账户总表!$C:$C,COUNTA(账户总表!$A:$A)),IF(N189&gt;0,T189/N189-INDEX(账户总表!$B:$B,COUNTA(账户总表!$A:$A)),0)),0),0))</f>
        <v/>
      </c>
      <c r="AB189" s="18" t="str">
        <f aca="false">IF($A189="","",IF(AND(Z189="是",INDEX(账户总表!$U:$U,COUNTA(账户总表!$A:$A))="是"),IF(INDEX(账户总表!$L:$L,COUNTA(账户总表!$A:$A))&gt;=4,AA189*1.5,AA189),0))</f>
        <v/>
      </c>
      <c r="AC189" s="5" t="str">
        <f aca="false">IF($A189="","",IF(AND(L189="是",Q189&gt;=R189,S189&lt;=Q189,S189&gt;=R189,W189="是",X189&gt;0,M189="是",INDEX(账户总表!$M:$M,COUNTA(账户总表!$A:$A))&lt;=2,INDEX(账户总表!$V:$V,COUNTA(账户总表!$A:$A))="是",OR(T189&lt;=INDEX(账户总表!$C:$C,COUNTA(账户总表!$A:$A)),AND(Z189="是",INDEX(账户总表!$U:$U,COUNTA(账户总表!$A:$A))="是",AB189&gt;0))),"是","否"))</f>
        <v/>
      </c>
      <c r="AD189" s="5" t="str">
        <f aca="false">IF($A189="","",IF(L189&lt;&gt;"是","信号未确认",IF(X189&lt;=0,"止损价未定义",IF(Q189&lt;R189,"100股约束不满足",IF(S189&gt;Q189,"计划股数超单股上限",IF(S189&lt;R189,"计划股数低于最小门槛",IF(W189&lt;&gt;"是","总仓位超限",IF(M189&lt;&gt;"是","追价",IF(INDEX(账户总表!$M:$M,COUNTA(账户总表!$A:$A))&gt;2,"亏钱效应偏高",IF(INDEX(账户总表!$V:$V,COUNTA(账户总表!$A:$A))&lt;&gt;"是","账户不允许新开仓",IF(AND(T189&gt;INDEX(账户总表!$C:$C,COUNTA(账户总表!$A:$A)),INDEX(账户总表!$U:$U,COUNTA(账户总表!$A:$A))&lt;&gt;"是"),"现金不足且不允许转入",IF(AND(Z189="是",AB189&lt;=0),"转入金额未满足",""))))))))))))</f>
        <v/>
      </c>
      <c r="AE189" s="9"/>
      <c r="AF189" s="1" t="str">
        <f aca="false">IF($A189="","",D189*100)</f>
        <v/>
      </c>
      <c r="AG189" s="1" t="str">
        <f aca="false">IF($A189="","",IFERROR(AF189/INDEX(账户总表!$B:$B,COUNTA(账户总表!$A:$A)),0))</f>
        <v/>
      </c>
      <c r="AH189" s="1" t="str">
        <f aca="false">IF($A189="","",IFERROR(INDEX(账户总表!$B:$B,COUNTA(账户总表!$A:$A))*INDEX(账户总表!$O:$O,COUNTA(账户总表!$A:$A)),0))</f>
        <v/>
      </c>
      <c r="AI189" s="1" t="str">
        <f aca="false">IF($A189="","",IF(AF189&gt;AH189,"超限","合规"))</f>
        <v/>
      </c>
      <c r="AJ189" s="1" t="str">
        <f aca="false">IF($A189="","",IFERROR(AF189/INDEX(账户总表!$O:$O,COUNTA(账户总表!$A:$A)),0))</f>
        <v/>
      </c>
      <c r="AK189" s="1" t="str">
        <f aca="false">IF($A189="","",IFERROR(MAX(0,AJ189-INDEX(账户总表!$B:$B,COUNTA(账户总表!$A:$A)),AF189-INDEX(账户总表!$C:$C,COUNTA(账户总表!$A:$A))),0))</f>
        <v/>
      </c>
      <c r="AL189" s="1" t="str">
        <f aca="false">IF($A189="","",IF(COUNTIF(持仓表!$C$2:$C$201,C189)&gt;0,"已有","新标的"))</f>
        <v/>
      </c>
      <c r="AM189" s="1" t="str">
        <f aca="false">IF($A189="","",IFERROR(SUMIFS(持仓表!$N$2:$N$201,持仓表!$C$2:$C$201,C189,持仓表!$A$2:$A$201,$A189),0))</f>
        <v/>
      </c>
      <c r="AN189" s="1" t="str">
        <f aca="false">IF($A189="","",IFERROR(AM189+AF189/INDEX(账户总表!$B:$B,COUNTA(账户总表!$A:$A)),0))</f>
        <v/>
      </c>
      <c r="AO189" s="1" t="str">
        <f aca="false">IF($A189="","",IF(AN189&gt;INDEX(账户总表!$O:$O,COUNTA(账户总表!$A:$A)),"超限","合规"))</f>
        <v/>
      </c>
      <c r="AP189" s="1" t="str">
        <f aca="false">IF($A189="","",IF(AND(AL189="新标的",INDEX(账户总表!$R:$R,COUNTA(账户总表!$A:$A))&gt;=INDEX(账户总表!$S:$S,COUNTA(账户总表!$A:$A))),"新增受限","可通过"))</f>
        <v/>
      </c>
      <c r="AQ189" s="1" t="str">
        <f aca="false">IF($A189="","",IF(K189&lt;&gt;"核心池","非核心池",IF(OR(AI189="超限",AO189="超限",AP189="新增受限"),"不可加仓","可加仓")))</f>
        <v/>
      </c>
      <c r="AR189" s="1" t="str">
        <f aca="false">IF($A189="","",TRIM(IF(AI189="超限","1手超单股上限；","")&amp;IF(AO189="超限","买后仓位超限；","")&amp;IF(AP189="新增受限","有效持仓数超限；","")&amp;IF(AF189&gt;INDEX(账户总表!$C:$C,COUNTA(账户总表!$A:$A)),"现金不足；","")))</f>
        <v/>
      </c>
      <c r="AS189" s="1" t="str">
        <f aca="false">IF($A189="","",IFERROR(INDEX(候选池历史!$L:$L,MATCH(1,(候选池历史!$B:$B=C189)*(候选池历史!$A:$A=$A189),0)),0))</f>
        <v/>
      </c>
      <c r="AT189" s="1" t="str">
        <f aca="false">IF($A189="","",IF(AS189&gt;=3,"★信号强化",IF(K189="核心池","核心观察","")))</f>
        <v/>
      </c>
      <c r="AU189" s="1" t="str">
        <f aca="false">IF($A189="","",IF(AK189&gt;30000-INDEX(账户总表!$B:$B,COUNTA(账户总表!$A:$A)),"不适合婴儿阶段","可纳入幼儿路径"))</f>
        <v/>
      </c>
    </row>
    <row r="190" customFormat="false" ht="15" hidden="false" customHeight="true" outlineLevel="0" collapsed="false">
      <c r="A190" s="6"/>
      <c r="B190" s="6"/>
      <c r="C190" s="6"/>
      <c r="D190" s="17"/>
      <c r="E190" s="17"/>
      <c r="F190" s="17"/>
      <c r="G190" s="22"/>
      <c r="H190" s="6"/>
      <c r="I190" s="13"/>
      <c r="J190" s="6"/>
      <c r="K190" s="5" t="str">
        <f aca="false">IF($A190="","",IF(AND(G190&lt;45%,H190&gt;=0.9),"A",IF(AND(G190&lt;60%,H190&gt;0.8),"B","C")))</f>
        <v/>
      </c>
      <c r="L190" s="5" t="str">
        <f aca="false">IF($A190="","",IF(AND(G190&lt;60%,H190&gt;0.8,I190="True"),"是","否"))</f>
        <v/>
      </c>
      <c r="M190" s="5" t="str">
        <f aca="false">IF($A190="","",IF(AND(D190&gt;0,E190&gt;0,D190&lt;=E190*1.02),"是","否"))</f>
        <v/>
      </c>
      <c r="N190" s="19" t="n">
        <f aca="false">IFERROR(INDEX(账户总表!$O:$O,COUNTA(账户总表!$A:$A)),0)</f>
        <v>0.35</v>
      </c>
      <c r="O190" s="18" t="n">
        <f aca="false">IFERROR(INDEX(账户总表!$B:$B,COUNTA(账户总表!$A:$A))*N190,0)</f>
        <v>7294.812</v>
      </c>
      <c r="P190" s="21" t="n">
        <f aca="false">IFERROR(O190/D190,0)</f>
        <v>0</v>
      </c>
      <c r="Q190" s="21" t="n">
        <f aca="false">IFERROR(FLOOR(P190,100),0)</f>
        <v>0</v>
      </c>
      <c r="R190" s="21" t="n">
        <f aca="false">IFERROR(CEILING(800/(100*D190),1)*100,0)</f>
        <v>0</v>
      </c>
      <c r="S190" s="20"/>
      <c r="T190" s="18" t="n">
        <f aca="false">IFERROR(S190*D190,0)</f>
        <v>0</v>
      </c>
      <c r="U190" s="19" t="n">
        <f aca="false">IFERROR(T190/INDEX(账户总表!$B:$B,COUNTA(账户总表!$A:$A)),0)</f>
        <v>0</v>
      </c>
      <c r="V190" s="19" t="n">
        <f aca="false">IFERROR(INDEX(账户总表!$E:$E,COUNTA(账户总表!$A:$A))+U190,0)</f>
        <v>0.407056412146057</v>
      </c>
      <c r="W190" s="5" t="str">
        <f aca="false">IF($A190="","",IFERROR(IF(V190&lt;=INDEX(账户总表!$N:$N,COUNTA(账户总表!$A:$A)),"是","否"),"否"))</f>
        <v/>
      </c>
      <c r="X190" s="18" t="str">
        <f aca="false">IF($A190="","",MAX(F190*0.98,D190*0.92))</f>
        <v/>
      </c>
      <c r="Y190" s="6"/>
      <c r="Z190" s="5" t="str">
        <f aca="false">IF($A190="","",IFERROR(IF(AND(T190&gt;INDEX(账户总表!$C:$C,COUNTA(账户总表!$A:$A)),L190="是"),"是","否"),"否"))</f>
        <v/>
      </c>
      <c r="AA190" s="18" t="str">
        <f aca="false">IF($A190="","",IFERROR(IF(Z190="是",MAX(0,T190-INDEX(账户总表!$C:$C,COUNTA(账户总表!$A:$A)),IF(N190&gt;0,T190/N190-INDEX(账户总表!$B:$B,COUNTA(账户总表!$A:$A)),0)),0),0))</f>
        <v/>
      </c>
      <c r="AB190" s="18" t="str">
        <f aca="false">IF($A190="","",IF(AND(Z190="是",INDEX(账户总表!$U:$U,COUNTA(账户总表!$A:$A))="是"),IF(INDEX(账户总表!$L:$L,COUNTA(账户总表!$A:$A))&gt;=4,AA190*1.5,AA190),0))</f>
        <v/>
      </c>
      <c r="AC190" s="5" t="str">
        <f aca="false">IF($A190="","",IF(AND(L190="是",Q190&gt;=R190,S190&lt;=Q190,S190&gt;=R190,W190="是",X190&gt;0,M190="是",INDEX(账户总表!$M:$M,COUNTA(账户总表!$A:$A))&lt;=2,INDEX(账户总表!$V:$V,COUNTA(账户总表!$A:$A))="是",OR(T190&lt;=INDEX(账户总表!$C:$C,COUNTA(账户总表!$A:$A)),AND(Z190="是",INDEX(账户总表!$U:$U,COUNTA(账户总表!$A:$A))="是",AB190&gt;0))),"是","否"))</f>
        <v/>
      </c>
      <c r="AD190" s="5" t="str">
        <f aca="false">IF($A190="","",IF(L190&lt;&gt;"是","信号未确认",IF(X190&lt;=0,"止损价未定义",IF(Q190&lt;R190,"100股约束不满足",IF(S190&gt;Q190,"计划股数超单股上限",IF(S190&lt;R190,"计划股数低于最小门槛",IF(W190&lt;&gt;"是","总仓位超限",IF(M190&lt;&gt;"是","追价",IF(INDEX(账户总表!$M:$M,COUNTA(账户总表!$A:$A))&gt;2,"亏钱效应偏高",IF(INDEX(账户总表!$V:$V,COUNTA(账户总表!$A:$A))&lt;&gt;"是","账户不允许新开仓",IF(AND(T190&gt;INDEX(账户总表!$C:$C,COUNTA(账户总表!$A:$A)),INDEX(账户总表!$U:$U,COUNTA(账户总表!$A:$A))&lt;&gt;"是"),"现金不足且不允许转入",IF(AND(Z190="是",AB190&lt;=0),"转入金额未满足",""))))))))))))</f>
        <v/>
      </c>
      <c r="AE190" s="6"/>
      <c r="AF190" s="1" t="str">
        <f aca="false">IF($A190="","",D190*100)</f>
        <v/>
      </c>
      <c r="AG190" s="1" t="str">
        <f aca="false">IF($A190="","",IFERROR(AF190/INDEX(账户总表!$B:$B,COUNTA(账户总表!$A:$A)),0))</f>
        <v/>
      </c>
      <c r="AH190" s="1" t="str">
        <f aca="false">IF($A190="","",IFERROR(INDEX(账户总表!$B:$B,COUNTA(账户总表!$A:$A))*INDEX(账户总表!$O:$O,COUNTA(账户总表!$A:$A)),0))</f>
        <v/>
      </c>
      <c r="AI190" s="1" t="str">
        <f aca="false">IF($A190="","",IF(AF190&gt;AH190,"超限","合规"))</f>
        <v/>
      </c>
      <c r="AJ190" s="1" t="str">
        <f aca="false">IF($A190="","",IFERROR(AF190/INDEX(账户总表!$O:$O,COUNTA(账户总表!$A:$A)),0))</f>
        <v/>
      </c>
      <c r="AK190" s="1" t="str">
        <f aca="false">IF($A190="","",IFERROR(MAX(0,AJ190-INDEX(账户总表!$B:$B,COUNTA(账户总表!$A:$A)),AF190-INDEX(账户总表!$C:$C,COUNTA(账户总表!$A:$A))),0))</f>
        <v/>
      </c>
      <c r="AL190" s="1" t="str">
        <f aca="false">IF($A190="","",IF(COUNTIF(持仓表!$C$2:$C$201,C190)&gt;0,"已有","新标的"))</f>
        <v/>
      </c>
      <c r="AM190" s="1" t="str">
        <f aca="false">IF($A190="","",IFERROR(SUMIFS(持仓表!$N$2:$N$201,持仓表!$C$2:$C$201,C190,持仓表!$A$2:$A$201,$A190),0))</f>
        <v/>
      </c>
      <c r="AN190" s="1" t="str">
        <f aca="false">IF($A190="","",IFERROR(AM190+AF190/INDEX(账户总表!$B:$B,COUNTA(账户总表!$A:$A)),0))</f>
        <v/>
      </c>
      <c r="AO190" s="1" t="str">
        <f aca="false">IF($A190="","",IF(AN190&gt;INDEX(账户总表!$O:$O,COUNTA(账户总表!$A:$A)),"超限","合规"))</f>
        <v/>
      </c>
      <c r="AP190" s="1" t="str">
        <f aca="false">IF($A190="","",IF(AND(AL190="新标的",INDEX(账户总表!$R:$R,COUNTA(账户总表!$A:$A))&gt;=INDEX(账户总表!$S:$S,COUNTA(账户总表!$A:$A))),"新增受限","可通过"))</f>
        <v/>
      </c>
      <c r="AQ190" s="1" t="str">
        <f aca="false">IF($A190="","",IF(K190&lt;&gt;"核心池","非核心池",IF(OR(AI190="超限",AO190="超限",AP190="新增受限"),"不可加仓","可加仓")))</f>
        <v/>
      </c>
      <c r="AR190" s="1" t="str">
        <f aca="false">IF($A190="","",TRIM(IF(AI190="超限","1手超单股上限；","")&amp;IF(AO190="超限","买后仓位超限；","")&amp;IF(AP190="新增受限","有效持仓数超限；","")&amp;IF(AF190&gt;INDEX(账户总表!$C:$C,COUNTA(账户总表!$A:$A)),"现金不足；","")))</f>
        <v/>
      </c>
      <c r="AS190" s="1" t="str">
        <f aca="false">IF($A190="","",IFERROR(INDEX(候选池历史!$L:$L,MATCH(1,(候选池历史!$B:$B=C190)*(候选池历史!$A:$A=$A190),0)),0))</f>
        <v/>
      </c>
      <c r="AT190" s="1" t="str">
        <f aca="false">IF($A190="","",IF(AS190&gt;=3,"★信号强化",IF(K190="核心池","核心观察","")))</f>
        <v/>
      </c>
      <c r="AU190" s="1" t="str">
        <f aca="false">IF($A190="","",IF(AK190&gt;30000-INDEX(账户总表!$B:$B,COUNTA(账户总表!$A:$A)),"不适合婴儿阶段","可纳入幼儿路径"))</f>
        <v/>
      </c>
    </row>
    <row r="191" customFormat="false" ht="15" hidden="false" customHeight="true" outlineLevel="0" collapsed="false">
      <c r="A191" s="9"/>
      <c r="B191" s="9"/>
      <c r="C191" s="9"/>
      <c r="D191" s="26"/>
      <c r="E191" s="26"/>
      <c r="F191" s="26"/>
      <c r="G191" s="28"/>
      <c r="H191" s="9"/>
      <c r="I191" s="14"/>
      <c r="J191" s="9"/>
      <c r="K191" s="5" t="str">
        <f aca="false">IF($A191="","",IF(AND(G191&lt;45%,H191&gt;=0.9),"A",IF(AND(G191&lt;60%,H191&gt;0.8),"B","C")))</f>
        <v/>
      </c>
      <c r="L191" s="5" t="str">
        <f aca="false">IF($A191="","",IF(AND(G191&lt;60%,H191&gt;0.8,I191="True"),"是","否"))</f>
        <v/>
      </c>
      <c r="M191" s="5" t="str">
        <f aca="false">IF($A191="","",IF(AND(D191&gt;0,E191&gt;0,D191&lt;=E191*1.02),"是","否"))</f>
        <v/>
      </c>
      <c r="N191" s="19" t="n">
        <f aca="false">IFERROR(INDEX(账户总表!$O:$O,COUNTA(账户总表!$A:$A)),0)</f>
        <v>0.35</v>
      </c>
      <c r="O191" s="18" t="n">
        <f aca="false">IFERROR(INDEX(账户总表!$B:$B,COUNTA(账户总表!$A:$A))*N191,0)</f>
        <v>7294.812</v>
      </c>
      <c r="P191" s="21" t="n">
        <f aca="false">IFERROR(O191/D191,0)</f>
        <v>0</v>
      </c>
      <c r="Q191" s="21" t="n">
        <f aca="false">IFERROR(FLOOR(P191,100),0)</f>
        <v>0</v>
      </c>
      <c r="R191" s="21" t="n">
        <f aca="false">IFERROR(CEILING(800/(100*D191),1)*100,0)</f>
        <v>0</v>
      </c>
      <c r="S191" s="27"/>
      <c r="T191" s="18" t="n">
        <f aca="false">IFERROR(S191*D191,0)</f>
        <v>0</v>
      </c>
      <c r="U191" s="19" t="n">
        <f aca="false">IFERROR(T191/INDEX(账户总表!$B:$B,COUNTA(账户总表!$A:$A)),0)</f>
        <v>0</v>
      </c>
      <c r="V191" s="19" t="n">
        <f aca="false">IFERROR(INDEX(账户总表!$E:$E,COUNTA(账户总表!$A:$A))+U191,0)</f>
        <v>0.407056412146057</v>
      </c>
      <c r="W191" s="5" t="str">
        <f aca="false">IF($A191="","",IFERROR(IF(V191&lt;=INDEX(账户总表!$N:$N,COUNTA(账户总表!$A:$A)),"是","否"),"否"))</f>
        <v/>
      </c>
      <c r="X191" s="18" t="str">
        <f aca="false">IF($A191="","",MAX(F191*0.98,D191*0.92))</f>
        <v/>
      </c>
      <c r="Y191" s="9"/>
      <c r="Z191" s="5" t="str">
        <f aca="false">IF($A191="","",IFERROR(IF(AND(T191&gt;INDEX(账户总表!$C:$C,COUNTA(账户总表!$A:$A)),L191="是"),"是","否"),"否"))</f>
        <v/>
      </c>
      <c r="AA191" s="18" t="str">
        <f aca="false">IF($A191="","",IFERROR(IF(Z191="是",MAX(0,T191-INDEX(账户总表!$C:$C,COUNTA(账户总表!$A:$A)),IF(N191&gt;0,T191/N191-INDEX(账户总表!$B:$B,COUNTA(账户总表!$A:$A)),0)),0),0))</f>
        <v/>
      </c>
      <c r="AB191" s="18" t="str">
        <f aca="false">IF($A191="","",IF(AND(Z191="是",INDEX(账户总表!$U:$U,COUNTA(账户总表!$A:$A))="是"),IF(INDEX(账户总表!$L:$L,COUNTA(账户总表!$A:$A))&gt;=4,AA191*1.5,AA191),0))</f>
        <v/>
      </c>
      <c r="AC191" s="5" t="str">
        <f aca="false">IF($A191="","",IF(AND(L191="是",Q191&gt;=R191,S191&lt;=Q191,S191&gt;=R191,W191="是",X191&gt;0,M191="是",INDEX(账户总表!$M:$M,COUNTA(账户总表!$A:$A))&lt;=2,INDEX(账户总表!$V:$V,COUNTA(账户总表!$A:$A))="是",OR(T191&lt;=INDEX(账户总表!$C:$C,COUNTA(账户总表!$A:$A)),AND(Z191="是",INDEX(账户总表!$U:$U,COUNTA(账户总表!$A:$A))="是",AB191&gt;0))),"是","否"))</f>
        <v/>
      </c>
      <c r="AD191" s="5" t="str">
        <f aca="false">IF($A191="","",IF(L191&lt;&gt;"是","信号未确认",IF(X191&lt;=0,"止损价未定义",IF(Q191&lt;R191,"100股约束不满足",IF(S191&gt;Q191,"计划股数超单股上限",IF(S191&lt;R191,"计划股数低于最小门槛",IF(W191&lt;&gt;"是","总仓位超限",IF(M191&lt;&gt;"是","追价",IF(INDEX(账户总表!$M:$M,COUNTA(账户总表!$A:$A))&gt;2,"亏钱效应偏高",IF(INDEX(账户总表!$V:$V,COUNTA(账户总表!$A:$A))&lt;&gt;"是","账户不允许新开仓",IF(AND(T191&gt;INDEX(账户总表!$C:$C,COUNTA(账户总表!$A:$A)),INDEX(账户总表!$U:$U,COUNTA(账户总表!$A:$A))&lt;&gt;"是"),"现金不足且不允许转入",IF(AND(Z191="是",AB191&lt;=0),"转入金额未满足",""))))))))))))</f>
        <v/>
      </c>
      <c r="AE191" s="9"/>
      <c r="AF191" s="1" t="str">
        <f aca="false">IF($A191="","",D191*100)</f>
        <v/>
      </c>
      <c r="AG191" s="1" t="str">
        <f aca="false">IF($A191="","",IFERROR(AF191/INDEX(账户总表!$B:$B,COUNTA(账户总表!$A:$A)),0))</f>
        <v/>
      </c>
      <c r="AH191" s="1" t="str">
        <f aca="false">IF($A191="","",IFERROR(INDEX(账户总表!$B:$B,COUNTA(账户总表!$A:$A))*INDEX(账户总表!$O:$O,COUNTA(账户总表!$A:$A)),0))</f>
        <v/>
      </c>
      <c r="AI191" s="1" t="str">
        <f aca="false">IF($A191="","",IF(AF191&gt;AH191,"超限","合规"))</f>
        <v/>
      </c>
      <c r="AJ191" s="1" t="str">
        <f aca="false">IF($A191="","",IFERROR(AF191/INDEX(账户总表!$O:$O,COUNTA(账户总表!$A:$A)),0))</f>
        <v/>
      </c>
      <c r="AK191" s="1" t="str">
        <f aca="false">IF($A191="","",IFERROR(MAX(0,AJ191-INDEX(账户总表!$B:$B,COUNTA(账户总表!$A:$A)),AF191-INDEX(账户总表!$C:$C,COUNTA(账户总表!$A:$A))),0))</f>
        <v/>
      </c>
      <c r="AL191" s="1" t="str">
        <f aca="false">IF($A191="","",IF(COUNTIF(持仓表!$C$2:$C$201,C191)&gt;0,"已有","新标的"))</f>
        <v/>
      </c>
      <c r="AM191" s="1" t="str">
        <f aca="false">IF($A191="","",IFERROR(SUMIFS(持仓表!$N$2:$N$201,持仓表!$C$2:$C$201,C191,持仓表!$A$2:$A$201,$A191),0))</f>
        <v/>
      </c>
      <c r="AN191" s="1" t="str">
        <f aca="false">IF($A191="","",IFERROR(AM191+AF191/INDEX(账户总表!$B:$B,COUNTA(账户总表!$A:$A)),0))</f>
        <v/>
      </c>
      <c r="AO191" s="1" t="str">
        <f aca="false">IF($A191="","",IF(AN191&gt;INDEX(账户总表!$O:$O,COUNTA(账户总表!$A:$A)),"超限","合规"))</f>
        <v/>
      </c>
      <c r="AP191" s="1" t="str">
        <f aca="false">IF($A191="","",IF(AND(AL191="新标的",INDEX(账户总表!$R:$R,COUNTA(账户总表!$A:$A))&gt;=INDEX(账户总表!$S:$S,COUNTA(账户总表!$A:$A))),"新增受限","可通过"))</f>
        <v/>
      </c>
      <c r="AQ191" s="1" t="str">
        <f aca="false">IF($A191="","",IF(K191&lt;&gt;"核心池","非核心池",IF(OR(AI191="超限",AO191="超限",AP191="新增受限"),"不可加仓","可加仓")))</f>
        <v/>
      </c>
      <c r="AR191" s="1" t="str">
        <f aca="false">IF($A191="","",TRIM(IF(AI191="超限","1手超单股上限；","")&amp;IF(AO191="超限","买后仓位超限；","")&amp;IF(AP191="新增受限","有效持仓数超限；","")&amp;IF(AF191&gt;INDEX(账户总表!$C:$C,COUNTA(账户总表!$A:$A)),"现金不足；","")))</f>
        <v/>
      </c>
      <c r="AS191" s="1" t="str">
        <f aca="false">IF($A191="","",IFERROR(INDEX(候选池历史!$L:$L,MATCH(1,(候选池历史!$B:$B=C191)*(候选池历史!$A:$A=$A191),0)),0))</f>
        <v/>
      </c>
      <c r="AT191" s="1" t="str">
        <f aca="false">IF($A191="","",IF(AS191&gt;=3,"★信号强化",IF(K191="核心池","核心观察","")))</f>
        <v/>
      </c>
      <c r="AU191" s="1" t="str">
        <f aca="false">IF($A191="","",IF(AK191&gt;30000-INDEX(账户总表!$B:$B,COUNTA(账户总表!$A:$A)),"不适合婴儿阶段","可纳入幼儿路径"))</f>
        <v/>
      </c>
    </row>
    <row r="192" customFormat="false" ht="15" hidden="false" customHeight="true" outlineLevel="0" collapsed="false">
      <c r="A192" s="6"/>
      <c r="B192" s="6"/>
      <c r="C192" s="6"/>
      <c r="D192" s="17"/>
      <c r="E192" s="17"/>
      <c r="F192" s="17"/>
      <c r="G192" s="22"/>
      <c r="H192" s="6"/>
      <c r="I192" s="13"/>
      <c r="J192" s="6"/>
      <c r="K192" s="5" t="str">
        <f aca="false">IF($A192="","",IF(AND(G192&lt;45%,H192&gt;=0.9),"A",IF(AND(G192&lt;60%,H192&gt;0.8),"B","C")))</f>
        <v/>
      </c>
      <c r="L192" s="5" t="str">
        <f aca="false">IF($A192="","",IF(AND(G192&lt;60%,H192&gt;0.8,I192="True"),"是","否"))</f>
        <v/>
      </c>
      <c r="M192" s="5" t="str">
        <f aca="false">IF($A192="","",IF(AND(D192&gt;0,E192&gt;0,D192&lt;=E192*1.02),"是","否"))</f>
        <v/>
      </c>
      <c r="N192" s="19" t="n">
        <f aca="false">IFERROR(INDEX(账户总表!$O:$O,COUNTA(账户总表!$A:$A)),0)</f>
        <v>0.35</v>
      </c>
      <c r="O192" s="18" t="n">
        <f aca="false">IFERROR(INDEX(账户总表!$B:$B,COUNTA(账户总表!$A:$A))*N192,0)</f>
        <v>7294.812</v>
      </c>
      <c r="P192" s="21" t="n">
        <f aca="false">IFERROR(O192/D192,0)</f>
        <v>0</v>
      </c>
      <c r="Q192" s="21" t="n">
        <f aca="false">IFERROR(FLOOR(P192,100),0)</f>
        <v>0</v>
      </c>
      <c r="R192" s="21" t="n">
        <f aca="false">IFERROR(CEILING(800/(100*D192),1)*100,0)</f>
        <v>0</v>
      </c>
      <c r="S192" s="20"/>
      <c r="T192" s="18" t="n">
        <f aca="false">IFERROR(S192*D192,0)</f>
        <v>0</v>
      </c>
      <c r="U192" s="19" t="n">
        <f aca="false">IFERROR(T192/INDEX(账户总表!$B:$B,COUNTA(账户总表!$A:$A)),0)</f>
        <v>0</v>
      </c>
      <c r="V192" s="19" t="n">
        <f aca="false">IFERROR(INDEX(账户总表!$E:$E,COUNTA(账户总表!$A:$A))+U192,0)</f>
        <v>0.407056412146057</v>
      </c>
      <c r="W192" s="5" t="str">
        <f aca="false">IF($A192="","",IFERROR(IF(V192&lt;=INDEX(账户总表!$N:$N,COUNTA(账户总表!$A:$A)),"是","否"),"否"))</f>
        <v/>
      </c>
      <c r="X192" s="18" t="str">
        <f aca="false">IF($A192="","",MAX(F192*0.98,D192*0.92))</f>
        <v/>
      </c>
      <c r="Y192" s="6"/>
      <c r="Z192" s="5" t="str">
        <f aca="false">IF($A192="","",IFERROR(IF(AND(T192&gt;INDEX(账户总表!$C:$C,COUNTA(账户总表!$A:$A)),L192="是"),"是","否"),"否"))</f>
        <v/>
      </c>
      <c r="AA192" s="18" t="str">
        <f aca="false">IF($A192="","",IFERROR(IF(Z192="是",MAX(0,T192-INDEX(账户总表!$C:$C,COUNTA(账户总表!$A:$A)),IF(N192&gt;0,T192/N192-INDEX(账户总表!$B:$B,COUNTA(账户总表!$A:$A)),0)),0),0))</f>
        <v/>
      </c>
      <c r="AB192" s="18" t="str">
        <f aca="false">IF($A192="","",IF(AND(Z192="是",INDEX(账户总表!$U:$U,COUNTA(账户总表!$A:$A))="是"),IF(INDEX(账户总表!$L:$L,COUNTA(账户总表!$A:$A))&gt;=4,AA192*1.5,AA192),0))</f>
        <v/>
      </c>
      <c r="AC192" s="5" t="str">
        <f aca="false">IF($A192="","",IF(AND(L192="是",Q192&gt;=R192,S192&lt;=Q192,S192&gt;=R192,W192="是",X192&gt;0,M192="是",INDEX(账户总表!$M:$M,COUNTA(账户总表!$A:$A))&lt;=2,INDEX(账户总表!$V:$V,COUNTA(账户总表!$A:$A))="是",OR(T192&lt;=INDEX(账户总表!$C:$C,COUNTA(账户总表!$A:$A)),AND(Z192="是",INDEX(账户总表!$U:$U,COUNTA(账户总表!$A:$A))="是",AB192&gt;0))),"是","否"))</f>
        <v/>
      </c>
      <c r="AD192" s="5" t="str">
        <f aca="false">IF($A192="","",IF(L192&lt;&gt;"是","信号未确认",IF(X192&lt;=0,"止损价未定义",IF(Q192&lt;R192,"100股约束不满足",IF(S192&gt;Q192,"计划股数超单股上限",IF(S192&lt;R192,"计划股数低于最小门槛",IF(W192&lt;&gt;"是","总仓位超限",IF(M192&lt;&gt;"是","追价",IF(INDEX(账户总表!$M:$M,COUNTA(账户总表!$A:$A))&gt;2,"亏钱效应偏高",IF(INDEX(账户总表!$V:$V,COUNTA(账户总表!$A:$A))&lt;&gt;"是","账户不允许新开仓",IF(AND(T192&gt;INDEX(账户总表!$C:$C,COUNTA(账户总表!$A:$A)),INDEX(账户总表!$U:$U,COUNTA(账户总表!$A:$A))&lt;&gt;"是"),"现金不足且不允许转入",IF(AND(Z192="是",AB192&lt;=0),"转入金额未满足",""))))))))))))</f>
        <v/>
      </c>
      <c r="AE192" s="6"/>
      <c r="AF192" s="1" t="str">
        <f aca="false">IF($A192="","",D192*100)</f>
        <v/>
      </c>
      <c r="AG192" s="1" t="str">
        <f aca="false">IF($A192="","",IFERROR(AF192/INDEX(账户总表!$B:$B,COUNTA(账户总表!$A:$A)),0))</f>
        <v/>
      </c>
      <c r="AH192" s="1" t="str">
        <f aca="false">IF($A192="","",IFERROR(INDEX(账户总表!$B:$B,COUNTA(账户总表!$A:$A))*INDEX(账户总表!$O:$O,COUNTA(账户总表!$A:$A)),0))</f>
        <v/>
      </c>
      <c r="AI192" s="1" t="str">
        <f aca="false">IF($A192="","",IF(AF192&gt;AH192,"超限","合规"))</f>
        <v/>
      </c>
      <c r="AJ192" s="1" t="str">
        <f aca="false">IF($A192="","",IFERROR(AF192/INDEX(账户总表!$O:$O,COUNTA(账户总表!$A:$A)),0))</f>
        <v/>
      </c>
      <c r="AK192" s="1" t="str">
        <f aca="false">IF($A192="","",IFERROR(MAX(0,AJ192-INDEX(账户总表!$B:$B,COUNTA(账户总表!$A:$A)),AF192-INDEX(账户总表!$C:$C,COUNTA(账户总表!$A:$A))),0))</f>
        <v/>
      </c>
      <c r="AL192" s="1" t="str">
        <f aca="false">IF($A192="","",IF(COUNTIF(持仓表!$C$2:$C$201,C192)&gt;0,"已有","新标的"))</f>
        <v/>
      </c>
      <c r="AM192" s="1" t="str">
        <f aca="false">IF($A192="","",IFERROR(SUMIFS(持仓表!$N$2:$N$201,持仓表!$C$2:$C$201,C192,持仓表!$A$2:$A$201,$A192),0))</f>
        <v/>
      </c>
      <c r="AN192" s="1" t="str">
        <f aca="false">IF($A192="","",IFERROR(AM192+AF192/INDEX(账户总表!$B:$B,COUNTA(账户总表!$A:$A)),0))</f>
        <v/>
      </c>
      <c r="AO192" s="1" t="str">
        <f aca="false">IF($A192="","",IF(AN192&gt;INDEX(账户总表!$O:$O,COUNTA(账户总表!$A:$A)),"超限","合规"))</f>
        <v/>
      </c>
      <c r="AP192" s="1" t="str">
        <f aca="false">IF($A192="","",IF(AND(AL192="新标的",INDEX(账户总表!$R:$R,COUNTA(账户总表!$A:$A))&gt;=INDEX(账户总表!$S:$S,COUNTA(账户总表!$A:$A))),"新增受限","可通过"))</f>
        <v/>
      </c>
      <c r="AQ192" s="1" t="str">
        <f aca="false">IF($A192="","",IF(K192&lt;&gt;"核心池","非核心池",IF(OR(AI192="超限",AO192="超限",AP192="新增受限"),"不可加仓","可加仓")))</f>
        <v/>
      </c>
      <c r="AR192" s="1" t="str">
        <f aca="false">IF($A192="","",TRIM(IF(AI192="超限","1手超单股上限；","")&amp;IF(AO192="超限","买后仓位超限；","")&amp;IF(AP192="新增受限","有效持仓数超限；","")&amp;IF(AF192&gt;INDEX(账户总表!$C:$C,COUNTA(账户总表!$A:$A)),"现金不足；","")))</f>
        <v/>
      </c>
      <c r="AS192" s="1" t="str">
        <f aca="false">IF($A192="","",IFERROR(INDEX(候选池历史!$L:$L,MATCH(1,(候选池历史!$B:$B=C192)*(候选池历史!$A:$A=$A192),0)),0))</f>
        <v/>
      </c>
      <c r="AT192" s="1" t="str">
        <f aca="false">IF($A192="","",IF(AS192&gt;=3,"★信号强化",IF(K192="核心池","核心观察","")))</f>
        <v/>
      </c>
      <c r="AU192" s="1" t="str">
        <f aca="false">IF($A192="","",IF(AK192&gt;30000-INDEX(账户总表!$B:$B,COUNTA(账户总表!$A:$A)),"不适合婴儿阶段","可纳入幼儿路径"))</f>
        <v/>
      </c>
    </row>
    <row r="193" customFormat="false" ht="15" hidden="false" customHeight="true" outlineLevel="0" collapsed="false">
      <c r="A193" s="9"/>
      <c r="B193" s="9"/>
      <c r="C193" s="9"/>
      <c r="D193" s="26"/>
      <c r="E193" s="26"/>
      <c r="F193" s="26"/>
      <c r="G193" s="28"/>
      <c r="H193" s="9"/>
      <c r="I193" s="14"/>
      <c r="J193" s="9"/>
      <c r="K193" s="5" t="str">
        <f aca="false">IF($A193="","",IF(AND(G193&lt;45%,H193&gt;=0.9),"A",IF(AND(G193&lt;60%,H193&gt;0.8),"B","C")))</f>
        <v/>
      </c>
      <c r="L193" s="5" t="str">
        <f aca="false">IF($A193="","",IF(AND(G193&lt;60%,H193&gt;0.8,I193="True"),"是","否"))</f>
        <v/>
      </c>
      <c r="M193" s="5" t="str">
        <f aca="false">IF($A193="","",IF(AND(D193&gt;0,E193&gt;0,D193&lt;=E193*1.02),"是","否"))</f>
        <v/>
      </c>
      <c r="N193" s="19" t="n">
        <f aca="false">IFERROR(INDEX(账户总表!$O:$O,COUNTA(账户总表!$A:$A)),0)</f>
        <v>0.35</v>
      </c>
      <c r="O193" s="18" t="n">
        <f aca="false">IFERROR(INDEX(账户总表!$B:$B,COUNTA(账户总表!$A:$A))*N193,0)</f>
        <v>7294.812</v>
      </c>
      <c r="P193" s="21" t="n">
        <f aca="false">IFERROR(O193/D193,0)</f>
        <v>0</v>
      </c>
      <c r="Q193" s="21" t="n">
        <f aca="false">IFERROR(FLOOR(P193,100),0)</f>
        <v>0</v>
      </c>
      <c r="R193" s="21" t="n">
        <f aca="false">IFERROR(CEILING(800/(100*D193),1)*100,0)</f>
        <v>0</v>
      </c>
      <c r="S193" s="27"/>
      <c r="T193" s="18" t="n">
        <f aca="false">IFERROR(S193*D193,0)</f>
        <v>0</v>
      </c>
      <c r="U193" s="19" t="n">
        <f aca="false">IFERROR(T193/INDEX(账户总表!$B:$B,COUNTA(账户总表!$A:$A)),0)</f>
        <v>0</v>
      </c>
      <c r="V193" s="19" t="n">
        <f aca="false">IFERROR(INDEX(账户总表!$E:$E,COUNTA(账户总表!$A:$A))+U193,0)</f>
        <v>0.407056412146057</v>
      </c>
      <c r="W193" s="5" t="str">
        <f aca="false">IF($A193="","",IFERROR(IF(V193&lt;=INDEX(账户总表!$N:$N,COUNTA(账户总表!$A:$A)),"是","否"),"否"))</f>
        <v/>
      </c>
      <c r="X193" s="18" t="str">
        <f aca="false">IF($A193="","",MAX(F193*0.98,D193*0.92))</f>
        <v/>
      </c>
      <c r="Y193" s="9"/>
      <c r="Z193" s="5" t="str">
        <f aca="false">IF($A193="","",IFERROR(IF(AND(T193&gt;INDEX(账户总表!$C:$C,COUNTA(账户总表!$A:$A)),L193="是"),"是","否"),"否"))</f>
        <v/>
      </c>
      <c r="AA193" s="18" t="str">
        <f aca="false">IF($A193="","",IFERROR(IF(Z193="是",MAX(0,T193-INDEX(账户总表!$C:$C,COUNTA(账户总表!$A:$A)),IF(N193&gt;0,T193/N193-INDEX(账户总表!$B:$B,COUNTA(账户总表!$A:$A)),0)),0),0))</f>
        <v/>
      </c>
      <c r="AB193" s="18" t="str">
        <f aca="false">IF($A193="","",IF(AND(Z193="是",INDEX(账户总表!$U:$U,COUNTA(账户总表!$A:$A))="是"),IF(INDEX(账户总表!$L:$L,COUNTA(账户总表!$A:$A))&gt;=4,AA193*1.5,AA193),0))</f>
        <v/>
      </c>
      <c r="AC193" s="5" t="str">
        <f aca="false">IF($A193="","",IF(AND(L193="是",Q193&gt;=R193,S193&lt;=Q193,S193&gt;=R193,W193="是",X193&gt;0,M193="是",INDEX(账户总表!$M:$M,COUNTA(账户总表!$A:$A))&lt;=2,INDEX(账户总表!$V:$V,COUNTA(账户总表!$A:$A))="是",OR(T193&lt;=INDEX(账户总表!$C:$C,COUNTA(账户总表!$A:$A)),AND(Z193="是",INDEX(账户总表!$U:$U,COUNTA(账户总表!$A:$A))="是",AB193&gt;0))),"是","否"))</f>
        <v/>
      </c>
      <c r="AD193" s="5" t="str">
        <f aca="false">IF($A193="","",IF(L193&lt;&gt;"是","信号未确认",IF(X193&lt;=0,"止损价未定义",IF(Q193&lt;R193,"100股约束不满足",IF(S193&gt;Q193,"计划股数超单股上限",IF(S193&lt;R193,"计划股数低于最小门槛",IF(W193&lt;&gt;"是","总仓位超限",IF(M193&lt;&gt;"是","追价",IF(INDEX(账户总表!$M:$M,COUNTA(账户总表!$A:$A))&gt;2,"亏钱效应偏高",IF(INDEX(账户总表!$V:$V,COUNTA(账户总表!$A:$A))&lt;&gt;"是","账户不允许新开仓",IF(AND(T193&gt;INDEX(账户总表!$C:$C,COUNTA(账户总表!$A:$A)),INDEX(账户总表!$U:$U,COUNTA(账户总表!$A:$A))&lt;&gt;"是"),"现金不足且不允许转入",IF(AND(Z193="是",AB193&lt;=0),"转入金额未满足",""))))))))))))</f>
        <v/>
      </c>
      <c r="AE193" s="9"/>
      <c r="AF193" s="1" t="str">
        <f aca="false">IF($A193="","",D193*100)</f>
        <v/>
      </c>
      <c r="AG193" s="1" t="str">
        <f aca="false">IF($A193="","",IFERROR(AF193/INDEX(账户总表!$B:$B,COUNTA(账户总表!$A:$A)),0))</f>
        <v/>
      </c>
      <c r="AH193" s="1" t="str">
        <f aca="false">IF($A193="","",IFERROR(INDEX(账户总表!$B:$B,COUNTA(账户总表!$A:$A))*INDEX(账户总表!$O:$O,COUNTA(账户总表!$A:$A)),0))</f>
        <v/>
      </c>
      <c r="AI193" s="1" t="str">
        <f aca="false">IF($A193="","",IF(AF193&gt;AH193,"超限","合规"))</f>
        <v/>
      </c>
      <c r="AJ193" s="1" t="str">
        <f aca="false">IF($A193="","",IFERROR(AF193/INDEX(账户总表!$O:$O,COUNTA(账户总表!$A:$A)),0))</f>
        <v/>
      </c>
      <c r="AK193" s="1" t="str">
        <f aca="false">IF($A193="","",IFERROR(MAX(0,AJ193-INDEX(账户总表!$B:$B,COUNTA(账户总表!$A:$A)),AF193-INDEX(账户总表!$C:$C,COUNTA(账户总表!$A:$A))),0))</f>
        <v/>
      </c>
      <c r="AL193" s="1" t="str">
        <f aca="false">IF($A193="","",IF(COUNTIF(持仓表!$C$2:$C$201,C193)&gt;0,"已有","新标的"))</f>
        <v/>
      </c>
      <c r="AM193" s="1" t="str">
        <f aca="false">IF($A193="","",IFERROR(SUMIFS(持仓表!$N$2:$N$201,持仓表!$C$2:$C$201,C193,持仓表!$A$2:$A$201,$A193),0))</f>
        <v/>
      </c>
      <c r="AN193" s="1" t="str">
        <f aca="false">IF($A193="","",IFERROR(AM193+AF193/INDEX(账户总表!$B:$B,COUNTA(账户总表!$A:$A)),0))</f>
        <v/>
      </c>
      <c r="AO193" s="1" t="str">
        <f aca="false">IF($A193="","",IF(AN193&gt;INDEX(账户总表!$O:$O,COUNTA(账户总表!$A:$A)),"超限","合规"))</f>
        <v/>
      </c>
      <c r="AP193" s="1" t="str">
        <f aca="false">IF($A193="","",IF(AND(AL193="新标的",INDEX(账户总表!$R:$R,COUNTA(账户总表!$A:$A))&gt;=INDEX(账户总表!$S:$S,COUNTA(账户总表!$A:$A))),"新增受限","可通过"))</f>
        <v/>
      </c>
      <c r="AQ193" s="1" t="str">
        <f aca="false">IF($A193="","",IF(K193&lt;&gt;"核心池","非核心池",IF(OR(AI193="超限",AO193="超限",AP193="新增受限"),"不可加仓","可加仓")))</f>
        <v/>
      </c>
      <c r="AR193" s="1" t="str">
        <f aca="false">IF($A193="","",TRIM(IF(AI193="超限","1手超单股上限；","")&amp;IF(AO193="超限","买后仓位超限；","")&amp;IF(AP193="新增受限","有效持仓数超限；","")&amp;IF(AF193&gt;INDEX(账户总表!$C:$C,COUNTA(账户总表!$A:$A)),"现金不足；","")))</f>
        <v/>
      </c>
      <c r="AS193" s="1" t="str">
        <f aca="false">IF($A193="","",IFERROR(INDEX(候选池历史!$L:$L,MATCH(1,(候选池历史!$B:$B=C193)*(候选池历史!$A:$A=$A193),0)),0))</f>
        <v/>
      </c>
      <c r="AT193" s="1" t="str">
        <f aca="false">IF($A193="","",IF(AS193&gt;=3,"★信号强化",IF(K193="核心池","核心观察","")))</f>
        <v/>
      </c>
      <c r="AU193" s="1" t="str">
        <f aca="false">IF($A193="","",IF(AK193&gt;30000-INDEX(账户总表!$B:$B,COUNTA(账户总表!$A:$A)),"不适合婴儿阶段","可纳入幼儿路径"))</f>
        <v/>
      </c>
    </row>
    <row r="194" customFormat="false" ht="15" hidden="false" customHeight="true" outlineLevel="0" collapsed="false">
      <c r="A194" s="6"/>
      <c r="B194" s="6"/>
      <c r="C194" s="6"/>
      <c r="D194" s="17"/>
      <c r="E194" s="17"/>
      <c r="F194" s="17"/>
      <c r="G194" s="22"/>
      <c r="H194" s="6"/>
      <c r="I194" s="13"/>
      <c r="J194" s="6"/>
      <c r="K194" s="5" t="str">
        <f aca="false">IF($A194="","",IF(AND(G194&lt;45%,H194&gt;=0.9),"A",IF(AND(G194&lt;60%,H194&gt;0.8),"B","C")))</f>
        <v/>
      </c>
      <c r="L194" s="5" t="str">
        <f aca="false">IF($A194="","",IF(AND(G194&lt;60%,H194&gt;0.8,I194="True"),"是","否"))</f>
        <v/>
      </c>
      <c r="M194" s="5" t="str">
        <f aca="false">IF($A194="","",IF(AND(D194&gt;0,E194&gt;0,D194&lt;=E194*1.02),"是","否"))</f>
        <v/>
      </c>
      <c r="N194" s="19" t="n">
        <f aca="false">IFERROR(INDEX(账户总表!$O:$O,COUNTA(账户总表!$A:$A)),0)</f>
        <v>0.35</v>
      </c>
      <c r="O194" s="18" t="n">
        <f aca="false">IFERROR(INDEX(账户总表!$B:$B,COUNTA(账户总表!$A:$A))*N194,0)</f>
        <v>7294.812</v>
      </c>
      <c r="P194" s="21" t="n">
        <f aca="false">IFERROR(O194/D194,0)</f>
        <v>0</v>
      </c>
      <c r="Q194" s="21" t="n">
        <f aca="false">IFERROR(FLOOR(P194,100),0)</f>
        <v>0</v>
      </c>
      <c r="R194" s="21" t="n">
        <f aca="false">IFERROR(CEILING(800/(100*D194),1)*100,0)</f>
        <v>0</v>
      </c>
      <c r="S194" s="20"/>
      <c r="T194" s="18" t="n">
        <f aca="false">IFERROR(S194*D194,0)</f>
        <v>0</v>
      </c>
      <c r="U194" s="19" t="n">
        <f aca="false">IFERROR(T194/INDEX(账户总表!$B:$B,COUNTA(账户总表!$A:$A)),0)</f>
        <v>0</v>
      </c>
      <c r="V194" s="19" t="n">
        <f aca="false">IFERROR(INDEX(账户总表!$E:$E,COUNTA(账户总表!$A:$A))+U194,0)</f>
        <v>0.407056412146057</v>
      </c>
      <c r="W194" s="5" t="str">
        <f aca="false">IF($A194="","",IFERROR(IF(V194&lt;=INDEX(账户总表!$N:$N,COUNTA(账户总表!$A:$A)),"是","否"),"否"))</f>
        <v/>
      </c>
      <c r="X194" s="18" t="str">
        <f aca="false">IF($A194="","",MAX(F194*0.98,D194*0.92))</f>
        <v/>
      </c>
      <c r="Y194" s="6"/>
      <c r="Z194" s="5" t="str">
        <f aca="false">IF($A194="","",IFERROR(IF(AND(T194&gt;INDEX(账户总表!$C:$C,COUNTA(账户总表!$A:$A)),L194="是"),"是","否"),"否"))</f>
        <v/>
      </c>
      <c r="AA194" s="18" t="str">
        <f aca="false">IF($A194="","",IFERROR(IF(Z194="是",MAX(0,T194-INDEX(账户总表!$C:$C,COUNTA(账户总表!$A:$A)),IF(N194&gt;0,T194/N194-INDEX(账户总表!$B:$B,COUNTA(账户总表!$A:$A)),0)),0),0))</f>
        <v/>
      </c>
      <c r="AB194" s="18" t="str">
        <f aca="false">IF($A194="","",IF(AND(Z194="是",INDEX(账户总表!$U:$U,COUNTA(账户总表!$A:$A))="是"),IF(INDEX(账户总表!$L:$L,COUNTA(账户总表!$A:$A))&gt;=4,AA194*1.5,AA194),0))</f>
        <v/>
      </c>
      <c r="AC194" s="5" t="str">
        <f aca="false">IF($A194="","",IF(AND(L194="是",Q194&gt;=R194,S194&lt;=Q194,S194&gt;=R194,W194="是",X194&gt;0,M194="是",INDEX(账户总表!$M:$M,COUNTA(账户总表!$A:$A))&lt;=2,INDEX(账户总表!$V:$V,COUNTA(账户总表!$A:$A))="是",OR(T194&lt;=INDEX(账户总表!$C:$C,COUNTA(账户总表!$A:$A)),AND(Z194="是",INDEX(账户总表!$U:$U,COUNTA(账户总表!$A:$A))="是",AB194&gt;0))),"是","否"))</f>
        <v/>
      </c>
      <c r="AD194" s="5" t="str">
        <f aca="false">IF($A194="","",IF(L194&lt;&gt;"是","信号未确认",IF(X194&lt;=0,"止损价未定义",IF(Q194&lt;R194,"100股约束不满足",IF(S194&gt;Q194,"计划股数超单股上限",IF(S194&lt;R194,"计划股数低于最小门槛",IF(W194&lt;&gt;"是","总仓位超限",IF(M194&lt;&gt;"是","追价",IF(INDEX(账户总表!$M:$M,COUNTA(账户总表!$A:$A))&gt;2,"亏钱效应偏高",IF(INDEX(账户总表!$V:$V,COUNTA(账户总表!$A:$A))&lt;&gt;"是","账户不允许新开仓",IF(AND(T194&gt;INDEX(账户总表!$C:$C,COUNTA(账户总表!$A:$A)),INDEX(账户总表!$U:$U,COUNTA(账户总表!$A:$A))&lt;&gt;"是"),"现金不足且不允许转入",IF(AND(Z194="是",AB194&lt;=0),"转入金额未满足",""))))))))))))</f>
        <v/>
      </c>
      <c r="AE194" s="6"/>
      <c r="AF194" s="1" t="str">
        <f aca="false">IF($A194="","",D194*100)</f>
        <v/>
      </c>
      <c r="AG194" s="1" t="str">
        <f aca="false">IF($A194="","",IFERROR(AF194/INDEX(账户总表!$B:$B,COUNTA(账户总表!$A:$A)),0))</f>
        <v/>
      </c>
      <c r="AH194" s="1" t="str">
        <f aca="false">IF($A194="","",IFERROR(INDEX(账户总表!$B:$B,COUNTA(账户总表!$A:$A))*INDEX(账户总表!$O:$O,COUNTA(账户总表!$A:$A)),0))</f>
        <v/>
      </c>
      <c r="AI194" s="1" t="str">
        <f aca="false">IF($A194="","",IF(AF194&gt;AH194,"超限","合规"))</f>
        <v/>
      </c>
      <c r="AJ194" s="1" t="str">
        <f aca="false">IF($A194="","",IFERROR(AF194/INDEX(账户总表!$O:$O,COUNTA(账户总表!$A:$A)),0))</f>
        <v/>
      </c>
      <c r="AK194" s="1" t="str">
        <f aca="false">IF($A194="","",IFERROR(MAX(0,AJ194-INDEX(账户总表!$B:$B,COUNTA(账户总表!$A:$A)),AF194-INDEX(账户总表!$C:$C,COUNTA(账户总表!$A:$A))),0))</f>
        <v/>
      </c>
      <c r="AL194" s="1" t="str">
        <f aca="false">IF($A194="","",IF(COUNTIF(持仓表!$C$2:$C$201,C194)&gt;0,"已有","新标的"))</f>
        <v/>
      </c>
      <c r="AM194" s="1" t="str">
        <f aca="false">IF($A194="","",IFERROR(SUMIFS(持仓表!$N$2:$N$201,持仓表!$C$2:$C$201,C194,持仓表!$A$2:$A$201,$A194),0))</f>
        <v/>
      </c>
      <c r="AN194" s="1" t="str">
        <f aca="false">IF($A194="","",IFERROR(AM194+AF194/INDEX(账户总表!$B:$B,COUNTA(账户总表!$A:$A)),0))</f>
        <v/>
      </c>
      <c r="AO194" s="1" t="str">
        <f aca="false">IF($A194="","",IF(AN194&gt;INDEX(账户总表!$O:$O,COUNTA(账户总表!$A:$A)),"超限","合规"))</f>
        <v/>
      </c>
      <c r="AP194" s="1" t="str">
        <f aca="false">IF($A194="","",IF(AND(AL194="新标的",INDEX(账户总表!$R:$R,COUNTA(账户总表!$A:$A))&gt;=INDEX(账户总表!$S:$S,COUNTA(账户总表!$A:$A))),"新增受限","可通过"))</f>
        <v/>
      </c>
      <c r="AQ194" s="1" t="str">
        <f aca="false">IF($A194="","",IF(K194&lt;&gt;"核心池","非核心池",IF(OR(AI194="超限",AO194="超限",AP194="新增受限"),"不可加仓","可加仓")))</f>
        <v/>
      </c>
      <c r="AR194" s="1" t="str">
        <f aca="false">IF($A194="","",TRIM(IF(AI194="超限","1手超单股上限；","")&amp;IF(AO194="超限","买后仓位超限；","")&amp;IF(AP194="新增受限","有效持仓数超限；","")&amp;IF(AF194&gt;INDEX(账户总表!$C:$C,COUNTA(账户总表!$A:$A)),"现金不足；","")))</f>
        <v/>
      </c>
      <c r="AS194" s="1" t="str">
        <f aca="false">IF($A194="","",IFERROR(INDEX(候选池历史!$L:$L,MATCH(1,(候选池历史!$B:$B=C194)*(候选池历史!$A:$A=$A194),0)),0))</f>
        <v/>
      </c>
      <c r="AT194" s="1" t="str">
        <f aca="false">IF($A194="","",IF(AS194&gt;=3,"★信号强化",IF(K194="核心池","核心观察","")))</f>
        <v/>
      </c>
      <c r="AU194" s="1" t="str">
        <f aca="false">IF($A194="","",IF(AK194&gt;30000-INDEX(账户总表!$B:$B,COUNTA(账户总表!$A:$A)),"不适合婴儿阶段","可纳入幼儿路径"))</f>
        <v/>
      </c>
    </row>
    <row r="195" customFormat="false" ht="15" hidden="false" customHeight="true" outlineLevel="0" collapsed="false">
      <c r="A195" s="9"/>
      <c r="B195" s="9"/>
      <c r="C195" s="9"/>
      <c r="D195" s="26"/>
      <c r="E195" s="26"/>
      <c r="F195" s="26"/>
      <c r="G195" s="28"/>
      <c r="H195" s="9"/>
      <c r="I195" s="14"/>
      <c r="J195" s="9"/>
      <c r="K195" s="5" t="str">
        <f aca="false">IF($A195="","",IF(AND(G195&lt;45%,H195&gt;=0.9),"A",IF(AND(G195&lt;60%,H195&gt;0.8),"B","C")))</f>
        <v/>
      </c>
      <c r="L195" s="5" t="str">
        <f aca="false">IF($A195="","",IF(AND(G195&lt;60%,H195&gt;0.8,I195="True"),"是","否"))</f>
        <v/>
      </c>
      <c r="M195" s="5" t="str">
        <f aca="false">IF($A195="","",IF(AND(D195&gt;0,E195&gt;0,D195&lt;=E195*1.02),"是","否"))</f>
        <v/>
      </c>
      <c r="N195" s="19" t="n">
        <f aca="false">IFERROR(INDEX(账户总表!$O:$O,COUNTA(账户总表!$A:$A)),0)</f>
        <v>0.35</v>
      </c>
      <c r="O195" s="18" t="n">
        <f aca="false">IFERROR(INDEX(账户总表!$B:$B,COUNTA(账户总表!$A:$A))*N195,0)</f>
        <v>7294.812</v>
      </c>
      <c r="P195" s="21" t="n">
        <f aca="false">IFERROR(O195/D195,0)</f>
        <v>0</v>
      </c>
      <c r="Q195" s="21" t="n">
        <f aca="false">IFERROR(FLOOR(P195,100),0)</f>
        <v>0</v>
      </c>
      <c r="R195" s="21" t="n">
        <f aca="false">IFERROR(CEILING(800/(100*D195),1)*100,0)</f>
        <v>0</v>
      </c>
      <c r="S195" s="27"/>
      <c r="T195" s="18" t="n">
        <f aca="false">IFERROR(S195*D195,0)</f>
        <v>0</v>
      </c>
      <c r="U195" s="19" t="n">
        <f aca="false">IFERROR(T195/INDEX(账户总表!$B:$B,COUNTA(账户总表!$A:$A)),0)</f>
        <v>0</v>
      </c>
      <c r="V195" s="19" t="n">
        <f aca="false">IFERROR(INDEX(账户总表!$E:$E,COUNTA(账户总表!$A:$A))+U195,0)</f>
        <v>0.407056412146057</v>
      </c>
      <c r="W195" s="5" t="str">
        <f aca="false">IF($A195="","",IFERROR(IF(V195&lt;=INDEX(账户总表!$N:$N,COUNTA(账户总表!$A:$A)),"是","否"),"否"))</f>
        <v/>
      </c>
      <c r="X195" s="18" t="str">
        <f aca="false">IF($A195="","",MAX(F195*0.98,D195*0.92))</f>
        <v/>
      </c>
      <c r="Y195" s="9"/>
      <c r="Z195" s="5" t="str">
        <f aca="false">IF($A195="","",IFERROR(IF(AND(T195&gt;INDEX(账户总表!$C:$C,COUNTA(账户总表!$A:$A)),L195="是"),"是","否"),"否"))</f>
        <v/>
      </c>
      <c r="AA195" s="18" t="str">
        <f aca="false">IF($A195="","",IFERROR(IF(Z195="是",MAX(0,T195-INDEX(账户总表!$C:$C,COUNTA(账户总表!$A:$A)),IF(N195&gt;0,T195/N195-INDEX(账户总表!$B:$B,COUNTA(账户总表!$A:$A)),0)),0),0))</f>
        <v/>
      </c>
      <c r="AB195" s="18" t="str">
        <f aca="false">IF($A195="","",IF(AND(Z195="是",INDEX(账户总表!$U:$U,COUNTA(账户总表!$A:$A))="是"),IF(INDEX(账户总表!$L:$L,COUNTA(账户总表!$A:$A))&gt;=4,AA195*1.5,AA195),0))</f>
        <v/>
      </c>
      <c r="AC195" s="5" t="str">
        <f aca="false">IF($A195="","",IF(AND(L195="是",Q195&gt;=R195,S195&lt;=Q195,S195&gt;=R195,W195="是",X195&gt;0,M195="是",INDEX(账户总表!$M:$M,COUNTA(账户总表!$A:$A))&lt;=2,INDEX(账户总表!$V:$V,COUNTA(账户总表!$A:$A))="是",OR(T195&lt;=INDEX(账户总表!$C:$C,COUNTA(账户总表!$A:$A)),AND(Z195="是",INDEX(账户总表!$U:$U,COUNTA(账户总表!$A:$A))="是",AB195&gt;0))),"是","否"))</f>
        <v/>
      </c>
      <c r="AD195" s="5" t="str">
        <f aca="false">IF($A195="","",IF(L195&lt;&gt;"是","信号未确认",IF(X195&lt;=0,"止损价未定义",IF(Q195&lt;R195,"100股约束不满足",IF(S195&gt;Q195,"计划股数超单股上限",IF(S195&lt;R195,"计划股数低于最小门槛",IF(W195&lt;&gt;"是","总仓位超限",IF(M195&lt;&gt;"是","追价",IF(INDEX(账户总表!$M:$M,COUNTA(账户总表!$A:$A))&gt;2,"亏钱效应偏高",IF(INDEX(账户总表!$V:$V,COUNTA(账户总表!$A:$A))&lt;&gt;"是","账户不允许新开仓",IF(AND(T195&gt;INDEX(账户总表!$C:$C,COUNTA(账户总表!$A:$A)),INDEX(账户总表!$U:$U,COUNTA(账户总表!$A:$A))&lt;&gt;"是"),"现金不足且不允许转入",IF(AND(Z195="是",AB195&lt;=0),"转入金额未满足",""))))))))))))</f>
        <v/>
      </c>
      <c r="AE195" s="9"/>
      <c r="AF195" s="1" t="str">
        <f aca="false">IF($A195="","",D195*100)</f>
        <v/>
      </c>
      <c r="AG195" s="1" t="str">
        <f aca="false">IF($A195="","",IFERROR(AF195/INDEX(账户总表!$B:$B,COUNTA(账户总表!$A:$A)),0))</f>
        <v/>
      </c>
      <c r="AH195" s="1" t="str">
        <f aca="false">IF($A195="","",IFERROR(INDEX(账户总表!$B:$B,COUNTA(账户总表!$A:$A))*INDEX(账户总表!$O:$O,COUNTA(账户总表!$A:$A)),0))</f>
        <v/>
      </c>
      <c r="AI195" s="1" t="str">
        <f aca="false">IF($A195="","",IF(AF195&gt;AH195,"超限","合规"))</f>
        <v/>
      </c>
      <c r="AJ195" s="1" t="str">
        <f aca="false">IF($A195="","",IFERROR(AF195/INDEX(账户总表!$O:$O,COUNTA(账户总表!$A:$A)),0))</f>
        <v/>
      </c>
      <c r="AK195" s="1" t="str">
        <f aca="false">IF($A195="","",IFERROR(MAX(0,AJ195-INDEX(账户总表!$B:$B,COUNTA(账户总表!$A:$A)),AF195-INDEX(账户总表!$C:$C,COUNTA(账户总表!$A:$A))),0))</f>
        <v/>
      </c>
      <c r="AL195" s="1" t="str">
        <f aca="false">IF($A195="","",IF(COUNTIF(持仓表!$C$2:$C$201,C195)&gt;0,"已有","新标的"))</f>
        <v/>
      </c>
      <c r="AM195" s="1" t="str">
        <f aca="false">IF($A195="","",IFERROR(SUMIFS(持仓表!$N$2:$N$201,持仓表!$C$2:$C$201,C195,持仓表!$A$2:$A$201,$A195),0))</f>
        <v/>
      </c>
      <c r="AN195" s="1" t="str">
        <f aca="false">IF($A195="","",IFERROR(AM195+AF195/INDEX(账户总表!$B:$B,COUNTA(账户总表!$A:$A)),0))</f>
        <v/>
      </c>
      <c r="AO195" s="1" t="str">
        <f aca="false">IF($A195="","",IF(AN195&gt;INDEX(账户总表!$O:$O,COUNTA(账户总表!$A:$A)),"超限","合规"))</f>
        <v/>
      </c>
      <c r="AP195" s="1" t="str">
        <f aca="false">IF($A195="","",IF(AND(AL195="新标的",INDEX(账户总表!$R:$R,COUNTA(账户总表!$A:$A))&gt;=INDEX(账户总表!$S:$S,COUNTA(账户总表!$A:$A))),"新增受限","可通过"))</f>
        <v/>
      </c>
      <c r="AQ195" s="1" t="str">
        <f aca="false">IF($A195="","",IF(K195&lt;&gt;"核心池","非核心池",IF(OR(AI195="超限",AO195="超限",AP195="新增受限"),"不可加仓","可加仓")))</f>
        <v/>
      </c>
      <c r="AR195" s="1" t="str">
        <f aca="false">IF($A195="","",TRIM(IF(AI195="超限","1手超单股上限；","")&amp;IF(AO195="超限","买后仓位超限；","")&amp;IF(AP195="新增受限","有效持仓数超限；","")&amp;IF(AF195&gt;INDEX(账户总表!$C:$C,COUNTA(账户总表!$A:$A)),"现金不足；","")))</f>
        <v/>
      </c>
      <c r="AS195" s="1" t="str">
        <f aca="false">IF($A195="","",IFERROR(INDEX(候选池历史!$L:$L,MATCH(1,(候选池历史!$B:$B=C195)*(候选池历史!$A:$A=$A195),0)),0))</f>
        <v/>
      </c>
      <c r="AT195" s="1" t="str">
        <f aca="false">IF($A195="","",IF(AS195&gt;=3,"★信号强化",IF(K195="核心池","核心观察","")))</f>
        <v/>
      </c>
      <c r="AU195" s="1" t="str">
        <f aca="false">IF($A195="","",IF(AK195&gt;30000-INDEX(账户总表!$B:$B,COUNTA(账户总表!$A:$A)),"不适合婴儿阶段","可纳入幼儿路径"))</f>
        <v/>
      </c>
    </row>
    <row r="196" customFormat="false" ht="15" hidden="false" customHeight="true" outlineLevel="0" collapsed="false">
      <c r="A196" s="6"/>
      <c r="B196" s="6"/>
      <c r="C196" s="6"/>
      <c r="D196" s="17"/>
      <c r="E196" s="17"/>
      <c r="F196" s="17"/>
      <c r="G196" s="22"/>
      <c r="H196" s="6"/>
      <c r="I196" s="13"/>
      <c r="J196" s="6"/>
      <c r="K196" s="5" t="str">
        <f aca="false">IF($A196="","",IF(AND(G196&lt;45%,H196&gt;=0.9),"A",IF(AND(G196&lt;60%,H196&gt;0.8),"B","C")))</f>
        <v/>
      </c>
      <c r="L196" s="5" t="str">
        <f aca="false">IF($A196="","",IF(AND(G196&lt;60%,H196&gt;0.8,I196="True"),"是","否"))</f>
        <v/>
      </c>
      <c r="M196" s="5" t="str">
        <f aca="false">IF($A196="","",IF(AND(D196&gt;0,E196&gt;0,D196&lt;=E196*1.02),"是","否"))</f>
        <v/>
      </c>
      <c r="N196" s="19" t="n">
        <f aca="false">IFERROR(INDEX(账户总表!$O:$O,COUNTA(账户总表!$A:$A)),0)</f>
        <v>0.35</v>
      </c>
      <c r="O196" s="18" t="n">
        <f aca="false">IFERROR(INDEX(账户总表!$B:$B,COUNTA(账户总表!$A:$A))*N196,0)</f>
        <v>7294.812</v>
      </c>
      <c r="P196" s="21" t="n">
        <f aca="false">IFERROR(O196/D196,0)</f>
        <v>0</v>
      </c>
      <c r="Q196" s="21" t="n">
        <f aca="false">IFERROR(FLOOR(P196,100),0)</f>
        <v>0</v>
      </c>
      <c r="R196" s="21" t="n">
        <f aca="false">IFERROR(CEILING(800/(100*D196),1)*100,0)</f>
        <v>0</v>
      </c>
      <c r="S196" s="20"/>
      <c r="T196" s="18" t="n">
        <f aca="false">IFERROR(S196*D196,0)</f>
        <v>0</v>
      </c>
      <c r="U196" s="19" t="n">
        <f aca="false">IFERROR(T196/INDEX(账户总表!$B:$B,COUNTA(账户总表!$A:$A)),0)</f>
        <v>0</v>
      </c>
      <c r="V196" s="19" t="n">
        <f aca="false">IFERROR(INDEX(账户总表!$E:$E,COUNTA(账户总表!$A:$A))+U196,0)</f>
        <v>0.407056412146057</v>
      </c>
      <c r="W196" s="5" t="str">
        <f aca="false">IF($A196="","",IFERROR(IF(V196&lt;=INDEX(账户总表!$N:$N,COUNTA(账户总表!$A:$A)),"是","否"),"否"))</f>
        <v/>
      </c>
      <c r="X196" s="18" t="str">
        <f aca="false">IF($A196="","",MAX(F196*0.98,D196*0.92))</f>
        <v/>
      </c>
      <c r="Y196" s="6"/>
      <c r="Z196" s="5" t="str">
        <f aca="false">IF($A196="","",IFERROR(IF(AND(T196&gt;INDEX(账户总表!$C:$C,COUNTA(账户总表!$A:$A)),L196="是"),"是","否"),"否"))</f>
        <v/>
      </c>
      <c r="AA196" s="18" t="str">
        <f aca="false">IF($A196="","",IFERROR(IF(Z196="是",MAX(0,T196-INDEX(账户总表!$C:$C,COUNTA(账户总表!$A:$A)),IF(N196&gt;0,T196/N196-INDEX(账户总表!$B:$B,COUNTA(账户总表!$A:$A)),0)),0),0))</f>
        <v/>
      </c>
      <c r="AB196" s="18" t="str">
        <f aca="false">IF($A196="","",IF(AND(Z196="是",INDEX(账户总表!$U:$U,COUNTA(账户总表!$A:$A))="是"),IF(INDEX(账户总表!$L:$L,COUNTA(账户总表!$A:$A))&gt;=4,AA196*1.5,AA196),0))</f>
        <v/>
      </c>
      <c r="AC196" s="5" t="str">
        <f aca="false">IF($A196="","",IF(AND(L196="是",Q196&gt;=R196,S196&lt;=Q196,S196&gt;=R196,W196="是",X196&gt;0,M196="是",INDEX(账户总表!$M:$M,COUNTA(账户总表!$A:$A))&lt;=2,INDEX(账户总表!$V:$V,COUNTA(账户总表!$A:$A))="是",OR(T196&lt;=INDEX(账户总表!$C:$C,COUNTA(账户总表!$A:$A)),AND(Z196="是",INDEX(账户总表!$U:$U,COUNTA(账户总表!$A:$A))="是",AB196&gt;0))),"是","否"))</f>
        <v/>
      </c>
      <c r="AD196" s="5" t="str">
        <f aca="false">IF($A196="","",IF(L196&lt;&gt;"是","信号未确认",IF(X196&lt;=0,"止损价未定义",IF(Q196&lt;R196,"100股约束不满足",IF(S196&gt;Q196,"计划股数超单股上限",IF(S196&lt;R196,"计划股数低于最小门槛",IF(W196&lt;&gt;"是","总仓位超限",IF(M196&lt;&gt;"是","追价",IF(INDEX(账户总表!$M:$M,COUNTA(账户总表!$A:$A))&gt;2,"亏钱效应偏高",IF(INDEX(账户总表!$V:$V,COUNTA(账户总表!$A:$A))&lt;&gt;"是","账户不允许新开仓",IF(AND(T196&gt;INDEX(账户总表!$C:$C,COUNTA(账户总表!$A:$A)),INDEX(账户总表!$U:$U,COUNTA(账户总表!$A:$A))&lt;&gt;"是"),"现金不足且不允许转入",IF(AND(Z196="是",AB196&lt;=0),"转入金额未满足",""))))))))))))</f>
        <v/>
      </c>
      <c r="AE196" s="6"/>
      <c r="AF196" s="1" t="str">
        <f aca="false">IF($A196="","",D196*100)</f>
        <v/>
      </c>
      <c r="AG196" s="1" t="str">
        <f aca="false">IF($A196="","",IFERROR(AF196/INDEX(账户总表!$B:$B,COUNTA(账户总表!$A:$A)),0))</f>
        <v/>
      </c>
      <c r="AH196" s="1" t="str">
        <f aca="false">IF($A196="","",IFERROR(INDEX(账户总表!$B:$B,COUNTA(账户总表!$A:$A))*INDEX(账户总表!$O:$O,COUNTA(账户总表!$A:$A)),0))</f>
        <v/>
      </c>
      <c r="AI196" s="1" t="str">
        <f aca="false">IF($A196="","",IF(AF196&gt;AH196,"超限","合规"))</f>
        <v/>
      </c>
      <c r="AJ196" s="1" t="str">
        <f aca="false">IF($A196="","",IFERROR(AF196/INDEX(账户总表!$O:$O,COUNTA(账户总表!$A:$A)),0))</f>
        <v/>
      </c>
      <c r="AK196" s="1" t="str">
        <f aca="false">IF($A196="","",IFERROR(MAX(0,AJ196-INDEX(账户总表!$B:$B,COUNTA(账户总表!$A:$A)),AF196-INDEX(账户总表!$C:$C,COUNTA(账户总表!$A:$A))),0))</f>
        <v/>
      </c>
      <c r="AL196" s="1" t="str">
        <f aca="false">IF($A196="","",IF(COUNTIF(持仓表!$C$2:$C$201,C196)&gt;0,"已有","新标的"))</f>
        <v/>
      </c>
      <c r="AM196" s="1" t="str">
        <f aca="false">IF($A196="","",IFERROR(SUMIFS(持仓表!$N$2:$N$201,持仓表!$C$2:$C$201,C196,持仓表!$A$2:$A$201,$A196),0))</f>
        <v/>
      </c>
      <c r="AN196" s="1" t="str">
        <f aca="false">IF($A196="","",IFERROR(AM196+AF196/INDEX(账户总表!$B:$B,COUNTA(账户总表!$A:$A)),0))</f>
        <v/>
      </c>
      <c r="AO196" s="1" t="str">
        <f aca="false">IF($A196="","",IF(AN196&gt;INDEX(账户总表!$O:$O,COUNTA(账户总表!$A:$A)),"超限","合规"))</f>
        <v/>
      </c>
      <c r="AP196" s="1" t="str">
        <f aca="false">IF($A196="","",IF(AND(AL196="新标的",INDEX(账户总表!$R:$R,COUNTA(账户总表!$A:$A))&gt;=INDEX(账户总表!$S:$S,COUNTA(账户总表!$A:$A))),"新增受限","可通过"))</f>
        <v/>
      </c>
      <c r="AQ196" s="1" t="str">
        <f aca="false">IF($A196="","",IF(K196&lt;&gt;"核心池","非核心池",IF(OR(AI196="超限",AO196="超限",AP196="新增受限"),"不可加仓","可加仓")))</f>
        <v/>
      </c>
      <c r="AR196" s="1" t="str">
        <f aca="false">IF($A196="","",TRIM(IF(AI196="超限","1手超单股上限；","")&amp;IF(AO196="超限","买后仓位超限；","")&amp;IF(AP196="新增受限","有效持仓数超限；","")&amp;IF(AF196&gt;INDEX(账户总表!$C:$C,COUNTA(账户总表!$A:$A)),"现金不足；","")))</f>
        <v/>
      </c>
      <c r="AS196" s="1" t="str">
        <f aca="false">IF($A196="","",IFERROR(INDEX(候选池历史!$L:$L,MATCH(1,(候选池历史!$B:$B=C196)*(候选池历史!$A:$A=$A196),0)),0))</f>
        <v/>
      </c>
      <c r="AT196" s="1" t="str">
        <f aca="false">IF($A196="","",IF(AS196&gt;=3,"★信号强化",IF(K196="核心池","核心观察","")))</f>
        <v/>
      </c>
      <c r="AU196" s="1" t="str">
        <f aca="false">IF($A196="","",IF(AK196&gt;30000-INDEX(账户总表!$B:$B,COUNTA(账户总表!$A:$A)),"不适合婴儿阶段","可纳入幼儿路径"))</f>
        <v/>
      </c>
    </row>
    <row r="197" customFormat="false" ht="15" hidden="false" customHeight="true" outlineLevel="0" collapsed="false">
      <c r="A197" s="9"/>
      <c r="B197" s="9"/>
      <c r="C197" s="9"/>
      <c r="D197" s="26"/>
      <c r="E197" s="26"/>
      <c r="F197" s="26"/>
      <c r="G197" s="28"/>
      <c r="H197" s="9"/>
      <c r="I197" s="14"/>
      <c r="J197" s="9"/>
      <c r="K197" s="5" t="str">
        <f aca="false">IF($A197="","",IF(AND(G197&lt;45%,H197&gt;=0.9),"A",IF(AND(G197&lt;60%,H197&gt;0.8),"B","C")))</f>
        <v/>
      </c>
      <c r="L197" s="5" t="str">
        <f aca="false">IF($A197="","",IF(AND(G197&lt;60%,H197&gt;0.8,I197="True"),"是","否"))</f>
        <v/>
      </c>
      <c r="M197" s="5" t="str">
        <f aca="false">IF($A197="","",IF(AND(D197&gt;0,E197&gt;0,D197&lt;=E197*1.02),"是","否"))</f>
        <v/>
      </c>
      <c r="N197" s="19" t="n">
        <f aca="false">IFERROR(INDEX(账户总表!$O:$O,COUNTA(账户总表!$A:$A)),0)</f>
        <v>0.35</v>
      </c>
      <c r="O197" s="18" t="n">
        <f aca="false">IFERROR(INDEX(账户总表!$B:$B,COUNTA(账户总表!$A:$A))*N197,0)</f>
        <v>7294.812</v>
      </c>
      <c r="P197" s="21" t="n">
        <f aca="false">IFERROR(O197/D197,0)</f>
        <v>0</v>
      </c>
      <c r="Q197" s="21" t="n">
        <f aca="false">IFERROR(FLOOR(P197,100),0)</f>
        <v>0</v>
      </c>
      <c r="R197" s="21" t="n">
        <f aca="false">IFERROR(CEILING(800/(100*D197),1)*100,0)</f>
        <v>0</v>
      </c>
      <c r="S197" s="27"/>
      <c r="T197" s="18" t="n">
        <f aca="false">IFERROR(S197*D197,0)</f>
        <v>0</v>
      </c>
      <c r="U197" s="19" t="n">
        <f aca="false">IFERROR(T197/INDEX(账户总表!$B:$B,COUNTA(账户总表!$A:$A)),0)</f>
        <v>0</v>
      </c>
      <c r="V197" s="19" t="n">
        <f aca="false">IFERROR(INDEX(账户总表!$E:$E,COUNTA(账户总表!$A:$A))+U197,0)</f>
        <v>0.407056412146057</v>
      </c>
      <c r="W197" s="5" t="str">
        <f aca="false">IF($A197="","",IFERROR(IF(V197&lt;=INDEX(账户总表!$N:$N,COUNTA(账户总表!$A:$A)),"是","否"),"否"))</f>
        <v/>
      </c>
      <c r="X197" s="18" t="str">
        <f aca="false">IF($A197="","",MAX(F197*0.98,D197*0.92))</f>
        <v/>
      </c>
      <c r="Y197" s="9"/>
      <c r="Z197" s="5" t="str">
        <f aca="false">IF($A197="","",IFERROR(IF(AND(T197&gt;INDEX(账户总表!$C:$C,COUNTA(账户总表!$A:$A)),L197="是"),"是","否"),"否"))</f>
        <v/>
      </c>
      <c r="AA197" s="18" t="str">
        <f aca="false">IF($A197="","",IFERROR(IF(Z197="是",MAX(0,T197-INDEX(账户总表!$C:$C,COUNTA(账户总表!$A:$A)),IF(N197&gt;0,T197/N197-INDEX(账户总表!$B:$B,COUNTA(账户总表!$A:$A)),0)),0),0))</f>
        <v/>
      </c>
      <c r="AB197" s="18" t="str">
        <f aca="false">IF($A197="","",IF(AND(Z197="是",INDEX(账户总表!$U:$U,COUNTA(账户总表!$A:$A))="是"),IF(INDEX(账户总表!$L:$L,COUNTA(账户总表!$A:$A))&gt;=4,AA197*1.5,AA197),0))</f>
        <v/>
      </c>
      <c r="AC197" s="5" t="str">
        <f aca="false">IF($A197="","",IF(AND(L197="是",Q197&gt;=R197,S197&lt;=Q197,S197&gt;=R197,W197="是",X197&gt;0,M197="是",INDEX(账户总表!$M:$M,COUNTA(账户总表!$A:$A))&lt;=2,INDEX(账户总表!$V:$V,COUNTA(账户总表!$A:$A))="是",OR(T197&lt;=INDEX(账户总表!$C:$C,COUNTA(账户总表!$A:$A)),AND(Z197="是",INDEX(账户总表!$U:$U,COUNTA(账户总表!$A:$A))="是",AB197&gt;0))),"是","否"))</f>
        <v/>
      </c>
      <c r="AD197" s="5" t="str">
        <f aca="false">IF($A197="","",IF(L197&lt;&gt;"是","信号未确认",IF(X197&lt;=0,"止损价未定义",IF(Q197&lt;R197,"100股约束不满足",IF(S197&gt;Q197,"计划股数超单股上限",IF(S197&lt;R197,"计划股数低于最小门槛",IF(W197&lt;&gt;"是","总仓位超限",IF(M197&lt;&gt;"是","追价",IF(INDEX(账户总表!$M:$M,COUNTA(账户总表!$A:$A))&gt;2,"亏钱效应偏高",IF(INDEX(账户总表!$V:$V,COUNTA(账户总表!$A:$A))&lt;&gt;"是","账户不允许新开仓",IF(AND(T197&gt;INDEX(账户总表!$C:$C,COUNTA(账户总表!$A:$A)),INDEX(账户总表!$U:$U,COUNTA(账户总表!$A:$A))&lt;&gt;"是"),"现金不足且不允许转入",IF(AND(Z197="是",AB197&lt;=0),"转入金额未满足",""))))))))))))</f>
        <v/>
      </c>
      <c r="AE197" s="9"/>
      <c r="AF197" s="1" t="str">
        <f aca="false">IF($A197="","",D197*100)</f>
        <v/>
      </c>
      <c r="AG197" s="1" t="str">
        <f aca="false">IF($A197="","",IFERROR(AF197/INDEX(账户总表!$B:$B,COUNTA(账户总表!$A:$A)),0))</f>
        <v/>
      </c>
      <c r="AH197" s="1" t="str">
        <f aca="false">IF($A197="","",IFERROR(INDEX(账户总表!$B:$B,COUNTA(账户总表!$A:$A))*INDEX(账户总表!$O:$O,COUNTA(账户总表!$A:$A)),0))</f>
        <v/>
      </c>
      <c r="AI197" s="1" t="str">
        <f aca="false">IF($A197="","",IF(AF197&gt;AH197,"超限","合规"))</f>
        <v/>
      </c>
      <c r="AJ197" s="1" t="str">
        <f aca="false">IF($A197="","",IFERROR(AF197/INDEX(账户总表!$O:$O,COUNTA(账户总表!$A:$A)),0))</f>
        <v/>
      </c>
      <c r="AK197" s="1" t="str">
        <f aca="false">IF($A197="","",IFERROR(MAX(0,AJ197-INDEX(账户总表!$B:$B,COUNTA(账户总表!$A:$A)),AF197-INDEX(账户总表!$C:$C,COUNTA(账户总表!$A:$A))),0))</f>
        <v/>
      </c>
      <c r="AL197" s="1" t="str">
        <f aca="false">IF($A197="","",IF(COUNTIF(持仓表!$C$2:$C$201,C197)&gt;0,"已有","新标的"))</f>
        <v/>
      </c>
      <c r="AM197" s="1" t="str">
        <f aca="false">IF($A197="","",IFERROR(SUMIFS(持仓表!$N$2:$N$201,持仓表!$C$2:$C$201,C197,持仓表!$A$2:$A$201,$A197),0))</f>
        <v/>
      </c>
      <c r="AN197" s="1" t="str">
        <f aca="false">IF($A197="","",IFERROR(AM197+AF197/INDEX(账户总表!$B:$B,COUNTA(账户总表!$A:$A)),0))</f>
        <v/>
      </c>
      <c r="AO197" s="1" t="str">
        <f aca="false">IF($A197="","",IF(AN197&gt;INDEX(账户总表!$O:$O,COUNTA(账户总表!$A:$A)),"超限","合规"))</f>
        <v/>
      </c>
      <c r="AP197" s="1" t="str">
        <f aca="false">IF($A197="","",IF(AND(AL197="新标的",INDEX(账户总表!$R:$R,COUNTA(账户总表!$A:$A))&gt;=INDEX(账户总表!$S:$S,COUNTA(账户总表!$A:$A))),"新增受限","可通过"))</f>
        <v/>
      </c>
      <c r="AQ197" s="1" t="str">
        <f aca="false">IF($A197="","",IF(K197&lt;&gt;"核心池","非核心池",IF(OR(AI197="超限",AO197="超限",AP197="新增受限"),"不可加仓","可加仓")))</f>
        <v/>
      </c>
      <c r="AR197" s="1" t="str">
        <f aca="false">IF($A197="","",TRIM(IF(AI197="超限","1手超单股上限；","")&amp;IF(AO197="超限","买后仓位超限；","")&amp;IF(AP197="新增受限","有效持仓数超限；","")&amp;IF(AF197&gt;INDEX(账户总表!$C:$C,COUNTA(账户总表!$A:$A)),"现金不足；","")))</f>
        <v/>
      </c>
      <c r="AS197" s="1" t="str">
        <f aca="false">IF($A197="","",IFERROR(INDEX(候选池历史!$L:$L,MATCH(1,(候选池历史!$B:$B=C197)*(候选池历史!$A:$A=$A197),0)),0))</f>
        <v/>
      </c>
      <c r="AT197" s="1" t="str">
        <f aca="false">IF($A197="","",IF(AS197&gt;=3,"★信号强化",IF(K197="核心池","核心观察","")))</f>
        <v/>
      </c>
      <c r="AU197" s="1" t="str">
        <f aca="false">IF($A197="","",IF(AK197&gt;30000-INDEX(账户总表!$B:$B,COUNTA(账户总表!$A:$A)),"不适合婴儿阶段","可纳入幼儿路径"))</f>
        <v/>
      </c>
    </row>
    <row r="198" customFormat="false" ht="15" hidden="false" customHeight="true" outlineLevel="0" collapsed="false">
      <c r="A198" s="6"/>
      <c r="B198" s="6"/>
      <c r="C198" s="6"/>
      <c r="D198" s="17"/>
      <c r="E198" s="17"/>
      <c r="F198" s="17"/>
      <c r="G198" s="22"/>
      <c r="H198" s="6"/>
      <c r="I198" s="13"/>
      <c r="J198" s="6"/>
      <c r="K198" s="5" t="str">
        <f aca="false">IF($A198="","",IF(AND(G198&lt;45%,H198&gt;=0.9),"A",IF(AND(G198&lt;60%,H198&gt;0.8),"B","C")))</f>
        <v/>
      </c>
      <c r="L198" s="5" t="str">
        <f aca="false">IF($A198="","",IF(AND(G198&lt;60%,H198&gt;0.8,I198="True"),"是","否"))</f>
        <v/>
      </c>
      <c r="M198" s="5" t="str">
        <f aca="false">IF($A198="","",IF(AND(D198&gt;0,E198&gt;0,D198&lt;=E198*1.02),"是","否"))</f>
        <v/>
      </c>
      <c r="N198" s="19" t="n">
        <f aca="false">IFERROR(INDEX(账户总表!$O:$O,COUNTA(账户总表!$A:$A)),0)</f>
        <v>0.35</v>
      </c>
      <c r="O198" s="18" t="n">
        <f aca="false">IFERROR(INDEX(账户总表!$B:$B,COUNTA(账户总表!$A:$A))*N198,0)</f>
        <v>7294.812</v>
      </c>
      <c r="P198" s="21" t="n">
        <f aca="false">IFERROR(O198/D198,0)</f>
        <v>0</v>
      </c>
      <c r="Q198" s="21" t="n">
        <f aca="false">IFERROR(FLOOR(P198,100),0)</f>
        <v>0</v>
      </c>
      <c r="R198" s="21" t="n">
        <f aca="false">IFERROR(CEILING(800/(100*D198),1)*100,0)</f>
        <v>0</v>
      </c>
      <c r="S198" s="20"/>
      <c r="T198" s="18" t="n">
        <f aca="false">IFERROR(S198*D198,0)</f>
        <v>0</v>
      </c>
      <c r="U198" s="19" t="n">
        <f aca="false">IFERROR(T198/INDEX(账户总表!$B:$B,COUNTA(账户总表!$A:$A)),0)</f>
        <v>0</v>
      </c>
      <c r="V198" s="19" t="n">
        <f aca="false">IFERROR(INDEX(账户总表!$E:$E,COUNTA(账户总表!$A:$A))+U198,0)</f>
        <v>0.407056412146057</v>
      </c>
      <c r="W198" s="5" t="str">
        <f aca="false">IF($A198="","",IFERROR(IF(V198&lt;=INDEX(账户总表!$N:$N,COUNTA(账户总表!$A:$A)),"是","否"),"否"))</f>
        <v/>
      </c>
      <c r="X198" s="18" t="str">
        <f aca="false">IF($A198="","",MAX(F198*0.98,D198*0.92))</f>
        <v/>
      </c>
      <c r="Y198" s="6"/>
      <c r="Z198" s="5" t="str">
        <f aca="false">IF($A198="","",IFERROR(IF(AND(T198&gt;INDEX(账户总表!$C:$C,COUNTA(账户总表!$A:$A)),L198="是"),"是","否"),"否"))</f>
        <v/>
      </c>
      <c r="AA198" s="18" t="str">
        <f aca="false">IF($A198="","",IFERROR(IF(Z198="是",MAX(0,T198-INDEX(账户总表!$C:$C,COUNTA(账户总表!$A:$A)),IF(N198&gt;0,T198/N198-INDEX(账户总表!$B:$B,COUNTA(账户总表!$A:$A)),0)),0),0))</f>
        <v/>
      </c>
      <c r="AB198" s="18" t="str">
        <f aca="false">IF($A198="","",IF(AND(Z198="是",INDEX(账户总表!$U:$U,COUNTA(账户总表!$A:$A))="是"),IF(INDEX(账户总表!$L:$L,COUNTA(账户总表!$A:$A))&gt;=4,AA198*1.5,AA198),0))</f>
        <v/>
      </c>
      <c r="AC198" s="5" t="str">
        <f aca="false">IF($A198="","",IF(AND(L198="是",Q198&gt;=R198,S198&lt;=Q198,S198&gt;=R198,W198="是",X198&gt;0,M198="是",INDEX(账户总表!$M:$M,COUNTA(账户总表!$A:$A))&lt;=2,INDEX(账户总表!$V:$V,COUNTA(账户总表!$A:$A))="是",OR(T198&lt;=INDEX(账户总表!$C:$C,COUNTA(账户总表!$A:$A)),AND(Z198="是",INDEX(账户总表!$U:$U,COUNTA(账户总表!$A:$A))="是",AB198&gt;0))),"是","否"))</f>
        <v/>
      </c>
      <c r="AD198" s="5" t="str">
        <f aca="false">IF($A198="","",IF(L198&lt;&gt;"是","信号未确认",IF(X198&lt;=0,"止损价未定义",IF(Q198&lt;R198,"100股约束不满足",IF(S198&gt;Q198,"计划股数超单股上限",IF(S198&lt;R198,"计划股数低于最小门槛",IF(W198&lt;&gt;"是","总仓位超限",IF(M198&lt;&gt;"是","追价",IF(INDEX(账户总表!$M:$M,COUNTA(账户总表!$A:$A))&gt;2,"亏钱效应偏高",IF(INDEX(账户总表!$V:$V,COUNTA(账户总表!$A:$A))&lt;&gt;"是","账户不允许新开仓",IF(AND(T198&gt;INDEX(账户总表!$C:$C,COUNTA(账户总表!$A:$A)),INDEX(账户总表!$U:$U,COUNTA(账户总表!$A:$A))&lt;&gt;"是"),"现金不足且不允许转入",IF(AND(Z198="是",AB198&lt;=0),"转入金额未满足",""))))))))))))</f>
        <v/>
      </c>
      <c r="AE198" s="6"/>
      <c r="AF198" s="1" t="str">
        <f aca="false">IF($A198="","",D198*100)</f>
        <v/>
      </c>
      <c r="AG198" s="1" t="str">
        <f aca="false">IF($A198="","",IFERROR(AF198/INDEX(账户总表!$B:$B,COUNTA(账户总表!$A:$A)),0))</f>
        <v/>
      </c>
      <c r="AH198" s="1" t="str">
        <f aca="false">IF($A198="","",IFERROR(INDEX(账户总表!$B:$B,COUNTA(账户总表!$A:$A))*INDEX(账户总表!$O:$O,COUNTA(账户总表!$A:$A)),0))</f>
        <v/>
      </c>
      <c r="AI198" s="1" t="str">
        <f aca="false">IF($A198="","",IF(AF198&gt;AH198,"超限","合规"))</f>
        <v/>
      </c>
      <c r="AJ198" s="1" t="str">
        <f aca="false">IF($A198="","",IFERROR(AF198/INDEX(账户总表!$O:$O,COUNTA(账户总表!$A:$A)),0))</f>
        <v/>
      </c>
      <c r="AK198" s="1" t="str">
        <f aca="false">IF($A198="","",IFERROR(MAX(0,AJ198-INDEX(账户总表!$B:$B,COUNTA(账户总表!$A:$A)),AF198-INDEX(账户总表!$C:$C,COUNTA(账户总表!$A:$A))),0))</f>
        <v/>
      </c>
      <c r="AL198" s="1" t="str">
        <f aca="false">IF($A198="","",IF(COUNTIF(持仓表!$C$2:$C$201,C198)&gt;0,"已有","新标的"))</f>
        <v/>
      </c>
      <c r="AM198" s="1" t="str">
        <f aca="false">IF($A198="","",IFERROR(SUMIFS(持仓表!$N$2:$N$201,持仓表!$C$2:$C$201,C198,持仓表!$A$2:$A$201,$A198),0))</f>
        <v/>
      </c>
      <c r="AN198" s="1" t="str">
        <f aca="false">IF($A198="","",IFERROR(AM198+AF198/INDEX(账户总表!$B:$B,COUNTA(账户总表!$A:$A)),0))</f>
        <v/>
      </c>
      <c r="AO198" s="1" t="str">
        <f aca="false">IF($A198="","",IF(AN198&gt;INDEX(账户总表!$O:$O,COUNTA(账户总表!$A:$A)),"超限","合规"))</f>
        <v/>
      </c>
      <c r="AP198" s="1" t="str">
        <f aca="false">IF($A198="","",IF(AND(AL198="新标的",INDEX(账户总表!$R:$R,COUNTA(账户总表!$A:$A))&gt;=INDEX(账户总表!$S:$S,COUNTA(账户总表!$A:$A))),"新增受限","可通过"))</f>
        <v/>
      </c>
      <c r="AQ198" s="1" t="str">
        <f aca="false">IF($A198="","",IF(K198&lt;&gt;"核心池","非核心池",IF(OR(AI198="超限",AO198="超限",AP198="新增受限"),"不可加仓","可加仓")))</f>
        <v/>
      </c>
      <c r="AR198" s="1" t="str">
        <f aca="false">IF($A198="","",TRIM(IF(AI198="超限","1手超单股上限；","")&amp;IF(AO198="超限","买后仓位超限；","")&amp;IF(AP198="新增受限","有效持仓数超限；","")&amp;IF(AF198&gt;INDEX(账户总表!$C:$C,COUNTA(账户总表!$A:$A)),"现金不足；","")))</f>
        <v/>
      </c>
      <c r="AS198" s="1" t="str">
        <f aca="false">IF($A198="","",IFERROR(INDEX(候选池历史!$L:$L,MATCH(1,(候选池历史!$B:$B=C198)*(候选池历史!$A:$A=$A198),0)),0))</f>
        <v/>
      </c>
      <c r="AT198" s="1" t="str">
        <f aca="false">IF($A198="","",IF(AS198&gt;=3,"★信号强化",IF(K198="核心池","核心观察","")))</f>
        <v/>
      </c>
      <c r="AU198" s="1" t="str">
        <f aca="false">IF($A198="","",IF(AK198&gt;30000-INDEX(账户总表!$B:$B,COUNTA(账户总表!$A:$A)),"不适合婴儿阶段","可纳入幼儿路径"))</f>
        <v/>
      </c>
    </row>
    <row r="199" customFormat="false" ht="15" hidden="false" customHeight="true" outlineLevel="0" collapsed="false">
      <c r="A199" s="9"/>
      <c r="B199" s="9"/>
      <c r="C199" s="9"/>
      <c r="D199" s="26"/>
      <c r="E199" s="26"/>
      <c r="F199" s="26"/>
      <c r="G199" s="28"/>
      <c r="H199" s="9"/>
      <c r="I199" s="14"/>
      <c r="J199" s="9"/>
      <c r="K199" s="5" t="str">
        <f aca="false">IF($A199="","",IF(AND(G199&lt;45%,H199&gt;=0.9),"A",IF(AND(G199&lt;60%,H199&gt;0.8),"B","C")))</f>
        <v/>
      </c>
      <c r="L199" s="5" t="str">
        <f aca="false">IF($A199="","",IF(AND(G199&lt;60%,H199&gt;0.8,I199="True"),"是","否"))</f>
        <v/>
      </c>
      <c r="M199" s="5" t="str">
        <f aca="false">IF($A199="","",IF(AND(D199&gt;0,E199&gt;0,D199&lt;=E199*1.02),"是","否"))</f>
        <v/>
      </c>
      <c r="N199" s="19" t="n">
        <f aca="false">IFERROR(INDEX(账户总表!$O:$O,COUNTA(账户总表!$A:$A)),0)</f>
        <v>0.35</v>
      </c>
      <c r="O199" s="18" t="n">
        <f aca="false">IFERROR(INDEX(账户总表!$B:$B,COUNTA(账户总表!$A:$A))*N199,0)</f>
        <v>7294.812</v>
      </c>
      <c r="P199" s="21" t="n">
        <f aca="false">IFERROR(O199/D199,0)</f>
        <v>0</v>
      </c>
      <c r="Q199" s="21" t="n">
        <f aca="false">IFERROR(FLOOR(P199,100),0)</f>
        <v>0</v>
      </c>
      <c r="R199" s="21" t="n">
        <f aca="false">IFERROR(CEILING(800/(100*D199),1)*100,0)</f>
        <v>0</v>
      </c>
      <c r="S199" s="27"/>
      <c r="T199" s="18" t="n">
        <f aca="false">IFERROR(S199*D199,0)</f>
        <v>0</v>
      </c>
      <c r="U199" s="19" t="n">
        <f aca="false">IFERROR(T199/INDEX(账户总表!$B:$B,COUNTA(账户总表!$A:$A)),0)</f>
        <v>0</v>
      </c>
      <c r="V199" s="19" t="n">
        <f aca="false">IFERROR(INDEX(账户总表!$E:$E,COUNTA(账户总表!$A:$A))+U199,0)</f>
        <v>0.407056412146057</v>
      </c>
      <c r="W199" s="5" t="str">
        <f aca="false">IF($A199="","",IFERROR(IF(V199&lt;=INDEX(账户总表!$N:$N,COUNTA(账户总表!$A:$A)),"是","否"),"否"))</f>
        <v/>
      </c>
      <c r="X199" s="18" t="str">
        <f aca="false">IF($A199="","",MAX(F199*0.98,D199*0.92))</f>
        <v/>
      </c>
      <c r="Y199" s="9"/>
      <c r="Z199" s="5" t="str">
        <f aca="false">IF($A199="","",IFERROR(IF(AND(T199&gt;INDEX(账户总表!$C:$C,COUNTA(账户总表!$A:$A)),L199="是"),"是","否"),"否"))</f>
        <v/>
      </c>
      <c r="AA199" s="18" t="str">
        <f aca="false">IF($A199="","",IFERROR(IF(Z199="是",MAX(0,T199-INDEX(账户总表!$C:$C,COUNTA(账户总表!$A:$A)),IF(N199&gt;0,T199/N199-INDEX(账户总表!$B:$B,COUNTA(账户总表!$A:$A)),0)),0),0))</f>
        <v/>
      </c>
      <c r="AB199" s="18" t="str">
        <f aca="false">IF($A199="","",IF(AND(Z199="是",INDEX(账户总表!$U:$U,COUNTA(账户总表!$A:$A))="是"),IF(INDEX(账户总表!$L:$L,COUNTA(账户总表!$A:$A))&gt;=4,AA199*1.5,AA199),0))</f>
        <v/>
      </c>
      <c r="AC199" s="5" t="str">
        <f aca="false">IF($A199="","",IF(AND(L199="是",Q199&gt;=R199,S199&lt;=Q199,S199&gt;=R199,W199="是",X199&gt;0,M199="是",INDEX(账户总表!$M:$M,COUNTA(账户总表!$A:$A))&lt;=2,INDEX(账户总表!$V:$V,COUNTA(账户总表!$A:$A))="是",OR(T199&lt;=INDEX(账户总表!$C:$C,COUNTA(账户总表!$A:$A)),AND(Z199="是",INDEX(账户总表!$U:$U,COUNTA(账户总表!$A:$A))="是",AB199&gt;0))),"是","否"))</f>
        <v/>
      </c>
      <c r="AD199" s="5" t="str">
        <f aca="false">IF($A199="","",IF(L199&lt;&gt;"是","信号未确认",IF(X199&lt;=0,"止损价未定义",IF(Q199&lt;R199,"100股约束不满足",IF(S199&gt;Q199,"计划股数超单股上限",IF(S199&lt;R199,"计划股数低于最小门槛",IF(W199&lt;&gt;"是","总仓位超限",IF(M199&lt;&gt;"是","追价",IF(INDEX(账户总表!$M:$M,COUNTA(账户总表!$A:$A))&gt;2,"亏钱效应偏高",IF(INDEX(账户总表!$V:$V,COUNTA(账户总表!$A:$A))&lt;&gt;"是","账户不允许新开仓",IF(AND(T199&gt;INDEX(账户总表!$C:$C,COUNTA(账户总表!$A:$A)),INDEX(账户总表!$U:$U,COUNTA(账户总表!$A:$A))&lt;&gt;"是"),"现金不足且不允许转入",IF(AND(Z199="是",AB199&lt;=0),"转入金额未满足",""))))))))))))</f>
        <v/>
      </c>
      <c r="AE199" s="9"/>
      <c r="AF199" s="1" t="str">
        <f aca="false">IF($A199="","",D199*100)</f>
        <v/>
      </c>
      <c r="AG199" s="1" t="str">
        <f aca="false">IF($A199="","",IFERROR(AF199/INDEX(账户总表!$B:$B,COUNTA(账户总表!$A:$A)),0))</f>
        <v/>
      </c>
      <c r="AH199" s="1" t="str">
        <f aca="false">IF($A199="","",IFERROR(INDEX(账户总表!$B:$B,COUNTA(账户总表!$A:$A))*INDEX(账户总表!$O:$O,COUNTA(账户总表!$A:$A)),0))</f>
        <v/>
      </c>
      <c r="AI199" s="1" t="str">
        <f aca="false">IF($A199="","",IF(AF199&gt;AH199,"超限","合规"))</f>
        <v/>
      </c>
      <c r="AJ199" s="1" t="str">
        <f aca="false">IF($A199="","",IFERROR(AF199/INDEX(账户总表!$O:$O,COUNTA(账户总表!$A:$A)),0))</f>
        <v/>
      </c>
      <c r="AK199" s="1" t="str">
        <f aca="false">IF($A199="","",IFERROR(MAX(0,AJ199-INDEX(账户总表!$B:$B,COUNTA(账户总表!$A:$A)),AF199-INDEX(账户总表!$C:$C,COUNTA(账户总表!$A:$A))),0))</f>
        <v/>
      </c>
      <c r="AL199" s="1" t="str">
        <f aca="false">IF($A199="","",IF(COUNTIF(持仓表!$C$2:$C$201,C199)&gt;0,"已有","新标的"))</f>
        <v/>
      </c>
      <c r="AM199" s="1" t="str">
        <f aca="false">IF($A199="","",IFERROR(SUMIFS(持仓表!$N$2:$N$201,持仓表!$C$2:$C$201,C199,持仓表!$A$2:$A$201,$A199),0))</f>
        <v/>
      </c>
      <c r="AN199" s="1" t="str">
        <f aca="false">IF($A199="","",IFERROR(AM199+AF199/INDEX(账户总表!$B:$B,COUNTA(账户总表!$A:$A)),0))</f>
        <v/>
      </c>
      <c r="AO199" s="1" t="str">
        <f aca="false">IF($A199="","",IF(AN199&gt;INDEX(账户总表!$O:$O,COUNTA(账户总表!$A:$A)),"超限","合规"))</f>
        <v/>
      </c>
      <c r="AP199" s="1" t="str">
        <f aca="false">IF($A199="","",IF(AND(AL199="新标的",INDEX(账户总表!$R:$R,COUNTA(账户总表!$A:$A))&gt;=INDEX(账户总表!$S:$S,COUNTA(账户总表!$A:$A))),"新增受限","可通过"))</f>
        <v/>
      </c>
      <c r="AQ199" s="1" t="str">
        <f aca="false">IF($A199="","",IF(K199&lt;&gt;"核心池","非核心池",IF(OR(AI199="超限",AO199="超限",AP199="新增受限"),"不可加仓","可加仓")))</f>
        <v/>
      </c>
      <c r="AR199" s="1" t="str">
        <f aca="false">IF($A199="","",TRIM(IF(AI199="超限","1手超单股上限；","")&amp;IF(AO199="超限","买后仓位超限；","")&amp;IF(AP199="新增受限","有效持仓数超限；","")&amp;IF(AF199&gt;INDEX(账户总表!$C:$C,COUNTA(账户总表!$A:$A)),"现金不足；","")))</f>
        <v/>
      </c>
      <c r="AS199" s="1" t="str">
        <f aca="false">IF($A199="","",IFERROR(INDEX(候选池历史!$L:$L,MATCH(1,(候选池历史!$B:$B=C199)*(候选池历史!$A:$A=$A199),0)),0))</f>
        <v/>
      </c>
      <c r="AT199" s="1" t="str">
        <f aca="false">IF($A199="","",IF(AS199&gt;=3,"★信号强化",IF(K199="核心池","核心观察","")))</f>
        <v/>
      </c>
      <c r="AU199" s="1" t="str">
        <f aca="false">IF($A199="","",IF(AK199&gt;30000-INDEX(账户总表!$B:$B,COUNTA(账户总表!$A:$A)),"不适合婴儿阶段","可纳入幼儿路径"))</f>
        <v/>
      </c>
    </row>
    <row r="200" customFormat="false" ht="15" hidden="false" customHeight="true" outlineLevel="0" collapsed="false">
      <c r="A200" s="6"/>
      <c r="B200" s="6"/>
      <c r="C200" s="6"/>
      <c r="D200" s="17"/>
      <c r="E200" s="17"/>
      <c r="F200" s="17"/>
      <c r="G200" s="22"/>
      <c r="H200" s="6"/>
      <c r="I200" s="13"/>
      <c r="J200" s="6"/>
      <c r="K200" s="5" t="str">
        <f aca="false">IF($A200="","",IF(AND(G200&lt;45%,H200&gt;=0.9),"A",IF(AND(G200&lt;60%,H200&gt;0.8),"B","C")))</f>
        <v/>
      </c>
      <c r="L200" s="5" t="str">
        <f aca="false">IF($A200="","",IF(AND(G200&lt;60%,H200&gt;0.8,I200="True"),"是","否"))</f>
        <v/>
      </c>
      <c r="M200" s="5" t="str">
        <f aca="false">IF($A200="","",IF(AND(D200&gt;0,E200&gt;0,D200&lt;=E200*1.02),"是","否"))</f>
        <v/>
      </c>
      <c r="N200" s="19" t="n">
        <f aca="false">IFERROR(INDEX(账户总表!$O:$O,COUNTA(账户总表!$A:$A)),0)</f>
        <v>0.35</v>
      </c>
      <c r="O200" s="18" t="n">
        <f aca="false">IFERROR(INDEX(账户总表!$B:$B,COUNTA(账户总表!$A:$A))*N200,0)</f>
        <v>7294.812</v>
      </c>
      <c r="P200" s="21" t="n">
        <f aca="false">IFERROR(O200/D200,0)</f>
        <v>0</v>
      </c>
      <c r="Q200" s="21" t="n">
        <f aca="false">IFERROR(FLOOR(P200,100),0)</f>
        <v>0</v>
      </c>
      <c r="R200" s="21" t="n">
        <f aca="false">IFERROR(CEILING(800/(100*D200),1)*100,0)</f>
        <v>0</v>
      </c>
      <c r="S200" s="20"/>
      <c r="T200" s="18" t="n">
        <f aca="false">IFERROR(S200*D200,0)</f>
        <v>0</v>
      </c>
      <c r="U200" s="19" t="n">
        <f aca="false">IFERROR(T200/INDEX(账户总表!$B:$B,COUNTA(账户总表!$A:$A)),0)</f>
        <v>0</v>
      </c>
      <c r="V200" s="19" t="n">
        <f aca="false">IFERROR(INDEX(账户总表!$E:$E,COUNTA(账户总表!$A:$A))+U200,0)</f>
        <v>0.407056412146057</v>
      </c>
      <c r="W200" s="5" t="str">
        <f aca="false">IF($A200="","",IFERROR(IF(V200&lt;=INDEX(账户总表!$N:$N,COUNTA(账户总表!$A:$A)),"是","否"),"否"))</f>
        <v/>
      </c>
      <c r="X200" s="18" t="str">
        <f aca="false">IF($A200="","",MAX(F200*0.98,D200*0.92))</f>
        <v/>
      </c>
      <c r="Y200" s="6"/>
      <c r="Z200" s="5" t="str">
        <f aca="false">IF($A200="","",IFERROR(IF(AND(T200&gt;INDEX(账户总表!$C:$C,COUNTA(账户总表!$A:$A)),L200="是"),"是","否"),"否"))</f>
        <v/>
      </c>
      <c r="AA200" s="18" t="str">
        <f aca="false">IF($A200="","",IFERROR(IF(Z200="是",MAX(0,T200-INDEX(账户总表!$C:$C,COUNTA(账户总表!$A:$A)),IF(N200&gt;0,T200/N200-INDEX(账户总表!$B:$B,COUNTA(账户总表!$A:$A)),0)),0),0))</f>
        <v/>
      </c>
      <c r="AB200" s="18" t="str">
        <f aca="false">IF($A200="","",IF(AND(Z200="是",INDEX(账户总表!$U:$U,COUNTA(账户总表!$A:$A))="是"),IF(INDEX(账户总表!$L:$L,COUNTA(账户总表!$A:$A))&gt;=4,AA200*1.5,AA200),0))</f>
        <v/>
      </c>
      <c r="AC200" s="5" t="str">
        <f aca="false">IF($A200="","",IF(AND(L200="是",Q200&gt;=R200,S200&lt;=Q200,S200&gt;=R200,W200="是",X200&gt;0,M200="是",INDEX(账户总表!$M:$M,COUNTA(账户总表!$A:$A))&lt;=2,INDEX(账户总表!$V:$V,COUNTA(账户总表!$A:$A))="是",OR(T200&lt;=INDEX(账户总表!$C:$C,COUNTA(账户总表!$A:$A)),AND(Z200="是",INDEX(账户总表!$U:$U,COUNTA(账户总表!$A:$A))="是",AB200&gt;0))),"是","否"))</f>
        <v/>
      </c>
      <c r="AD200" s="5" t="str">
        <f aca="false">IF($A200="","",IF(L200&lt;&gt;"是","信号未确认",IF(X200&lt;=0,"止损价未定义",IF(Q200&lt;R200,"100股约束不满足",IF(S200&gt;Q200,"计划股数超单股上限",IF(S200&lt;R200,"计划股数低于最小门槛",IF(W200&lt;&gt;"是","总仓位超限",IF(M200&lt;&gt;"是","追价",IF(INDEX(账户总表!$M:$M,COUNTA(账户总表!$A:$A))&gt;2,"亏钱效应偏高",IF(INDEX(账户总表!$V:$V,COUNTA(账户总表!$A:$A))&lt;&gt;"是","账户不允许新开仓",IF(AND(T200&gt;INDEX(账户总表!$C:$C,COUNTA(账户总表!$A:$A)),INDEX(账户总表!$U:$U,COUNTA(账户总表!$A:$A))&lt;&gt;"是"),"现金不足且不允许转入",IF(AND(Z200="是",AB200&lt;=0),"转入金额未满足",""))))))))))))</f>
        <v/>
      </c>
      <c r="AE200" s="6"/>
      <c r="AF200" s="1" t="str">
        <f aca="false">IF($A200="","",D200*100)</f>
        <v/>
      </c>
      <c r="AG200" s="1" t="str">
        <f aca="false">IF($A200="","",IFERROR(AF200/INDEX(账户总表!$B:$B,COUNTA(账户总表!$A:$A)),0))</f>
        <v/>
      </c>
      <c r="AH200" s="1" t="str">
        <f aca="false">IF($A200="","",IFERROR(INDEX(账户总表!$B:$B,COUNTA(账户总表!$A:$A))*INDEX(账户总表!$O:$O,COUNTA(账户总表!$A:$A)),0))</f>
        <v/>
      </c>
      <c r="AI200" s="1" t="str">
        <f aca="false">IF($A200="","",IF(AF200&gt;AH200,"超限","合规"))</f>
        <v/>
      </c>
      <c r="AJ200" s="1" t="str">
        <f aca="false">IF($A200="","",IFERROR(AF200/INDEX(账户总表!$O:$O,COUNTA(账户总表!$A:$A)),0))</f>
        <v/>
      </c>
      <c r="AK200" s="1" t="str">
        <f aca="false">IF($A200="","",IFERROR(MAX(0,AJ200-INDEX(账户总表!$B:$B,COUNTA(账户总表!$A:$A)),AF200-INDEX(账户总表!$C:$C,COUNTA(账户总表!$A:$A))),0))</f>
        <v/>
      </c>
      <c r="AL200" s="1" t="str">
        <f aca="false">IF($A200="","",IF(COUNTIF(持仓表!$C$2:$C$201,C200)&gt;0,"已有","新标的"))</f>
        <v/>
      </c>
      <c r="AM200" s="1" t="str">
        <f aca="false">IF($A200="","",IFERROR(SUMIFS(持仓表!$N$2:$N$201,持仓表!$C$2:$C$201,C200,持仓表!$A$2:$A$201,$A200),0))</f>
        <v/>
      </c>
      <c r="AN200" s="1" t="str">
        <f aca="false">IF($A200="","",IFERROR(AM200+AF200/INDEX(账户总表!$B:$B,COUNTA(账户总表!$A:$A)),0))</f>
        <v/>
      </c>
      <c r="AO200" s="1" t="str">
        <f aca="false">IF($A200="","",IF(AN200&gt;INDEX(账户总表!$O:$O,COUNTA(账户总表!$A:$A)),"超限","合规"))</f>
        <v/>
      </c>
      <c r="AP200" s="1" t="str">
        <f aca="false">IF($A200="","",IF(AND(AL200="新标的",INDEX(账户总表!$R:$R,COUNTA(账户总表!$A:$A))&gt;=INDEX(账户总表!$S:$S,COUNTA(账户总表!$A:$A))),"新增受限","可通过"))</f>
        <v/>
      </c>
      <c r="AQ200" s="1" t="str">
        <f aca="false">IF($A200="","",IF(K200&lt;&gt;"核心池","非核心池",IF(OR(AI200="超限",AO200="超限",AP200="新增受限"),"不可加仓","可加仓")))</f>
        <v/>
      </c>
      <c r="AR200" s="1" t="str">
        <f aca="false">IF($A200="","",TRIM(IF(AI200="超限","1手超单股上限；","")&amp;IF(AO200="超限","买后仓位超限；","")&amp;IF(AP200="新增受限","有效持仓数超限；","")&amp;IF(AF200&gt;INDEX(账户总表!$C:$C,COUNTA(账户总表!$A:$A)),"现金不足；","")))</f>
        <v/>
      </c>
      <c r="AS200" s="1" t="str">
        <f aca="false">IF($A200="","",IFERROR(INDEX(候选池历史!$L:$L,MATCH(1,(候选池历史!$B:$B=C200)*(候选池历史!$A:$A=$A200),0)),0))</f>
        <v/>
      </c>
      <c r="AT200" s="1" t="str">
        <f aca="false">IF($A200="","",IF(AS200&gt;=3,"★信号强化",IF(K200="核心池","核心观察","")))</f>
        <v/>
      </c>
      <c r="AU200" s="1" t="str">
        <f aca="false">IF($A200="","",IF(AK200&gt;30000-INDEX(账户总表!$B:$B,COUNTA(账户总表!$A:$A)),"不适合婴儿阶段","可纳入幼儿路径"))</f>
        <v/>
      </c>
    </row>
    <row r="201" customFormat="false" ht="15" hidden="false" customHeight="true" outlineLevel="0" collapsed="false">
      <c r="A201" s="9"/>
      <c r="B201" s="9"/>
      <c r="C201" s="9"/>
      <c r="D201" s="26"/>
      <c r="E201" s="26"/>
      <c r="F201" s="26"/>
      <c r="G201" s="28"/>
      <c r="H201" s="9"/>
      <c r="I201" s="14"/>
      <c r="J201" s="9"/>
      <c r="K201" s="5" t="str">
        <f aca="false">IF($A201="","",IF(AND(G201&lt;45%,H201&gt;=0.9),"A",IF(AND(G201&lt;60%,H201&gt;0.8),"B","C")))</f>
        <v/>
      </c>
      <c r="L201" s="5" t="str">
        <f aca="false">IF($A201="","",IF(AND(G201&lt;60%,H201&gt;0.8,I201="True"),"是","否"))</f>
        <v/>
      </c>
      <c r="M201" s="5" t="str">
        <f aca="false">IF($A201="","",IF(AND(D201&gt;0,E201&gt;0,D201&lt;=E201*1.02),"是","否"))</f>
        <v/>
      </c>
      <c r="N201" s="19" t="n">
        <f aca="false">IFERROR(INDEX(账户总表!$O:$O,COUNTA(账户总表!$A:$A)),0)</f>
        <v>0.35</v>
      </c>
      <c r="O201" s="18" t="n">
        <f aca="false">IFERROR(INDEX(账户总表!$B:$B,COUNTA(账户总表!$A:$A))*N201,0)</f>
        <v>7294.812</v>
      </c>
      <c r="P201" s="21" t="n">
        <f aca="false">IFERROR(O201/D201,0)</f>
        <v>0</v>
      </c>
      <c r="Q201" s="21" t="n">
        <f aca="false">IFERROR(FLOOR(P201,100),0)</f>
        <v>0</v>
      </c>
      <c r="R201" s="21" t="n">
        <f aca="false">IFERROR(CEILING(800/(100*D201),1)*100,0)</f>
        <v>0</v>
      </c>
      <c r="S201" s="27"/>
      <c r="T201" s="18" t="n">
        <f aca="false">IFERROR(S201*D201,0)</f>
        <v>0</v>
      </c>
      <c r="U201" s="19" t="n">
        <f aca="false">IFERROR(T201/INDEX(账户总表!$B:$B,COUNTA(账户总表!$A:$A)),0)</f>
        <v>0</v>
      </c>
      <c r="V201" s="19" t="n">
        <f aca="false">IFERROR(INDEX(账户总表!$E:$E,COUNTA(账户总表!$A:$A))+U201,0)</f>
        <v>0.407056412146057</v>
      </c>
      <c r="W201" s="5" t="str">
        <f aca="false">IF($A201="","",IFERROR(IF(V201&lt;=INDEX(账户总表!$N:$N,COUNTA(账户总表!$A:$A)),"是","否"),"否"))</f>
        <v/>
      </c>
      <c r="X201" s="18" t="str">
        <f aca="false">IF($A201="","",MAX(F201*0.98,D201*0.92))</f>
        <v/>
      </c>
      <c r="Y201" s="9"/>
      <c r="Z201" s="5" t="str">
        <f aca="false">IF($A201="","",IFERROR(IF(AND(T201&gt;INDEX(账户总表!$C:$C,COUNTA(账户总表!$A:$A)),L201="是"),"是","否"),"否"))</f>
        <v/>
      </c>
      <c r="AA201" s="18" t="str">
        <f aca="false">IF($A201="","",IFERROR(IF(Z201="是",MAX(0,T201-INDEX(账户总表!$C:$C,COUNTA(账户总表!$A:$A)),IF(N201&gt;0,T201/N201-INDEX(账户总表!$B:$B,COUNTA(账户总表!$A:$A)),0)),0),0))</f>
        <v/>
      </c>
      <c r="AB201" s="18" t="str">
        <f aca="false">IF($A201="","",IF(AND(Z201="是",INDEX(账户总表!$U:$U,COUNTA(账户总表!$A:$A))="是"),IF(INDEX(账户总表!$L:$L,COUNTA(账户总表!$A:$A))&gt;=4,AA201*1.5,AA201),0))</f>
        <v/>
      </c>
      <c r="AC201" s="5" t="str">
        <f aca="false">IF($A201="","",IF(AND(L201="是",Q201&gt;=R201,S201&lt;=Q201,S201&gt;=R201,W201="是",X201&gt;0,M201="是",INDEX(账户总表!$M:$M,COUNTA(账户总表!$A:$A))&lt;=2,INDEX(账户总表!$V:$V,COUNTA(账户总表!$A:$A))="是",OR(T201&lt;=INDEX(账户总表!$C:$C,COUNTA(账户总表!$A:$A)),AND(Z201="是",INDEX(账户总表!$U:$U,COUNTA(账户总表!$A:$A))="是",AB201&gt;0))),"是","否"))</f>
        <v/>
      </c>
      <c r="AD201" s="5" t="str">
        <f aca="false">IF($A201="","",IF(L201&lt;&gt;"是","信号未确认",IF(X201&lt;=0,"止损价未定义",IF(Q201&lt;R201,"100股约束不满足",IF(S201&gt;Q201,"计划股数超单股上限",IF(S201&lt;R201,"计划股数低于最小门槛",IF(W201&lt;&gt;"是","总仓位超限",IF(M201&lt;&gt;"是","追价",IF(INDEX(账户总表!$M:$M,COUNTA(账户总表!$A:$A))&gt;2,"亏钱效应偏高",IF(INDEX(账户总表!$V:$V,COUNTA(账户总表!$A:$A))&lt;&gt;"是","账户不允许新开仓",IF(AND(T201&gt;INDEX(账户总表!$C:$C,COUNTA(账户总表!$A:$A)),INDEX(账户总表!$U:$U,COUNTA(账户总表!$A:$A))&lt;&gt;"是"),"现金不足且不允许转入",IF(AND(Z201="是",AB201&lt;=0),"转入金额未满足",""))))))))))))</f>
        <v/>
      </c>
      <c r="AE201" s="9"/>
    </row>
  </sheetData>
  <sheetProtection sheet="true" password="c42e"/>
  <autoFilter ref="A1:AE201"/>
  <conditionalFormatting sqref="L2:L201">
    <cfRule type="expression" priority="2" aboveAverage="0" equalAverage="0" bottom="0" percent="0" rank="0" text="" dxfId="6">
      <formula>L2="是"</formula>
    </cfRule>
    <cfRule type="expression" priority="3" aboveAverage="0" equalAverage="0" bottom="0" percent="0" rank="0" text="" dxfId="7">
      <formula>L2="否"</formula>
    </cfRule>
  </conditionalFormatting>
  <conditionalFormatting sqref="M2:M201">
    <cfRule type="expression" priority="4" aboveAverage="0" equalAverage="0" bottom="0" percent="0" rank="0" text="" dxfId="6">
      <formula>M2="是"</formula>
    </cfRule>
    <cfRule type="expression" priority="5" aboveAverage="0" equalAverage="0" bottom="0" percent="0" rank="0" text="" dxfId="7">
      <formula>M2="否"</formula>
    </cfRule>
  </conditionalFormatting>
  <conditionalFormatting sqref="W2:W201">
    <cfRule type="expression" priority="6" aboveAverage="0" equalAverage="0" bottom="0" percent="0" rank="0" text="" dxfId="6">
      <formula>W2="是"</formula>
    </cfRule>
    <cfRule type="expression" priority="7" aboveAverage="0" equalAverage="0" bottom="0" percent="0" rank="0" text="" dxfId="7">
      <formula>W2="否"</formula>
    </cfRule>
  </conditionalFormatting>
  <conditionalFormatting sqref="AC2:AC201">
    <cfRule type="expression" priority="8" aboveAverage="0" equalAverage="0" bottom="0" percent="0" rank="0" text="" dxfId="6">
      <formula>AC2="是"</formula>
    </cfRule>
    <cfRule type="expression" priority="9" aboveAverage="0" equalAverage="0" bottom="0" percent="0" rank="0" text="" dxfId="7">
      <formula>AC2="否"</formula>
    </cfRule>
  </conditionalFormatting>
  <conditionalFormatting sqref="Z2:Z201">
    <cfRule type="expression" priority="10" aboveAverage="0" equalAverage="0" bottom="0" percent="0" rank="0" text="" dxfId="7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2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460</v>
      </c>
      <c r="B1" s="2" t="s">
        <v>319</v>
      </c>
      <c r="C1" s="2" t="s">
        <v>320</v>
      </c>
      <c r="D1" s="2" t="s">
        <v>461</v>
      </c>
      <c r="E1" s="2" t="s">
        <v>462</v>
      </c>
      <c r="F1" s="2" t="s">
        <v>463</v>
      </c>
      <c r="G1" s="2" t="s">
        <v>464</v>
      </c>
      <c r="H1" s="2" t="s">
        <v>465</v>
      </c>
      <c r="I1" s="2" t="s">
        <v>466</v>
      </c>
      <c r="J1" s="2" t="s">
        <v>467</v>
      </c>
      <c r="K1" s="2" t="s">
        <v>468</v>
      </c>
      <c r="L1" s="2" t="s">
        <v>469</v>
      </c>
      <c r="M1" s="2" t="s">
        <v>470</v>
      </c>
      <c r="N1" s="2" t="s">
        <v>471</v>
      </c>
      <c r="O1" s="2" t="s">
        <v>472</v>
      </c>
      <c r="P1" s="2" t="s">
        <v>473</v>
      </c>
      <c r="Q1" s="2" t="s">
        <v>474</v>
      </c>
      <c r="R1" s="2" t="s">
        <v>475</v>
      </c>
      <c r="S1" s="2" t="s">
        <v>476</v>
      </c>
      <c r="T1" s="2" t="s">
        <v>477</v>
      </c>
      <c r="U1" s="2" t="s">
        <v>6</v>
      </c>
      <c r="V1" s="80" t="s">
        <v>478</v>
      </c>
      <c r="W1" s="80" t="s">
        <v>479</v>
      </c>
      <c r="X1" s="81" t="s">
        <v>480</v>
      </c>
      <c r="Y1" s="80" t="s">
        <v>481</v>
      </c>
      <c r="Z1" s="80" t="s">
        <v>482</v>
      </c>
      <c r="AA1" s="80" t="s">
        <v>483</v>
      </c>
    </row>
    <row r="2" customFormat="false" ht="15" hidden="false" customHeight="true" outlineLevel="0" collapsed="false">
      <c r="A2" s="13" t="s">
        <v>484</v>
      </c>
      <c r="B2" s="6" t="s">
        <v>485</v>
      </c>
      <c r="C2" s="13" t="s">
        <v>486</v>
      </c>
      <c r="D2" s="6" t="s">
        <v>487</v>
      </c>
      <c r="E2" s="6" t="s">
        <v>400</v>
      </c>
      <c r="F2" s="17" t="n">
        <v>26.66</v>
      </c>
      <c r="G2" s="20" t="n">
        <v>100</v>
      </c>
      <c r="H2" s="18" t="n">
        <v>2666</v>
      </c>
      <c r="I2" s="17"/>
      <c r="J2" s="20"/>
      <c r="K2" s="19"/>
      <c r="L2" s="17"/>
      <c r="M2" s="6"/>
      <c r="N2" s="13"/>
      <c r="O2" s="6" t="s">
        <v>488</v>
      </c>
      <c r="P2" s="13"/>
      <c r="Q2" s="6"/>
      <c r="R2" s="22"/>
      <c r="S2" s="13"/>
      <c r="T2" s="13"/>
      <c r="U2" s="6"/>
      <c r="V2" s="1" t="str">
        <f aca="false">IF($A2="","",IF(OR(D2="卖出",D2="分红"),IFERROR(INDEX($F$2:$F1,MATCH(2,1/($C$2:$C1=$C2))),""),""))</f>
        <v/>
      </c>
      <c r="W2" s="82" t="n">
        <f aca="false">IF($A2="","",IF(D2="买入",IF(AND(ISNUMBER(L2),L2&gt;0),(F2-L2)*G2,0),0))</f>
        <v>0</v>
      </c>
      <c r="X2" s="83" t="n">
        <v>0</v>
      </c>
      <c r="Y2" s="83" t="n">
        <v>0</v>
      </c>
      <c r="Z2" s="1" t="str">
        <f aca="false">IF($A2="","",IF(X2&gt;0,"胜1",IF(X2&lt;0,"亏1","平")))</f>
        <v>平</v>
      </c>
      <c r="AA2" s="84" t="n">
        <f aca="false">IF($A2="","",0)</f>
        <v>0</v>
      </c>
    </row>
    <row r="3" customFormat="false" ht="15" hidden="false" customHeight="true" outlineLevel="0" collapsed="false">
      <c r="A3" s="14" t="s">
        <v>489</v>
      </c>
      <c r="B3" s="9" t="s">
        <v>490</v>
      </c>
      <c r="C3" s="14" t="s">
        <v>491</v>
      </c>
      <c r="D3" s="9" t="s">
        <v>487</v>
      </c>
      <c r="E3" s="9" t="s">
        <v>400</v>
      </c>
      <c r="F3" s="26" t="n">
        <v>6.19</v>
      </c>
      <c r="G3" s="27" t="n">
        <v>800</v>
      </c>
      <c r="H3" s="18" t="n">
        <v>4952</v>
      </c>
      <c r="I3" s="26"/>
      <c r="J3" s="27"/>
      <c r="K3" s="19"/>
      <c r="L3" s="26"/>
      <c r="M3" s="9"/>
      <c r="N3" s="14"/>
      <c r="O3" s="9" t="s">
        <v>488</v>
      </c>
      <c r="P3" s="14"/>
      <c r="Q3" s="9"/>
      <c r="R3" s="28"/>
      <c r="S3" s="14"/>
      <c r="T3" s="14"/>
      <c r="U3" s="9"/>
      <c r="V3" s="1" t="str">
        <f aca="false">IF($A3="","",IF(OR(D3="卖出",D3="分红"),IFERROR(INDEX($F$2:$F2,MATCH(2,1/($C$2:$C2=$C3))),""),""))</f>
        <v/>
      </c>
      <c r="W3" s="82" t="n">
        <f aca="false">IF($A3="","",IF(D3="买入",IF(AND(ISNUMBER(L3),L3&gt;0),(F3-L3)*G3,0),0))</f>
        <v>0</v>
      </c>
      <c r="X3" s="83" t="n">
        <v>0</v>
      </c>
      <c r="Y3" s="83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4" t="n">
        <f aca="false">IF($A3="","",MAX(0,(MAX($Y$2:Y3)-Y3)/MAX(1,MAX($Y$2:Y3))))</f>
        <v>0</v>
      </c>
    </row>
    <row r="4" customFormat="false" ht="15" hidden="false" customHeight="true" outlineLevel="0" collapsed="false">
      <c r="A4" s="13" t="s">
        <v>492</v>
      </c>
      <c r="B4" s="6" t="s">
        <v>485</v>
      </c>
      <c r="C4" s="13" t="s">
        <v>486</v>
      </c>
      <c r="D4" s="6" t="s">
        <v>493</v>
      </c>
      <c r="E4" s="6" t="s">
        <v>494</v>
      </c>
      <c r="F4" s="17" t="n">
        <v>26.193</v>
      </c>
      <c r="G4" s="20" t="n">
        <v>100</v>
      </c>
      <c r="H4" s="18" t="n">
        <v>2619.3</v>
      </c>
      <c r="I4" s="17"/>
      <c r="J4" s="20"/>
      <c r="K4" s="19"/>
      <c r="L4" s="17"/>
      <c r="M4" s="6"/>
      <c r="N4" s="13"/>
      <c r="O4" s="6" t="s">
        <v>495</v>
      </c>
      <c r="P4" s="13"/>
      <c r="Q4" s="6"/>
      <c r="R4" s="22"/>
      <c r="S4" s="13"/>
      <c r="T4" s="13"/>
      <c r="U4" s="6"/>
      <c r="V4" s="25" t="n">
        <f aca="false">IF($A4="","",IF(OR(D4="卖出",D4="分红"),IFERROR(INDEX($F$2:$F3,MATCH(2,1/($C$2:$C3=$C4))),""),""))</f>
        <v>26.66</v>
      </c>
      <c r="W4" s="82" t="n">
        <f aca="false">IF($A4="","",IF(D4="买入",IF(AND(ISNUMBER(L4),L4&gt;0),(F4-L4)*G4,0),0))</f>
        <v>0</v>
      </c>
      <c r="X4" s="83" t="n">
        <v>-0.350338</v>
      </c>
      <c r="Y4" s="83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4" t="n">
        <f aca="false">IF($A4="","",MAX(0,(MAX($Y$2:Y4)-Y4)/MAX(1,MAX($Y$2:Y4))))</f>
        <v>0.350338</v>
      </c>
    </row>
    <row r="5" customFormat="false" ht="15" hidden="false" customHeight="true" outlineLevel="0" collapsed="false">
      <c r="A5" s="14" t="s">
        <v>496</v>
      </c>
      <c r="B5" s="9" t="s">
        <v>490</v>
      </c>
      <c r="C5" s="14" t="s">
        <v>491</v>
      </c>
      <c r="D5" s="9" t="s">
        <v>493</v>
      </c>
      <c r="E5" s="9" t="s">
        <v>494</v>
      </c>
      <c r="F5" s="26" t="n">
        <v>9.001</v>
      </c>
      <c r="G5" s="27" t="n">
        <v>800</v>
      </c>
      <c r="H5" s="18" t="n">
        <v>7200.8</v>
      </c>
      <c r="I5" s="26"/>
      <c r="J5" s="27"/>
      <c r="K5" s="19"/>
      <c r="L5" s="26"/>
      <c r="M5" s="9"/>
      <c r="N5" s="14"/>
      <c r="O5" s="9" t="s">
        <v>497</v>
      </c>
      <c r="P5" s="14"/>
      <c r="Q5" s="9"/>
      <c r="R5" s="28"/>
      <c r="S5" s="14"/>
      <c r="T5" s="14"/>
      <c r="U5" s="9"/>
      <c r="V5" s="25" t="n">
        <f aca="false">IF($A5="","",IF(OR(D5="卖出",D5="分红"),IFERROR(INDEX($F$2:$F4,MATCH(2,1/($C$2:$C4=$C5))),""),""))</f>
        <v>6.19</v>
      </c>
      <c r="W5" s="82" t="n">
        <f aca="false">IF($A5="","",IF(D5="买入",IF(AND(ISNUMBER(L5),L5&gt;0),(F5-L5)*G5,0),0))</f>
        <v>0</v>
      </c>
      <c r="X5" s="83" t="n">
        <v>9.082391</v>
      </c>
      <c r="Y5" s="83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4" t="n">
        <f aca="false">IF($A5="","",MAX(0,(MAX($Y$2:Y5)-Y5)/MAX(1,MAX($Y$2:Y5))))</f>
        <v>0</v>
      </c>
    </row>
    <row r="6" customFormat="false" ht="15" hidden="false" customHeight="true" outlineLevel="0" collapsed="false">
      <c r="A6" s="13" t="s">
        <v>498</v>
      </c>
      <c r="B6" s="6" t="s">
        <v>499</v>
      </c>
      <c r="C6" s="13" t="s">
        <v>500</v>
      </c>
      <c r="D6" s="6" t="s">
        <v>487</v>
      </c>
      <c r="E6" s="6" t="s">
        <v>400</v>
      </c>
      <c r="F6" s="17" t="n">
        <v>78.81</v>
      </c>
      <c r="G6" s="20" t="n">
        <v>300</v>
      </c>
      <c r="H6" s="18" t="n">
        <v>23643</v>
      </c>
      <c r="I6" s="17"/>
      <c r="J6" s="20"/>
      <c r="K6" s="19"/>
      <c r="L6" s="17"/>
      <c r="M6" s="6"/>
      <c r="N6" s="13"/>
      <c r="O6" s="6" t="s">
        <v>501</v>
      </c>
      <c r="P6" s="13"/>
      <c r="Q6" s="6"/>
      <c r="R6" s="22"/>
      <c r="S6" s="13"/>
      <c r="T6" s="13"/>
      <c r="U6" s="6"/>
      <c r="V6" s="1" t="str">
        <f aca="false">IF($A6="","",IF(OR(D6="卖出",D6="分红"),IFERROR(INDEX($F$2:$F5,MATCH(2,1/($C$2:$C5=$C6))),""),""))</f>
        <v/>
      </c>
      <c r="W6" s="82" t="n">
        <f aca="false">IF($A6="","",IF(D6="买入",IF(AND(ISNUMBER(L6),L6&gt;0),(F6-L6)*G6,0),0))</f>
        <v>0</v>
      </c>
      <c r="X6" s="83" t="n">
        <v>0</v>
      </c>
      <c r="Y6" s="83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4" t="n">
        <f aca="false">IF($A6="","",MAX(0,(MAX($Y$2:Y6)-Y6)/MAX(1,MAX($Y$2:Y6))))</f>
        <v>0</v>
      </c>
    </row>
    <row r="7" customFormat="false" ht="15" hidden="false" customHeight="true" outlineLevel="0" collapsed="false">
      <c r="A7" s="14" t="s">
        <v>502</v>
      </c>
      <c r="B7" s="9" t="s">
        <v>499</v>
      </c>
      <c r="C7" s="14" t="s">
        <v>500</v>
      </c>
      <c r="D7" s="9" t="s">
        <v>493</v>
      </c>
      <c r="E7" s="9" t="s">
        <v>503</v>
      </c>
      <c r="F7" s="26" t="n">
        <v>85</v>
      </c>
      <c r="G7" s="27" t="n">
        <v>300</v>
      </c>
      <c r="H7" s="18" t="n">
        <v>25500</v>
      </c>
      <c r="I7" s="26"/>
      <c r="J7" s="27"/>
      <c r="K7" s="19"/>
      <c r="L7" s="26"/>
      <c r="M7" s="9"/>
      <c r="N7" s="14"/>
      <c r="O7" s="14" t="s">
        <v>504</v>
      </c>
      <c r="P7" s="14"/>
      <c r="Q7" s="9"/>
      <c r="R7" s="28"/>
      <c r="S7" s="14"/>
      <c r="T7" s="14"/>
      <c r="U7" s="9"/>
      <c r="V7" s="25" t="str">
        <f aca="false">IF($A7="","",IF(OR(D7="卖出",D7="分红"),IFERROR(INDEX($F$2:$F6,MATCH(2,1/($C$2:$C6=$C7))),""),""))</f>
        <v/>
      </c>
      <c r="W7" s="82" t="n">
        <f aca="false">IF($A7="","",IF(D7="买入",IF(AND(ISNUMBER(L7),L7&gt;0),(F7-L7)*G7,0),0))</f>
        <v>0</v>
      </c>
      <c r="X7" s="83" t="n">
        <v>1.570867</v>
      </c>
      <c r="Y7" s="83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4" t="n">
        <f aca="false">IF($A7="","",MAX(0,(MAX($Y$2:Y7)-Y7)/MAX(1,MAX($Y$2:Y7))))</f>
        <v>0</v>
      </c>
    </row>
    <row r="8" customFormat="false" ht="15" hidden="false" customHeight="true" outlineLevel="0" collapsed="false">
      <c r="A8" s="13" t="s">
        <v>502</v>
      </c>
      <c r="B8" s="6" t="s">
        <v>499</v>
      </c>
      <c r="C8" s="13" t="s">
        <v>500</v>
      </c>
      <c r="D8" s="6" t="s">
        <v>487</v>
      </c>
      <c r="E8" s="6" t="s">
        <v>503</v>
      </c>
      <c r="F8" s="17" t="n">
        <v>83</v>
      </c>
      <c r="G8" s="20" t="n">
        <v>300</v>
      </c>
      <c r="H8" s="18" t="n">
        <v>24900</v>
      </c>
      <c r="I8" s="17"/>
      <c r="J8" s="20"/>
      <c r="K8" s="19"/>
      <c r="L8" s="17"/>
      <c r="M8" s="6"/>
      <c r="N8" s="13"/>
      <c r="O8" s="13" t="s">
        <v>505</v>
      </c>
      <c r="P8" s="13"/>
      <c r="Q8" s="6"/>
      <c r="R8" s="22"/>
      <c r="S8" s="13"/>
      <c r="T8" s="13"/>
      <c r="U8" s="6"/>
      <c r="V8" s="1" t="str">
        <f aca="false">IF($A8="","",IF(OR(D8="卖出",D8="分红"),IFERROR(INDEX($F$2:$F7,MATCH(2,1/($C$2:$C7=$C8))),""),""))</f>
        <v/>
      </c>
      <c r="W8" s="82" t="n">
        <f aca="false">IF($A8="","",IF(D8="买入",IF(AND(ISNUMBER(L8),L8&gt;0),(F8-L8)*G8,0),0))</f>
        <v>0</v>
      </c>
      <c r="X8" s="83" t="n">
        <v>0</v>
      </c>
      <c r="Y8" s="83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4" t="n">
        <f aca="false">IF($A8="","",MAX(0,(MAX($Y$2:Y8)-Y8)/MAX(1,MAX($Y$2:Y8))))</f>
        <v>0</v>
      </c>
    </row>
    <row r="9" customFormat="false" ht="15" hidden="false" customHeight="true" outlineLevel="0" collapsed="false">
      <c r="A9" s="14" t="s">
        <v>506</v>
      </c>
      <c r="B9" s="9" t="s">
        <v>499</v>
      </c>
      <c r="C9" s="14" t="s">
        <v>500</v>
      </c>
      <c r="D9" s="9" t="s">
        <v>493</v>
      </c>
      <c r="E9" s="9" t="s">
        <v>503</v>
      </c>
      <c r="F9" s="26" t="n">
        <v>95</v>
      </c>
      <c r="G9" s="27" t="n">
        <v>300</v>
      </c>
      <c r="H9" s="18" t="n">
        <v>28500</v>
      </c>
      <c r="I9" s="26"/>
      <c r="J9" s="27"/>
      <c r="K9" s="19"/>
      <c r="L9" s="26"/>
      <c r="M9" s="9"/>
      <c r="N9" s="14"/>
      <c r="O9" s="14" t="s">
        <v>504</v>
      </c>
      <c r="P9" s="14"/>
      <c r="Q9" s="9"/>
      <c r="R9" s="28"/>
      <c r="S9" s="14"/>
      <c r="T9" s="14"/>
      <c r="U9" s="9"/>
      <c r="V9" s="25" t="str">
        <f aca="false">IF($A9="","",IF(OR(D9="卖出",D9="分红"),IFERROR(INDEX($F$2:$F8,MATCH(2,1/($C$2:$C8=$C9))),""),""))</f>
        <v/>
      </c>
      <c r="W9" s="82" t="n">
        <f aca="false">IF($A9="","",IF(D9="买入",IF(AND(ISNUMBER(L9),L9&gt;0),(F9-L9)*G9,0),0))</f>
        <v>0</v>
      </c>
      <c r="X9" s="83" t="n">
        <v>2.891566</v>
      </c>
      <c r="Y9" s="83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4" t="n">
        <f aca="false">IF($A9="","",MAX(0,(MAX($Y$2:Y9)-Y9)/MAX(1,MAX($Y$2:Y9))))</f>
        <v>0</v>
      </c>
    </row>
    <row r="10" customFormat="false" ht="15" hidden="false" customHeight="true" outlineLevel="0" collapsed="false">
      <c r="A10" s="13" t="s">
        <v>506</v>
      </c>
      <c r="B10" s="6" t="s">
        <v>499</v>
      </c>
      <c r="C10" s="13" t="s">
        <v>500</v>
      </c>
      <c r="D10" s="6" t="s">
        <v>487</v>
      </c>
      <c r="E10" s="6" t="s">
        <v>503</v>
      </c>
      <c r="F10" s="17" t="n">
        <v>93</v>
      </c>
      <c r="G10" s="20" t="n">
        <v>300</v>
      </c>
      <c r="H10" s="18" t="n">
        <v>27900</v>
      </c>
      <c r="I10" s="17"/>
      <c r="J10" s="20"/>
      <c r="K10" s="19"/>
      <c r="L10" s="17"/>
      <c r="M10" s="6"/>
      <c r="N10" s="13"/>
      <c r="O10" s="13" t="s">
        <v>505</v>
      </c>
      <c r="P10" s="13"/>
      <c r="Q10" s="6"/>
      <c r="R10" s="22"/>
      <c r="S10" s="13"/>
      <c r="T10" s="13"/>
      <c r="U10" s="6"/>
      <c r="V10" s="1" t="str">
        <f aca="false">IF($A10="","",IF(OR(D10="卖出",D10="分红"),IFERROR(INDEX($F$2:$F9,MATCH(2,1/($C$2:$C9=$C10))),""),""))</f>
        <v/>
      </c>
      <c r="W10" s="82" t="n">
        <f aca="false">IF($A10="","",IF(D10="买入",IF(AND(ISNUMBER(L10),L10&gt;0),(F10-L10)*G10,0),0))</f>
        <v>0</v>
      </c>
      <c r="X10" s="83" t="n">
        <v>0</v>
      </c>
      <c r="Y10" s="83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4" t="n">
        <f aca="false">IF($A10="","",MAX(0,(MAX($Y$2:Y10)-Y10)/MAX(1,MAX($Y$2:Y10))))</f>
        <v>0</v>
      </c>
    </row>
    <row r="11" customFormat="false" ht="15" hidden="false" customHeight="true" outlineLevel="0" collapsed="false">
      <c r="A11" s="14" t="s">
        <v>507</v>
      </c>
      <c r="B11" s="9" t="s">
        <v>499</v>
      </c>
      <c r="C11" s="14" t="s">
        <v>500</v>
      </c>
      <c r="D11" s="9" t="s">
        <v>493</v>
      </c>
      <c r="E11" s="9" t="s">
        <v>494</v>
      </c>
      <c r="F11" s="26" t="n">
        <v>101.947</v>
      </c>
      <c r="G11" s="27" t="n">
        <v>300</v>
      </c>
      <c r="H11" s="18" t="n">
        <v>30584.1</v>
      </c>
      <c r="I11" s="26"/>
      <c r="J11" s="27"/>
      <c r="K11" s="19"/>
      <c r="L11" s="26"/>
      <c r="M11" s="9"/>
      <c r="N11" s="14"/>
      <c r="O11" s="9" t="s">
        <v>508</v>
      </c>
      <c r="P11" s="14"/>
      <c r="Q11" s="9"/>
      <c r="R11" s="28"/>
      <c r="S11" s="14"/>
      <c r="T11" s="14"/>
      <c r="U11" s="9"/>
      <c r="V11" s="25" t="n">
        <f aca="false">IF($A11="","",IF(OR(D11="卖出",D11="分红"),IFERROR(INDEX($F$2:$F10,MATCH(2,1/($C$2:$C10=$C11))),""),""))</f>
        <v>93</v>
      </c>
      <c r="W11" s="82" t="n">
        <f aca="false">IF($A11="","",IF(D11="买入",IF(AND(ISNUMBER(L11),L11&gt;0),(F11-L11)*G11,0),0))</f>
        <v>0</v>
      </c>
      <c r="X11" s="83" t="n">
        <v>1.924086</v>
      </c>
      <c r="Y11" s="83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4" t="n">
        <f aca="false">IF($A11="","",MAX(0,(MAX($Y$2:Y11)-Y11)/MAX(1,MAX($Y$2:Y11))))</f>
        <v>0</v>
      </c>
    </row>
    <row r="12" customFormat="false" ht="15" hidden="false" customHeight="true" outlineLevel="0" collapsed="false">
      <c r="A12" s="13" t="s">
        <v>509</v>
      </c>
      <c r="B12" s="6" t="s">
        <v>510</v>
      </c>
      <c r="C12" s="13" t="s">
        <v>511</v>
      </c>
      <c r="D12" s="6" t="s">
        <v>487</v>
      </c>
      <c r="E12" s="6" t="s">
        <v>400</v>
      </c>
      <c r="F12" s="17" t="n">
        <v>27.983</v>
      </c>
      <c r="G12" s="20" t="n">
        <v>300</v>
      </c>
      <c r="H12" s="18" t="n">
        <v>8394.9</v>
      </c>
      <c r="I12" s="17"/>
      <c r="J12" s="20"/>
      <c r="K12" s="19"/>
      <c r="L12" s="17"/>
      <c r="M12" s="6"/>
      <c r="N12" s="13"/>
      <c r="O12" s="6" t="s">
        <v>512</v>
      </c>
      <c r="P12" s="13"/>
      <c r="Q12" s="6"/>
      <c r="R12" s="22"/>
      <c r="S12" s="13"/>
      <c r="T12" s="13"/>
      <c r="U12" s="6"/>
      <c r="V12" s="1" t="str">
        <f aca="false">IF($A12="","",IF(OR(D12="卖出",D12="分红"),IFERROR(INDEX($F$2:$F11,MATCH(2,1/($C$2:$C11=$C12))),""),""))</f>
        <v/>
      </c>
      <c r="W12" s="82" t="n">
        <f aca="false">IF($A12="","",IF(D12="买入",IF(AND(ISNUMBER(L12),L12&gt;0),(F12-L12)*G12,0),0))</f>
        <v>0</v>
      </c>
      <c r="X12" s="83" t="n">
        <v>0</v>
      </c>
      <c r="Y12" s="83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4" t="n">
        <f aca="false">IF($A12="","",MAX(0,(MAX($Y$2:Y12)-Y12)/MAX(1,MAX($Y$2:Y12))))</f>
        <v>0</v>
      </c>
    </row>
    <row r="13" customFormat="false" ht="15" hidden="false" customHeight="true" outlineLevel="0" collapsed="false">
      <c r="A13" s="14" t="s">
        <v>513</v>
      </c>
      <c r="B13" s="9" t="s">
        <v>348</v>
      </c>
      <c r="C13" s="14" t="s">
        <v>349</v>
      </c>
      <c r="D13" s="9" t="s">
        <v>487</v>
      </c>
      <c r="E13" s="9" t="s">
        <v>400</v>
      </c>
      <c r="F13" s="26" t="n">
        <v>5.327</v>
      </c>
      <c r="G13" s="27" t="n">
        <v>600</v>
      </c>
      <c r="H13" s="18" t="n">
        <v>3196.2</v>
      </c>
      <c r="I13" s="26"/>
      <c r="J13" s="27"/>
      <c r="K13" s="19"/>
      <c r="L13" s="26"/>
      <c r="M13" s="9"/>
      <c r="N13" s="14"/>
      <c r="O13" s="9" t="s">
        <v>514</v>
      </c>
      <c r="P13" s="14"/>
      <c r="Q13" s="9"/>
      <c r="R13" s="28"/>
      <c r="S13" s="14"/>
      <c r="T13" s="14"/>
      <c r="U13" s="9"/>
      <c r="V13" s="1" t="str">
        <f aca="false">IF($A13="","",IF(OR(D13="卖出",D13="分红"),IFERROR(INDEX($F$2:$F12,MATCH(2,1/($C$2:$C12=$C13))),""),""))</f>
        <v/>
      </c>
      <c r="W13" s="82" t="n">
        <f aca="false">IF($A13="","",IF(D13="买入",IF(AND(ISNUMBER(L13),L13&gt;0),(F13-L13)*G13,0),0))</f>
        <v>0</v>
      </c>
      <c r="X13" s="83" t="n">
        <v>0</v>
      </c>
      <c r="Y13" s="83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4" t="n">
        <f aca="false">IF($A13="","",MAX(0,(MAX($Y$2:Y13)-Y13)/MAX(1,MAX($Y$2:Y13))))</f>
        <v>0</v>
      </c>
    </row>
    <row r="14" customFormat="false" ht="15" hidden="false" customHeight="true" outlineLevel="0" collapsed="false">
      <c r="A14" s="13" t="s">
        <v>515</v>
      </c>
      <c r="B14" s="6" t="s">
        <v>348</v>
      </c>
      <c r="C14" s="13" t="s">
        <v>349</v>
      </c>
      <c r="D14" s="6" t="s">
        <v>493</v>
      </c>
      <c r="E14" s="6" t="s">
        <v>494</v>
      </c>
      <c r="F14" s="17" t="n">
        <v>5.22</v>
      </c>
      <c r="G14" s="20" t="n">
        <v>600</v>
      </c>
      <c r="H14" s="18" t="n">
        <v>3132</v>
      </c>
      <c r="I14" s="17"/>
      <c r="J14" s="20"/>
      <c r="K14" s="19"/>
      <c r="L14" s="17"/>
      <c r="M14" s="6"/>
      <c r="N14" s="13"/>
      <c r="O14" s="6" t="s">
        <v>516</v>
      </c>
      <c r="P14" s="13"/>
      <c r="Q14" s="6"/>
      <c r="R14" s="22"/>
      <c r="S14" s="13"/>
      <c r="T14" s="13"/>
      <c r="U14" s="6"/>
      <c r="V14" s="25" t="str">
        <f aca="false">IF($A14="","",IF(OR(D14="卖出",D14="分红"),IFERROR(INDEX($F$2:$F13,MATCH(2,1/($C$2:$C13=$C14))),""),""))</f>
        <v/>
      </c>
      <c r="W14" s="82" t="n">
        <f aca="false">IF($A14="","",IF(D14="买入",IF(AND(ISNUMBER(L14),L14&gt;0),(F14-L14)*G14,0),0))</f>
        <v>0</v>
      </c>
      <c r="X14" s="83" t="n">
        <v>-0.401727</v>
      </c>
      <c r="Y14" s="83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4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14" t="s">
        <v>517</v>
      </c>
      <c r="B15" s="9" t="s">
        <v>510</v>
      </c>
      <c r="C15" s="14" t="s">
        <v>511</v>
      </c>
      <c r="D15" s="9" t="s">
        <v>493</v>
      </c>
      <c r="E15" s="9" t="s">
        <v>494</v>
      </c>
      <c r="F15" s="26" t="n">
        <v>28.383</v>
      </c>
      <c r="G15" s="27" t="n">
        <v>300</v>
      </c>
      <c r="H15" s="18" t="n">
        <v>8514.9</v>
      </c>
      <c r="I15" s="26"/>
      <c r="J15" s="27"/>
      <c r="K15" s="19"/>
      <c r="L15" s="26"/>
      <c r="M15" s="9"/>
      <c r="N15" s="14"/>
      <c r="O15" s="9" t="s">
        <v>518</v>
      </c>
      <c r="P15" s="14"/>
      <c r="Q15" s="9"/>
      <c r="R15" s="28"/>
      <c r="S15" s="14"/>
      <c r="T15" s="14"/>
      <c r="U15" s="9"/>
      <c r="V15" s="25" t="str">
        <f aca="false">IF($A15="","",IF(OR(D15="卖出",D15="分红"),IFERROR(INDEX($F$2:$F14,MATCH(2,1/($C$2:$C14=$C15))),""),""))</f>
        <v/>
      </c>
      <c r="W15" s="82" t="n">
        <f aca="false">IF($A15="","",IF(D15="买入",IF(AND(ISNUMBER(L15),L15&gt;0),(F15-L15)*G15,0),0))</f>
        <v>0</v>
      </c>
      <c r="X15" s="83" t="n">
        <v>0.285888</v>
      </c>
      <c r="Y15" s="83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4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13" t="s">
        <v>519</v>
      </c>
      <c r="B16" s="6" t="s">
        <v>520</v>
      </c>
      <c r="C16" s="13" t="s">
        <v>521</v>
      </c>
      <c r="D16" s="6" t="s">
        <v>487</v>
      </c>
      <c r="E16" s="6" t="s">
        <v>400</v>
      </c>
      <c r="F16" s="17" t="n">
        <v>69.29</v>
      </c>
      <c r="G16" s="20" t="n">
        <v>200</v>
      </c>
      <c r="H16" s="18" t="n">
        <v>13858</v>
      </c>
      <c r="I16" s="17"/>
      <c r="J16" s="20"/>
      <c r="K16" s="19"/>
      <c r="L16" s="17"/>
      <c r="M16" s="6"/>
      <c r="N16" s="13"/>
      <c r="O16" s="6" t="s">
        <v>488</v>
      </c>
      <c r="P16" s="13"/>
      <c r="Q16" s="6"/>
      <c r="R16" s="22"/>
      <c r="S16" s="13"/>
      <c r="T16" s="13"/>
      <c r="U16" s="6"/>
      <c r="V16" s="1" t="str">
        <f aca="false">IF($A16="","",IF(OR(D16="卖出",D16="分红"),IFERROR(INDEX($F$2:$F15,MATCH(2,1/($C$2:$C15=$C16))),""),""))</f>
        <v/>
      </c>
      <c r="W16" s="82" t="n">
        <f aca="false">IF($A16="","",IF(D16="买入",IF(AND(ISNUMBER(L16),L16&gt;0),(F16-L16)*G16,0),0))</f>
        <v>0</v>
      </c>
      <c r="X16" s="83" t="n">
        <v>0</v>
      </c>
      <c r="Y16" s="83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4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14" t="s">
        <v>522</v>
      </c>
      <c r="B17" s="9" t="s">
        <v>520</v>
      </c>
      <c r="C17" s="14" t="s">
        <v>521</v>
      </c>
      <c r="D17" s="9" t="s">
        <v>487</v>
      </c>
      <c r="E17" s="9" t="s">
        <v>523</v>
      </c>
      <c r="F17" s="26" t="n">
        <v>71.09</v>
      </c>
      <c r="G17" s="27" t="n">
        <v>100</v>
      </c>
      <c r="H17" s="18" t="n">
        <v>7109</v>
      </c>
      <c r="I17" s="26"/>
      <c r="J17" s="27"/>
      <c r="K17" s="19"/>
      <c r="L17" s="26"/>
      <c r="M17" s="9"/>
      <c r="N17" s="14"/>
      <c r="O17" s="14" t="s">
        <v>524</v>
      </c>
      <c r="P17" s="14"/>
      <c r="Q17" s="9"/>
      <c r="R17" s="28"/>
      <c r="S17" s="14"/>
      <c r="T17" s="14"/>
      <c r="U17" s="9"/>
      <c r="V17" s="1" t="str">
        <f aca="false">IF($A17="","",IF(OR(D17="卖出",D17="分红"),IFERROR(INDEX($F$2:$F16,MATCH(2,1/($C$2:$C16=$C17))),""),""))</f>
        <v/>
      </c>
      <c r="W17" s="82" t="n">
        <f aca="false">IF($A17="","",IF(D17="买入",IF(AND(ISNUMBER(L17),L17&gt;0),(F17-L17)*G17,0),0))</f>
        <v>0</v>
      </c>
      <c r="X17" s="83" t="n">
        <v>0</v>
      </c>
      <c r="Y17" s="83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4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13" t="s">
        <v>525</v>
      </c>
      <c r="B18" s="6" t="s">
        <v>351</v>
      </c>
      <c r="C18" s="13" t="s">
        <v>352</v>
      </c>
      <c r="D18" s="6" t="s">
        <v>487</v>
      </c>
      <c r="E18" s="6" t="s">
        <v>400</v>
      </c>
      <c r="F18" s="17" t="n">
        <v>11.843</v>
      </c>
      <c r="G18" s="20" t="n">
        <v>400</v>
      </c>
      <c r="H18" s="18" t="n">
        <v>4737.2</v>
      </c>
      <c r="I18" s="17"/>
      <c r="J18" s="20"/>
      <c r="K18" s="19"/>
      <c r="L18" s="17" t="n">
        <v>11.4</v>
      </c>
      <c r="M18" s="6"/>
      <c r="N18" s="13"/>
      <c r="O18" s="6" t="s">
        <v>526</v>
      </c>
      <c r="P18" s="13"/>
      <c r="Q18" s="6"/>
      <c r="R18" s="22"/>
      <c r="S18" s="13"/>
      <c r="T18" s="13"/>
      <c r="U18" s="6"/>
      <c r="V18" s="1" t="str">
        <f aca="false">IF($A18="","",IF(OR(D18="卖出",D18="分红"),IFERROR(INDEX($F$2:$F17,MATCH(2,1/($C$2:$C17=$C18))),""),""))</f>
        <v/>
      </c>
      <c r="W18" s="82" t="n">
        <f aca="false">IF($A18="","",IF(D18="买入",IF(AND(ISNUMBER(L18),L18&gt;0),(F18-L18)*G18,0),0))</f>
        <v>177.2</v>
      </c>
      <c r="X18" s="83" t="n">
        <v>0</v>
      </c>
      <c r="Y18" s="83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4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14" t="s">
        <v>527</v>
      </c>
      <c r="B19" s="9" t="s">
        <v>499</v>
      </c>
      <c r="C19" s="14" t="s">
        <v>500</v>
      </c>
      <c r="D19" s="9" t="s">
        <v>528</v>
      </c>
      <c r="E19" s="9"/>
      <c r="F19" s="26"/>
      <c r="G19" s="27"/>
      <c r="H19" s="18" t="n">
        <v>50</v>
      </c>
      <c r="I19" s="26"/>
      <c r="J19" s="27"/>
      <c r="K19" s="19"/>
      <c r="L19" s="26"/>
      <c r="M19" s="9"/>
      <c r="N19" s="14"/>
      <c r="O19" s="9" t="s">
        <v>529</v>
      </c>
      <c r="P19" s="14"/>
      <c r="Q19" s="9"/>
      <c r="R19" s="28"/>
      <c r="S19" s="14"/>
      <c r="T19" s="14"/>
      <c r="U19" s="9"/>
      <c r="V19" s="25" t="n">
        <f aca="false">IF($A19="","",IF(OR(D19="卖出",D19="分红"),IFERROR(INDEX($F$2:$F18,MATCH(2,1/($C$2:$C18=$C19))),""),""))</f>
        <v>101.947</v>
      </c>
      <c r="W19" s="82" t="n">
        <f aca="false">IF($A19="","",IF(D19="买入",IF(AND(ISNUMBER(L19),L19&gt;0),(F19-L19)*G19,0),0))</f>
        <v>0</v>
      </c>
      <c r="X19" s="83" t="n">
        <v>0</v>
      </c>
      <c r="Y19" s="83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4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6"/>
      <c r="B20" s="6"/>
      <c r="C20" s="6"/>
      <c r="D20" s="6"/>
      <c r="E20" s="6"/>
      <c r="F20" s="17"/>
      <c r="G20" s="20"/>
      <c r="H20" s="18"/>
      <c r="I20" s="17"/>
      <c r="J20" s="20"/>
      <c r="K20" s="19"/>
      <c r="L20" s="17"/>
      <c r="M20" s="6"/>
      <c r="N20" s="13"/>
      <c r="O20" s="6"/>
      <c r="P20" s="13"/>
      <c r="Q20" s="6"/>
      <c r="R20" s="22"/>
      <c r="S20" s="13"/>
      <c r="T20" s="13"/>
      <c r="U20" s="6"/>
      <c r="V20" s="1" t="str">
        <f aca="false">IF($A20="","",IF(OR(D20="卖出",D20="分红"),IFERROR(INDEX($F$2:$F19,MATCH(2,1/($C$2:$C19=$C20))),""),""))</f>
        <v/>
      </c>
      <c r="W20" s="82" t="str">
        <f aca="false">IF($A20="","",IF(D20="买入",IF(AND(ISNUMBER(L20),L20&gt;0),(F20-L20)*G20,F20*0.08*G20),IF(AND(ISNUMBER(V20),V20&gt;0),IF(AND(ISNUMBER(L20),L20&gt;0),(V20-L20)*G20,V20*0.08*G20),0)))</f>
        <v/>
      </c>
      <c r="X20" s="83" t="str">
        <f aca="false">IF($A20="","",IF(D20="买入",0,IFERROR(IF(W20&lt;&gt;0,(H20-IFERROR(INDEX($H$2:$H19,MATCH(2,1/($C$2:$C19=$C20))),0))/W20,0),0)))</f>
        <v/>
      </c>
      <c r="Y20" s="83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4" t="str">
        <f aca="false">IF($A20="","",MAX(0,(MAX($Y$2:Y20)-Y20)/MAX(1,MAX($Y$2:Y20))))</f>
        <v/>
      </c>
    </row>
    <row r="21" customFormat="false" ht="15" hidden="false" customHeight="true" outlineLevel="0" collapsed="false">
      <c r="A21" s="9"/>
      <c r="B21" s="9"/>
      <c r="C21" s="9"/>
      <c r="D21" s="9"/>
      <c r="E21" s="9"/>
      <c r="F21" s="26"/>
      <c r="G21" s="27"/>
      <c r="H21" s="18"/>
      <c r="I21" s="26"/>
      <c r="J21" s="27"/>
      <c r="K21" s="19"/>
      <c r="L21" s="26"/>
      <c r="M21" s="9"/>
      <c r="N21" s="14"/>
      <c r="O21" s="9"/>
      <c r="P21" s="14"/>
      <c r="Q21" s="9"/>
      <c r="R21" s="28"/>
      <c r="S21" s="14"/>
      <c r="T21" s="14"/>
      <c r="U21" s="9"/>
      <c r="V21" s="1" t="str">
        <f aca="false">IF($A21="","",IF(OR(D21="卖出",D21="分红"),IFERROR(INDEX($F$2:$F20,MATCH(2,1/($C$2:$C20=$C21))),""),""))</f>
        <v/>
      </c>
      <c r="W21" s="82" t="str">
        <f aca="false">IF($A21="","",IF(D21="买入",IF(AND(ISNUMBER(L21),L21&gt;0),(F21-L21)*G21,F21*0.08*G21),IF(AND(ISNUMBER(V21),V21&gt;0),IF(AND(ISNUMBER(L21),L21&gt;0),(V21-L21)*G21,V21*0.08*G21),0)))</f>
        <v/>
      </c>
      <c r="X21" s="83" t="str">
        <f aca="false">IF($A21="","",IF(D21="买入",0,IFERROR(IF(W21&lt;&gt;0,(H21-IFERROR(INDEX($H$2:$H20,MATCH(2,1/($C$2:$C20=$C21))),0))/W21,0),0)))</f>
        <v/>
      </c>
      <c r="Y21" s="83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4" t="str">
        <f aca="false">IF($A21="","",MAX(0,(MAX($Y$2:Y21)-Y21)/MAX(1,MAX($Y$2:Y21))))</f>
        <v/>
      </c>
    </row>
    <row r="22" customFormat="false" ht="15" hidden="false" customHeight="true" outlineLevel="0" collapsed="false">
      <c r="A22" s="6"/>
      <c r="B22" s="6"/>
      <c r="C22" s="6"/>
      <c r="D22" s="6"/>
      <c r="E22" s="6"/>
      <c r="F22" s="17"/>
      <c r="G22" s="20"/>
      <c r="H22" s="18"/>
      <c r="I22" s="17"/>
      <c r="J22" s="20"/>
      <c r="K22" s="19"/>
      <c r="L22" s="17"/>
      <c r="M22" s="6"/>
      <c r="N22" s="13"/>
      <c r="O22" s="6"/>
      <c r="P22" s="13"/>
      <c r="Q22" s="6"/>
      <c r="R22" s="22"/>
      <c r="S22" s="13"/>
      <c r="T22" s="13"/>
      <c r="U22" s="6"/>
      <c r="V22" s="1" t="str">
        <f aca="false">IF($A22="","",IF(OR(D22="卖出",D22="分红"),IFERROR(INDEX($F$2:$F21,MATCH(2,1/($C$2:$C21=$C22))),""),""))</f>
        <v/>
      </c>
      <c r="W22" s="82" t="str">
        <f aca="false">IF($A22="","",IF(D22="买入",IF(AND(ISNUMBER(L22),L22&gt;0),(F22-L22)*G22,F22*0.08*G22),IF(AND(ISNUMBER(V22),V22&gt;0),IF(AND(ISNUMBER(L22),L22&gt;0),(V22-L22)*G22,V22*0.08*G22),0)))</f>
        <v/>
      </c>
      <c r="X22" s="83" t="str">
        <f aca="false">IF($A22="","",IF(D22="买入",0,IFERROR(IF(W22&lt;&gt;0,(H22-IFERROR(INDEX($H$2:$H21,MATCH(2,1/($C$2:$C21=$C22))),0))/W22,0),0)))</f>
        <v/>
      </c>
      <c r="Y22" s="83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4" t="str">
        <f aca="false">IF($A22="","",MAX(0,(MAX($Y$2:Y22)-Y22)/MAX(1,MAX($Y$2:Y22))))</f>
        <v/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26"/>
      <c r="G23" s="27"/>
      <c r="H23" s="18"/>
      <c r="I23" s="26"/>
      <c r="J23" s="27"/>
      <c r="K23" s="19"/>
      <c r="L23" s="26"/>
      <c r="M23" s="9"/>
      <c r="N23" s="14"/>
      <c r="O23" s="9"/>
      <c r="P23" s="14"/>
      <c r="Q23" s="9"/>
      <c r="R23" s="28"/>
      <c r="S23" s="14"/>
      <c r="T23" s="14"/>
      <c r="U23" s="9"/>
      <c r="V23" s="1" t="str">
        <f aca="false">IF($A23="","",IF(OR(D23="卖出",D23="分红"),IFERROR(INDEX($F$2:$F22,MATCH(2,1/($C$2:$C22=$C23))),""),""))</f>
        <v/>
      </c>
      <c r="W23" s="82" t="str">
        <f aca="false">IF($A23="","",IF(D23="买入",IF(AND(ISNUMBER(L23),L23&gt;0),(F23-L23)*G23,F23*0.08*G23),IF(AND(ISNUMBER(V23),V23&gt;0),IF(AND(ISNUMBER(L23),L23&gt;0),(V23-L23)*G23,V23*0.08*G23),0)))</f>
        <v/>
      </c>
      <c r="X23" s="83" t="str">
        <f aca="false">IF($A23="","",IF(D23="买入",0,IFERROR(IF(W23&lt;&gt;0,(H23-IFERROR(INDEX($H$2:$H22,MATCH(2,1/($C$2:$C22=$C23))),0))/W23,0),0)))</f>
        <v/>
      </c>
      <c r="Y23" s="83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4" t="str">
        <f aca="false">IF($A23="","",MAX(0,(MAX($Y$2:Y23)-Y23)/MAX(1,MAX($Y$2:Y23))))</f>
        <v/>
      </c>
    </row>
    <row r="24" customFormat="false" ht="15" hidden="false" customHeight="true" outlineLevel="0" collapsed="false">
      <c r="A24" s="6"/>
      <c r="B24" s="6"/>
      <c r="C24" s="6"/>
      <c r="D24" s="6"/>
      <c r="E24" s="6"/>
      <c r="F24" s="17"/>
      <c r="G24" s="20"/>
      <c r="H24" s="18"/>
      <c r="I24" s="17"/>
      <c r="J24" s="20"/>
      <c r="K24" s="19"/>
      <c r="L24" s="17"/>
      <c r="M24" s="6"/>
      <c r="N24" s="13"/>
      <c r="O24" s="6"/>
      <c r="P24" s="13"/>
      <c r="Q24" s="6"/>
      <c r="R24" s="22"/>
      <c r="S24" s="13"/>
      <c r="T24" s="13"/>
      <c r="U24" s="6"/>
      <c r="V24" s="1" t="str">
        <f aca="false">IF($A24="","",IF(OR(D24="卖出",D24="分红"),IFERROR(INDEX($F$2:$F23,MATCH(2,1/($C$2:$C23=$C24))),""),""))</f>
        <v/>
      </c>
      <c r="W24" s="82" t="str">
        <f aca="false">IF($A24="","",IF(D24="买入",IF(AND(ISNUMBER(L24),L24&gt;0),(F24-L24)*G24,F24*0.08*G24),IF(AND(ISNUMBER(V24),V24&gt;0),IF(AND(ISNUMBER(L24),L24&gt;0),(V24-L24)*G24,V24*0.08*G24),0)))</f>
        <v/>
      </c>
      <c r="X24" s="83" t="str">
        <f aca="false">IF($A24="","",IF(D24="买入",0,IFERROR(IF(W24&lt;&gt;0,(H24-IFERROR(INDEX($H$2:$H23,MATCH(2,1/($C$2:$C23=$C24))),0))/W24,0),0)))</f>
        <v/>
      </c>
      <c r="Y24" s="83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4" t="str">
        <f aca="false">IF($A24="","",MAX(0,(MAX($Y$2:Y24)-Y24)/MAX(1,MAX($Y$2:Y24))))</f>
        <v/>
      </c>
    </row>
    <row r="25" customFormat="false" ht="15" hidden="false" customHeight="true" outlineLevel="0" collapsed="false">
      <c r="A25" s="9"/>
      <c r="B25" s="9"/>
      <c r="C25" s="9"/>
      <c r="D25" s="9"/>
      <c r="E25" s="9"/>
      <c r="F25" s="26"/>
      <c r="G25" s="27"/>
      <c r="H25" s="18"/>
      <c r="I25" s="26"/>
      <c r="J25" s="27"/>
      <c r="K25" s="19"/>
      <c r="L25" s="26"/>
      <c r="M25" s="9"/>
      <c r="N25" s="14"/>
      <c r="O25" s="9"/>
      <c r="P25" s="14"/>
      <c r="Q25" s="9"/>
      <c r="R25" s="28"/>
      <c r="S25" s="14"/>
      <c r="T25" s="14"/>
      <c r="U25" s="9"/>
      <c r="V25" s="1" t="str">
        <f aca="false">IF($A25="","",IF(OR(D25="卖出",D25="分红"),IFERROR(INDEX($F$2:$F24,MATCH(2,1/($C$2:$C24=$C25))),""),""))</f>
        <v/>
      </c>
      <c r="W25" s="82" t="str">
        <f aca="false">IF($A25="","",IF(D25="买入",IF(AND(ISNUMBER(L25),L25&gt;0),(F25-L25)*G25,F25*0.08*G25),IF(AND(ISNUMBER(V25),V25&gt;0),IF(AND(ISNUMBER(L25),L25&gt;0),(V25-L25)*G25,V25*0.08*G25),0)))</f>
        <v/>
      </c>
      <c r="X25" s="83" t="str">
        <f aca="false">IF($A25="","",IF(D25="买入",0,IFERROR(IF(W25&lt;&gt;0,(H25-IFERROR(INDEX($H$2:$H24,MATCH(2,1/($C$2:$C24=$C25))),0))/W25,0),0)))</f>
        <v/>
      </c>
      <c r="Y25" s="83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4" t="str">
        <f aca="false">IF($A25="","",MAX(0,(MAX($Y$2:Y25)-Y25)/MAX(1,MAX($Y$2:Y25))))</f>
        <v/>
      </c>
    </row>
    <row r="26" customFormat="false" ht="15" hidden="false" customHeight="true" outlineLevel="0" collapsed="false">
      <c r="A26" s="6"/>
      <c r="B26" s="6"/>
      <c r="C26" s="6"/>
      <c r="D26" s="6"/>
      <c r="E26" s="6"/>
      <c r="F26" s="17"/>
      <c r="G26" s="20"/>
      <c r="H26" s="18"/>
      <c r="I26" s="17"/>
      <c r="J26" s="20"/>
      <c r="K26" s="19"/>
      <c r="L26" s="17"/>
      <c r="M26" s="6"/>
      <c r="N26" s="13"/>
      <c r="O26" s="6"/>
      <c r="P26" s="13"/>
      <c r="Q26" s="6"/>
      <c r="R26" s="22"/>
      <c r="S26" s="13"/>
      <c r="T26" s="13"/>
      <c r="U26" s="6"/>
      <c r="V26" s="1" t="str">
        <f aca="false">IF($A26="","",IF(OR(D26="卖出",D26="分红"),IFERROR(INDEX($F$2:$F25,MATCH(2,1/($C$2:$C25=$C26))),""),""))</f>
        <v/>
      </c>
      <c r="W26" s="82" t="str">
        <f aca="false">IF($A26="","",IF(D26="买入",IF(AND(ISNUMBER(L26),L26&gt;0),(F26-L26)*G26,F26*0.08*G26),IF(AND(ISNUMBER(V26),V26&gt;0),IF(AND(ISNUMBER(L26),L26&gt;0),(V26-L26)*G26,V26*0.08*G26),0)))</f>
        <v/>
      </c>
      <c r="X26" s="83" t="str">
        <f aca="false">IF($A26="","",IF(D26="买入",0,IFERROR(IF(W26&lt;&gt;0,(H26-IFERROR(INDEX($H$2:$H25,MATCH(2,1/($C$2:$C25=$C26))),0))/W26,0),0)))</f>
        <v/>
      </c>
      <c r="Y26" s="83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4" t="str">
        <f aca="false">IF($A26="","",MAX(0,(MAX($Y$2:Y26)-Y26)/MAX(1,MAX($Y$2:Y26))))</f>
        <v/>
      </c>
    </row>
    <row r="27" customFormat="false" ht="15" hidden="false" customHeight="true" outlineLevel="0" collapsed="false">
      <c r="A27" s="9"/>
      <c r="B27" s="9"/>
      <c r="C27" s="9"/>
      <c r="D27" s="9"/>
      <c r="E27" s="9"/>
      <c r="F27" s="26"/>
      <c r="G27" s="27"/>
      <c r="H27" s="18"/>
      <c r="I27" s="26"/>
      <c r="J27" s="27"/>
      <c r="K27" s="19"/>
      <c r="L27" s="26"/>
      <c r="M27" s="9"/>
      <c r="N27" s="14"/>
      <c r="O27" s="9"/>
      <c r="P27" s="14"/>
      <c r="Q27" s="9"/>
      <c r="R27" s="28"/>
      <c r="S27" s="14"/>
      <c r="T27" s="14"/>
      <c r="U27" s="9"/>
      <c r="V27" s="1" t="str">
        <f aca="false">IF($A27="","",IF(OR(D27="卖出",D27="分红"),IFERROR(INDEX($F$2:$F26,MATCH(2,1/($C$2:$C26=$C27))),""),""))</f>
        <v/>
      </c>
      <c r="W27" s="82" t="str">
        <f aca="false">IF($A27="","",IF(D27="买入",IF(AND(ISNUMBER(L27),L27&gt;0),(F27-L27)*G27,F27*0.08*G27),IF(AND(ISNUMBER(V27),V27&gt;0),IF(AND(ISNUMBER(L27),L27&gt;0),(V27-L27)*G27,V27*0.08*G27),0)))</f>
        <v/>
      </c>
      <c r="X27" s="83" t="str">
        <f aca="false">IF($A27="","",IF(D27="买入",0,IFERROR(IF(W27&lt;&gt;0,(H27-IFERROR(INDEX($H$2:$H26,MATCH(2,1/($C$2:$C26=$C27))),0))/W27,0),0)))</f>
        <v/>
      </c>
      <c r="Y27" s="83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4" t="str">
        <f aca="false">IF($A27="","",MAX(0,(MAX($Y$2:Y27)-Y27)/MAX(1,MAX($Y$2:Y27))))</f>
        <v/>
      </c>
    </row>
    <row r="28" customFormat="false" ht="15" hidden="false" customHeight="true" outlineLevel="0" collapsed="false">
      <c r="A28" s="6"/>
      <c r="B28" s="6"/>
      <c r="C28" s="6"/>
      <c r="D28" s="6"/>
      <c r="E28" s="6"/>
      <c r="F28" s="17"/>
      <c r="G28" s="20"/>
      <c r="H28" s="18"/>
      <c r="I28" s="17"/>
      <c r="J28" s="20"/>
      <c r="K28" s="19"/>
      <c r="L28" s="17"/>
      <c r="M28" s="6"/>
      <c r="N28" s="13"/>
      <c r="O28" s="6"/>
      <c r="P28" s="13"/>
      <c r="Q28" s="6"/>
      <c r="R28" s="22"/>
      <c r="S28" s="13"/>
      <c r="T28" s="13"/>
      <c r="U28" s="6"/>
      <c r="V28" s="1" t="str">
        <f aca="false">IF($A28="","",IF(OR(D28="卖出",D28="分红"),IFERROR(INDEX($F$2:$F27,MATCH(2,1/($C$2:$C27=$C28))),""),""))</f>
        <v/>
      </c>
      <c r="W28" s="82" t="str">
        <f aca="false">IF($A28="","",IF(D28="买入",IF(AND(ISNUMBER(L28),L28&gt;0),(F28-L28)*G28,F28*0.08*G28),IF(AND(ISNUMBER(V28),V28&gt;0),IF(AND(ISNUMBER(L28),L28&gt;0),(V28-L28)*G28,V28*0.08*G28),0)))</f>
        <v/>
      </c>
      <c r="X28" s="83" t="str">
        <f aca="false">IF($A28="","",IF(D28="买入",0,IFERROR(IF(W28&lt;&gt;0,(H28-IFERROR(INDEX($H$2:$H27,MATCH(2,1/($C$2:$C27=$C28))),0))/W28,0),0)))</f>
        <v/>
      </c>
      <c r="Y28" s="83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4" t="str">
        <f aca="false">IF($A28="","",MAX(0,(MAX($Y$2:Y28)-Y28)/MAX(1,MAX($Y$2:Y28))))</f>
        <v/>
      </c>
    </row>
    <row r="29" customFormat="false" ht="15" hidden="false" customHeight="true" outlineLevel="0" collapsed="false">
      <c r="A29" s="9"/>
      <c r="B29" s="9"/>
      <c r="C29" s="9"/>
      <c r="D29" s="9"/>
      <c r="E29" s="9"/>
      <c r="F29" s="26"/>
      <c r="G29" s="27"/>
      <c r="H29" s="18"/>
      <c r="I29" s="26"/>
      <c r="J29" s="27"/>
      <c r="K29" s="19"/>
      <c r="L29" s="26"/>
      <c r="M29" s="9"/>
      <c r="N29" s="14"/>
      <c r="O29" s="9"/>
      <c r="P29" s="14"/>
      <c r="Q29" s="9"/>
      <c r="R29" s="28"/>
      <c r="S29" s="14"/>
      <c r="T29" s="14"/>
      <c r="U29" s="9"/>
      <c r="V29" s="1" t="str">
        <f aca="false">IF($A29="","",IF(OR(D29="卖出",D29="分红"),IFERROR(INDEX($F$2:$F28,MATCH(2,1/($C$2:$C28=$C29))),""),""))</f>
        <v/>
      </c>
      <c r="W29" s="82" t="str">
        <f aca="false">IF($A29="","",IF(D29="买入",IF(AND(ISNUMBER(L29),L29&gt;0),(F29-L29)*G29,F29*0.08*G29),IF(AND(ISNUMBER(V29),V29&gt;0),IF(AND(ISNUMBER(L29),L29&gt;0),(V29-L29)*G29,V29*0.08*G29),0)))</f>
        <v/>
      </c>
      <c r="X29" s="83" t="str">
        <f aca="false">IF($A29="","",IF(D29="买入",0,IFERROR(IF(W29&lt;&gt;0,(H29-IFERROR(INDEX($H$2:$H28,MATCH(2,1/($C$2:$C28=$C29))),0))/W29,0),0)))</f>
        <v/>
      </c>
      <c r="Y29" s="83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4" t="str">
        <f aca="false">IF($A29="","",MAX(0,(MAX($Y$2:Y29)-Y29)/MAX(1,MAX($Y$2:Y29))))</f>
        <v/>
      </c>
    </row>
    <row r="30" customFormat="false" ht="15" hidden="false" customHeight="true" outlineLevel="0" collapsed="false">
      <c r="A30" s="6"/>
      <c r="B30" s="6"/>
      <c r="C30" s="6"/>
      <c r="D30" s="6"/>
      <c r="E30" s="6"/>
      <c r="F30" s="17"/>
      <c r="G30" s="20"/>
      <c r="H30" s="18"/>
      <c r="I30" s="17"/>
      <c r="J30" s="20"/>
      <c r="K30" s="19"/>
      <c r="L30" s="17"/>
      <c r="M30" s="6"/>
      <c r="N30" s="13"/>
      <c r="O30" s="6"/>
      <c r="P30" s="13"/>
      <c r="Q30" s="6"/>
      <c r="R30" s="22"/>
      <c r="S30" s="13"/>
      <c r="T30" s="13"/>
      <c r="U30" s="6"/>
      <c r="V30" s="1" t="str">
        <f aca="false">IF($A30="","",IF(OR(D30="卖出",D30="分红"),IFERROR(INDEX($F$2:$F29,MATCH(2,1/($C$2:$C29=$C30))),""),""))</f>
        <v/>
      </c>
      <c r="W30" s="82" t="str">
        <f aca="false">IF($A30="","",IF(D30="买入",IF(AND(ISNUMBER(L30),L30&gt;0),(F30-L30)*G30,F30*0.08*G30),IF(AND(ISNUMBER(V30),V30&gt;0),IF(AND(ISNUMBER(L30),L30&gt;0),(V30-L30)*G30,V30*0.08*G30),0)))</f>
        <v/>
      </c>
      <c r="X30" s="83" t="str">
        <f aca="false">IF($A30="","",IF(D30="买入",0,IFERROR(IF(W30&lt;&gt;0,(H30-IFERROR(INDEX($H$2:$H29,MATCH(2,1/($C$2:$C29=$C30))),0))/W30,0),0)))</f>
        <v/>
      </c>
      <c r="Y30" s="83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4" t="str">
        <f aca="false">IF($A30="","",MAX(0,(MAX($Y$2:Y30)-Y30)/MAX(1,MAX($Y$2:Y30))))</f>
        <v/>
      </c>
    </row>
    <row r="31" customFormat="false" ht="15" hidden="false" customHeight="true" outlineLevel="0" collapsed="false">
      <c r="A31" s="9"/>
      <c r="B31" s="9"/>
      <c r="C31" s="9"/>
      <c r="D31" s="9"/>
      <c r="E31" s="9"/>
      <c r="F31" s="26"/>
      <c r="G31" s="27"/>
      <c r="H31" s="18"/>
      <c r="I31" s="26"/>
      <c r="J31" s="27"/>
      <c r="K31" s="19"/>
      <c r="L31" s="26"/>
      <c r="M31" s="9"/>
      <c r="N31" s="14"/>
      <c r="O31" s="9"/>
      <c r="P31" s="14"/>
      <c r="Q31" s="9"/>
      <c r="R31" s="28"/>
      <c r="S31" s="14"/>
      <c r="T31" s="14"/>
      <c r="U31" s="9"/>
      <c r="V31" s="1" t="str">
        <f aca="false">IF($A31="","",IF(OR(D31="卖出",D31="分红"),IFERROR(INDEX($F$2:$F30,MATCH(2,1/($C$2:$C30=$C31))),""),""))</f>
        <v/>
      </c>
      <c r="W31" s="82" t="str">
        <f aca="false">IF($A31="","",IF(D31="买入",IF(AND(ISNUMBER(L31),L31&gt;0),(F31-L31)*G31,F31*0.08*G31),IF(AND(ISNUMBER(V31),V31&gt;0),IF(AND(ISNUMBER(L31),L31&gt;0),(V31-L31)*G31,V31*0.08*G31),0)))</f>
        <v/>
      </c>
      <c r="X31" s="83" t="str">
        <f aca="false">IF($A31="","",IF(D31="买入",0,IFERROR(IF(W31&lt;&gt;0,(H31-IFERROR(INDEX($H$2:$H30,MATCH(2,1/($C$2:$C30=$C31))),0))/W31,0),0)))</f>
        <v/>
      </c>
      <c r="Y31" s="83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4" t="str">
        <f aca="false">IF($A31="","",MAX(0,(MAX($Y$2:Y31)-Y31)/MAX(1,MAX($Y$2:Y31))))</f>
        <v/>
      </c>
    </row>
    <row r="32" customFormat="false" ht="15" hidden="false" customHeight="true" outlineLevel="0" collapsed="false">
      <c r="A32" s="6"/>
      <c r="B32" s="6"/>
      <c r="C32" s="6"/>
      <c r="D32" s="6"/>
      <c r="E32" s="6"/>
      <c r="F32" s="17"/>
      <c r="G32" s="20"/>
      <c r="H32" s="18"/>
      <c r="I32" s="17"/>
      <c r="J32" s="20"/>
      <c r="K32" s="19"/>
      <c r="L32" s="17"/>
      <c r="M32" s="6"/>
      <c r="N32" s="13"/>
      <c r="O32" s="6"/>
      <c r="P32" s="13"/>
      <c r="Q32" s="6"/>
      <c r="R32" s="22"/>
      <c r="S32" s="13"/>
      <c r="T32" s="13"/>
      <c r="U32" s="6"/>
      <c r="V32" s="1" t="str">
        <f aca="false">IF($A32="","",IF(OR(D32="卖出",D32="分红"),IFERROR(INDEX($F$2:$F31,MATCH(2,1/($C$2:$C31=$C32))),""),""))</f>
        <v/>
      </c>
      <c r="W32" s="82" t="str">
        <f aca="false">IF($A32="","",IF(D32="买入",IF(AND(ISNUMBER(L32),L32&gt;0),(F32-L32)*G32,F32*0.08*G32),IF(AND(ISNUMBER(V32),V32&gt;0),IF(AND(ISNUMBER(L32),L32&gt;0),(V32-L32)*G32,V32*0.08*G32),0)))</f>
        <v/>
      </c>
      <c r="X32" s="83" t="str">
        <f aca="false">IF($A32="","",IF(D32="买入",0,IFERROR(IF(W32&lt;&gt;0,(H32-IFERROR(INDEX($H$2:$H31,MATCH(2,1/($C$2:$C31=$C32))),0))/W32,0),0)))</f>
        <v/>
      </c>
      <c r="Y32" s="83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4" t="str">
        <f aca="false">IF($A32="","",MAX(0,(MAX($Y$2:Y32)-Y32)/MAX(1,MAX($Y$2:Y32))))</f>
        <v/>
      </c>
    </row>
    <row r="33" customFormat="false" ht="15" hidden="false" customHeight="true" outlineLevel="0" collapsed="false">
      <c r="A33" s="9"/>
      <c r="B33" s="9"/>
      <c r="C33" s="9"/>
      <c r="D33" s="9"/>
      <c r="E33" s="9"/>
      <c r="F33" s="26"/>
      <c r="G33" s="27"/>
      <c r="H33" s="18"/>
      <c r="I33" s="26"/>
      <c r="J33" s="27"/>
      <c r="K33" s="19"/>
      <c r="L33" s="26"/>
      <c r="M33" s="9"/>
      <c r="N33" s="14"/>
      <c r="O33" s="9"/>
      <c r="P33" s="14"/>
      <c r="Q33" s="9"/>
      <c r="R33" s="28"/>
      <c r="S33" s="14"/>
      <c r="T33" s="14"/>
      <c r="U33" s="9"/>
      <c r="V33" s="1" t="str">
        <f aca="false">IF($A33="","",IF(OR(D33="卖出",D33="分红"),IFERROR(INDEX($F$2:$F32,MATCH(2,1/($C$2:$C32=$C33))),""),""))</f>
        <v/>
      </c>
      <c r="W33" s="82" t="str">
        <f aca="false">IF($A33="","",IF(D33="买入",IF(AND(ISNUMBER(L33),L33&gt;0),(F33-L33)*G33,F33*0.08*G33),IF(AND(ISNUMBER(V33),V33&gt;0),IF(AND(ISNUMBER(L33),L33&gt;0),(V33-L33)*G33,V33*0.08*G33),0)))</f>
        <v/>
      </c>
      <c r="X33" s="83" t="str">
        <f aca="false">IF($A33="","",IF(D33="买入",0,IFERROR(IF(W33&lt;&gt;0,(H33-IFERROR(INDEX($H$2:$H32,MATCH(2,1/($C$2:$C32=$C33))),0))/W33,0),0)))</f>
        <v/>
      </c>
      <c r="Y33" s="83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4" t="str">
        <f aca="false">IF($A33="","",MAX(0,(MAX($Y$2:Y33)-Y33)/MAX(1,MAX($Y$2:Y33))))</f>
        <v/>
      </c>
    </row>
    <row r="34" customFormat="false" ht="15" hidden="false" customHeight="true" outlineLevel="0" collapsed="false">
      <c r="A34" s="6"/>
      <c r="B34" s="6"/>
      <c r="C34" s="6"/>
      <c r="D34" s="6"/>
      <c r="E34" s="6"/>
      <c r="F34" s="17"/>
      <c r="G34" s="20"/>
      <c r="H34" s="18"/>
      <c r="I34" s="17"/>
      <c r="J34" s="20"/>
      <c r="K34" s="19"/>
      <c r="L34" s="17"/>
      <c r="M34" s="6"/>
      <c r="N34" s="13"/>
      <c r="O34" s="6"/>
      <c r="P34" s="13"/>
      <c r="Q34" s="6"/>
      <c r="R34" s="22"/>
      <c r="S34" s="13"/>
      <c r="T34" s="13"/>
      <c r="U34" s="6"/>
      <c r="V34" s="1" t="str">
        <f aca="false">IF($A34="","",IF(OR(D34="卖出",D34="分红"),IFERROR(INDEX($F$2:$F33,MATCH(2,1/($C$2:$C33=$C34))),""),""))</f>
        <v/>
      </c>
      <c r="W34" s="82" t="str">
        <f aca="false">IF($A34="","",IF(D34="买入",IF(AND(ISNUMBER(L34),L34&gt;0),(F34-L34)*G34,F34*0.08*G34),IF(AND(ISNUMBER(V34),V34&gt;0),IF(AND(ISNUMBER(L34),L34&gt;0),(V34-L34)*G34,V34*0.08*G34),0)))</f>
        <v/>
      </c>
      <c r="X34" s="83" t="str">
        <f aca="false">IF($A34="","",IF(D34="买入",0,IFERROR(IF(W34&lt;&gt;0,(H34-IFERROR(INDEX($H$2:$H33,MATCH(2,1/($C$2:$C33=$C34))),0))/W34,0),0)))</f>
        <v/>
      </c>
      <c r="Y34" s="83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4" t="str">
        <f aca="false">IF($A34="","",MAX(0,(MAX($Y$2:Y34)-Y34)/MAX(1,MAX($Y$2:Y34))))</f>
        <v/>
      </c>
    </row>
    <row r="35" customFormat="false" ht="15" hidden="false" customHeight="true" outlineLevel="0" collapsed="false">
      <c r="A35" s="9"/>
      <c r="B35" s="9"/>
      <c r="C35" s="9"/>
      <c r="D35" s="9"/>
      <c r="E35" s="9"/>
      <c r="F35" s="26"/>
      <c r="G35" s="27"/>
      <c r="H35" s="18"/>
      <c r="I35" s="26"/>
      <c r="J35" s="27"/>
      <c r="K35" s="19"/>
      <c r="L35" s="26"/>
      <c r="M35" s="9"/>
      <c r="N35" s="14"/>
      <c r="O35" s="9"/>
      <c r="P35" s="14"/>
      <c r="Q35" s="9"/>
      <c r="R35" s="28"/>
      <c r="S35" s="14"/>
      <c r="T35" s="14"/>
      <c r="U35" s="9"/>
      <c r="V35" s="1" t="str">
        <f aca="false">IF($A35="","",IF(OR(D35="卖出",D35="分红"),IFERROR(INDEX($F$2:$F34,MATCH(2,1/($C$2:$C34=$C35))),""),""))</f>
        <v/>
      </c>
      <c r="W35" s="82" t="str">
        <f aca="false">IF($A35="","",IF(D35="买入",IF(AND(ISNUMBER(L35),L35&gt;0),(F35-L35)*G35,F35*0.08*G35),IF(AND(ISNUMBER(V35),V35&gt;0),IF(AND(ISNUMBER(L35),L35&gt;0),(V35-L35)*G35,V35*0.08*G35),0)))</f>
        <v/>
      </c>
      <c r="X35" s="83" t="str">
        <f aca="false">IF($A35="","",IF(D35="买入",0,IFERROR(IF(W35&lt;&gt;0,(H35-IFERROR(INDEX($H$2:$H34,MATCH(2,1/($C$2:$C34=$C35))),0))/W35,0),0)))</f>
        <v/>
      </c>
      <c r="Y35" s="83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4" t="str">
        <f aca="false">IF($A35="","",MAX(0,(MAX($Y$2:Y35)-Y35)/MAX(1,MAX($Y$2:Y35))))</f>
        <v/>
      </c>
    </row>
    <row r="36" customFormat="false" ht="15" hidden="false" customHeight="true" outlineLevel="0" collapsed="false">
      <c r="A36" s="6"/>
      <c r="B36" s="6"/>
      <c r="C36" s="6"/>
      <c r="D36" s="6"/>
      <c r="E36" s="6"/>
      <c r="F36" s="17"/>
      <c r="G36" s="20"/>
      <c r="H36" s="18"/>
      <c r="I36" s="17"/>
      <c r="J36" s="20"/>
      <c r="K36" s="19"/>
      <c r="L36" s="17"/>
      <c r="M36" s="6"/>
      <c r="N36" s="13"/>
      <c r="O36" s="6"/>
      <c r="P36" s="13"/>
      <c r="Q36" s="6"/>
      <c r="R36" s="22"/>
      <c r="S36" s="13"/>
      <c r="T36" s="13"/>
      <c r="U36" s="6"/>
      <c r="V36" s="1" t="str">
        <f aca="false">IF($A36="","",IF(OR(D36="卖出",D36="分红"),IFERROR(INDEX($F$2:$F35,MATCH(2,1/($C$2:$C35=$C36))),""),""))</f>
        <v/>
      </c>
      <c r="W36" s="82" t="str">
        <f aca="false">IF($A36="","",IF(D36="买入",IF(AND(ISNUMBER(L36),L36&gt;0),(F36-L36)*G36,F36*0.08*G36),IF(AND(ISNUMBER(V36),V36&gt;0),IF(AND(ISNUMBER(L36),L36&gt;0),(V36-L36)*G36,V36*0.08*G36),0)))</f>
        <v/>
      </c>
      <c r="X36" s="83" t="str">
        <f aca="false">IF($A36="","",IF(D36="买入",0,IFERROR(IF(W36&lt;&gt;0,(H36-IFERROR(INDEX($H$2:$H35,MATCH(2,1/($C$2:$C35=$C36))),0))/W36,0),0)))</f>
        <v/>
      </c>
      <c r="Y36" s="83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4" t="str">
        <f aca="false">IF($A36="","",MAX(0,(MAX($Y$2:Y36)-Y36)/MAX(1,MAX($Y$2:Y36))))</f>
        <v/>
      </c>
    </row>
    <row r="37" customFormat="false" ht="15" hidden="false" customHeight="true" outlineLevel="0" collapsed="false">
      <c r="A37" s="9"/>
      <c r="B37" s="9"/>
      <c r="C37" s="9"/>
      <c r="D37" s="9"/>
      <c r="E37" s="9"/>
      <c r="F37" s="26"/>
      <c r="G37" s="27"/>
      <c r="H37" s="18"/>
      <c r="I37" s="26"/>
      <c r="J37" s="27"/>
      <c r="K37" s="19"/>
      <c r="L37" s="26"/>
      <c r="M37" s="9"/>
      <c r="N37" s="14"/>
      <c r="O37" s="9"/>
      <c r="P37" s="14"/>
      <c r="Q37" s="9"/>
      <c r="R37" s="28"/>
      <c r="S37" s="14"/>
      <c r="T37" s="14"/>
      <c r="U37" s="9"/>
      <c r="V37" s="1" t="str">
        <f aca="false">IF($A37="","",IF(OR(D37="卖出",D37="分红"),IFERROR(INDEX($F$2:$F36,MATCH(2,1/($C$2:$C36=$C37))),""),""))</f>
        <v/>
      </c>
      <c r="W37" s="82" t="str">
        <f aca="false">IF($A37="","",IF(D37="买入",IF(AND(ISNUMBER(L37),L37&gt;0),(F37-L37)*G37,F37*0.08*G37),IF(AND(ISNUMBER(V37),V37&gt;0),IF(AND(ISNUMBER(L37),L37&gt;0),(V37-L37)*G37,V37*0.08*G37),0)))</f>
        <v/>
      </c>
      <c r="X37" s="83" t="str">
        <f aca="false">IF($A37="","",IF(D37="买入",0,IFERROR(IF(W37&lt;&gt;0,(H37-IFERROR(INDEX($H$2:$H36,MATCH(2,1/($C$2:$C36=$C37))),0))/W37,0),0)))</f>
        <v/>
      </c>
      <c r="Y37" s="83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4" t="str">
        <f aca="false">IF($A37="","",MAX(0,(MAX($Y$2:Y37)-Y37)/MAX(1,MAX($Y$2:Y37))))</f>
        <v/>
      </c>
    </row>
    <row r="38" customFormat="false" ht="15" hidden="false" customHeight="true" outlineLevel="0" collapsed="false">
      <c r="A38" s="6"/>
      <c r="B38" s="6"/>
      <c r="C38" s="6"/>
      <c r="D38" s="6"/>
      <c r="E38" s="6"/>
      <c r="F38" s="17"/>
      <c r="G38" s="20"/>
      <c r="H38" s="18"/>
      <c r="I38" s="17"/>
      <c r="J38" s="20"/>
      <c r="K38" s="19"/>
      <c r="L38" s="17"/>
      <c r="M38" s="6"/>
      <c r="N38" s="13"/>
      <c r="O38" s="6"/>
      <c r="P38" s="13"/>
      <c r="Q38" s="6"/>
      <c r="R38" s="22"/>
      <c r="S38" s="13"/>
      <c r="T38" s="13"/>
      <c r="U38" s="6"/>
      <c r="V38" s="1" t="str">
        <f aca="false">IF($A38="","",IF(OR(D38="卖出",D38="分红"),IFERROR(INDEX($F$2:$F37,MATCH(2,1/($C$2:$C37=$C38))),""),""))</f>
        <v/>
      </c>
      <c r="W38" s="82" t="str">
        <f aca="false">IF($A38="","",IF(D38="买入",IF(AND(ISNUMBER(L38),L38&gt;0),(F38-L38)*G38,F38*0.08*G38),IF(AND(ISNUMBER(V38),V38&gt;0),IF(AND(ISNUMBER(L38),L38&gt;0),(V38-L38)*G38,V38*0.08*G38),0)))</f>
        <v/>
      </c>
      <c r="X38" s="83" t="str">
        <f aca="false">IF($A38="","",IF(D38="买入",0,IFERROR(IF(W38&lt;&gt;0,(H38-IFERROR(INDEX($H$2:$H37,MATCH(2,1/($C$2:$C37=$C38))),0))/W38,0),0)))</f>
        <v/>
      </c>
      <c r="Y38" s="83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4" t="str">
        <f aca="false">IF($A38="","",MAX(0,(MAX($Y$2:Y38)-Y38)/MAX(1,MAX($Y$2:Y38))))</f>
        <v/>
      </c>
    </row>
    <row r="39" customFormat="false" ht="15" hidden="false" customHeight="true" outlineLevel="0" collapsed="false">
      <c r="A39" s="9"/>
      <c r="B39" s="9"/>
      <c r="C39" s="9"/>
      <c r="D39" s="9"/>
      <c r="E39" s="9"/>
      <c r="F39" s="26"/>
      <c r="G39" s="27"/>
      <c r="H39" s="18"/>
      <c r="I39" s="26"/>
      <c r="J39" s="27"/>
      <c r="K39" s="19"/>
      <c r="L39" s="26"/>
      <c r="M39" s="9"/>
      <c r="N39" s="14"/>
      <c r="O39" s="9"/>
      <c r="P39" s="14"/>
      <c r="Q39" s="9"/>
      <c r="R39" s="28"/>
      <c r="S39" s="14"/>
      <c r="T39" s="14"/>
      <c r="U39" s="9"/>
      <c r="V39" s="1" t="str">
        <f aca="false">IF($A39="","",IF(OR(D39="卖出",D39="分红"),IFERROR(INDEX($F$2:$F38,MATCH(2,1/($C$2:$C38=$C39))),""),""))</f>
        <v/>
      </c>
      <c r="W39" s="82" t="str">
        <f aca="false">IF($A39="","",IF(D39="买入",IF(AND(ISNUMBER(L39),L39&gt;0),(F39-L39)*G39,F39*0.08*G39),IF(AND(ISNUMBER(V39),V39&gt;0),IF(AND(ISNUMBER(L39),L39&gt;0),(V39-L39)*G39,V39*0.08*G39),0)))</f>
        <v/>
      </c>
      <c r="X39" s="83" t="str">
        <f aca="false">IF($A39="","",IF(D39="买入",0,IFERROR(IF(W39&lt;&gt;0,(H39-IFERROR(INDEX($H$2:$H38,MATCH(2,1/($C$2:$C38=$C39))),0))/W39,0),0)))</f>
        <v/>
      </c>
      <c r="Y39" s="83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4" t="str">
        <f aca="false">IF($A39="","",MAX(0,(MAX($Y$2:Y39)-Y39)/MAX(1,MAX($Y$2:Y39))))</f>
        <v/>
      </c>
    </row>
    <row r="40" customFormat="false" ht="15" hidden="false" customHeight="true" outlineLevel="0" collapsed="false">
      <c r="A40" s="6"/>
      <c r="B40" s="6"/>
      <c r="C40" s="6"/>
      <c r="D40" s="6"/>
      <c r="E40" s="6"/>
      <c r="F40" s="17"/>
      <c r="G40" s="20"/>
      <c r="H40" s="18"/>
      <c r="I40" s="17"/>
      <c r="J40" s="20"/>
      <c r="K40" s="19"/>
      <c r="L40" s="17"/>
      <c r="M40" s="6"/>
      <c r="N40" s="13"/>
      <c r="O40" s="6"/>
      <c r="P40" s="13"/>
      <c r="Q40" s="6"/>
      <c r="R40" s="22"/>
      <c r="S40" s="13"/>
      <c r="T40" s="13"/>
      <c r="U40" s="6"/>
      <c r="V40" s="1" t="str">
        <f aca="false">IF($A40="","",IF(OR(D40="卖出",D40="分红"),IFERROR(INDEX($F$2:$F39,MATCH(2,1/($C$2:$C39=$C40))),""),""))</f>
        <v/>
      </c>
      <c r="W40" s="82" t="str">
        <f aca="false">IF($A40="","",IF(D40="买入",IF(AND(ISNUMBER(L40),L40&gt;0),(F40-L40)*G40,F40*0.08*G40),IF(AND(ISNUMBER(V40),V40&gt;0),IF(AND(ISNUMBER(L40),L40&gt;0),(V40-L40)*G40,V40*0.08*G40),0)))</f>
        <v/>
      </c>
      <c r="X40" s="83" t="str">
        <f aca="false">IF($A40="","",IF(D40="买入",0,IFERROR(IF(W40&lt;&gt;0,(H40-IFERROR(INDEX($H$2:$H39,MATCH(2,1/($C$2:$C39=$C40))),0))/W40,0),0)))</f>
        <v/>
      </c>
      <c r="Y40" s="83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4" t="str">
        <f aca="false">IF($A40="","",MAX(0,(MAX($Y$2:Y40)-Y40)/MAX(1,MAX($Y$2:Y40))))</f>
        <v/>
      </c>
    </row>
    <row r="41" customFormat="false" ht="15" hidden="false" customHeight="true" outlineLevel="0" collapsed="false">
      <c r="A41" s="9"/>
      <c r="B41" s="9"/>
      <c r="C41" s="9"/>
      <c r="D41" s="9"/>
      <c r="E41" s="9"/>
      <c r="F41" s="26"/>
      <c r="G41" s="27"/>
      <c r="H41" s="18"/>
      <c r="I41" s="26"/>
      <c r="J41" s="27"/>
      <c r="K41" s="19"/>
      <c r="L41" s="26"/>
      <c r="M41" s="9"/>
      <c r="N41" s="14"/>
      <c r="O41" s="9"/>
      <c r="P41" s="14"/>
      <c r="Q41" s="9"/>
      <c r="R41" s="28"/>
      <c r="S41" s="14"/>
      <c r="T41" s="14"/>
      <c r="U41" s="9"/>
      <c r="V41" s="1" t="str">
        <f aca="false">IF($A41="","",IF(OR(D41="卖出",D41="分红"),IFERROR(INDEX($F$2:$F40,MATCH(2,1/($C$2:$C40=$C41))),""),""))</f>
        <v/>
      </c>
      <c r="W41" s="82" t="str">
        <f aca="false">IF($A41="","",IF(D41="买入",IF(AND(ISNUMBER(L41),L41&gt;0),(F41-L41)*G41,F41*0.08*G41),IF(AND(ISNUMBER(V41),V41&gt;0),IF(AND(ISNUMBER(L41),L41&gt;0),(V41-L41)*G41,V41*0.08*G41),0)))</f>
        <v/>
      </c>
      <c r="X41" s="83" t="str">
        <f aca="false">IF($A41="","",IF(D41="买入",0,IFERROR(IF(W41&lt;&gt;0,(H41-IFERROR(INDEX($H$2:$H40,MATCH(2,1/($C$2:$C40=$C41))),0))/W41,0),0)))</f>
        <v/>
      </c>
      <c r="Y41" s="83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4" t="str">
        <f aca="false">IF($A41="","",MAX(0,(MAX($Y$2:Y41)-Y41)/MAX(1,MAX($Y$2:Y41))))</f>
        <v/>
      </c>
    </row>
    <row r="42" customFormat="false" ht="15" hidden="false" customHeight="true" outlineLevel="0" collapsed="false">
      <c r="A42" s="6"/>
      <c r="B42" s="6"/>
      <c r="C42" s="6"/>
      <c r="D42" s="6"/>
      <c r="E42" s="6"/>
      <c r="F42" s="17"/>
      <c r="G42" s="20"/>
      <c r="H42" s="18"/>
      <c r="I42" s="17"/>
      <c r="J42" s="20"/>
      <c r="K42" s="19"/>
      <c r="L42" s="17"/>
      <c r="M42" s="6"/>
      <c r="N42" s="13"/>
      <c r="O42" s="6"/>
      <c r="P42" s="13"/>
      <c r="Q42" s="6"/>
      <c r="R42" s="22"/>
      <c r="S42" s="13"/>
      <c r="T42" s="13"/>
      <c r="U42" s="6"/>
      <c r="V42" s="1" t="str">
        <f aca="false">IF($A42="","",IF(OR(D42="卖出",D42="分红"),IFERROR(INDEX($F$2:$F41,MATCH(2,1/($C$2:$C41=$C42))),""),""))</f>
        <v/>
      </c>
      <c r="W42" s="82" t="str">
        <f aca="false">IF($A42="","",IF(D42="买入",IF(AND(ISNUMBER(L42),L42&gt;0),(F42-L42)*G42,F42*0.08*G42),IF(AND(ISNUMBER(V42),V42&gt;0),IF(AND(ISNUMBER(L42),L42&gt;0),(V42-L42)*G42,V42*0.08*G42),0)))</f>
        <v/>
      </c>
      <c r="X42" s="83" t="str">
        <f aca="false">IF($A42="","",IF(D42="买入",0,IFERROR(IF(W42&lt;&gt;0,(H42-IFERROR(INDEX($H$2:$H41,MATCH(2,1/($C$2:$C41=$C42))),0))/W42,0),0)))</f>
        <v/>
      </c>
      <c r="Y42" s="83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4" t="str">
        <f aca="false">IF($A42="","",MAX(0,(MAX($Y$2:Y42)-Y42)/MAX(1,MAX($Y$2:Y42))))</f>
        <v/>
      </c>
    </row>
    <row r="43" customFormat="false" ht="15" hidden="false" customHeight="true" outlineLevel="0" collapsed="false">
      <c r="A43" s="9"/>
      <c r="B43" s="9"/>
      <c r="C43" s="9"/>
      <c r="D43" s="9"/>
      <c r="E43" s="9"/>
      <c r="F43" s="26"/>
      <c r="G43" s="27"/>
      <c r="H43" s="18"/>
      <c r="I43" s="26"/>
      <c r="J43" s="27"/>
      <c r="K43" s="19"/>
      <c r="L43" s="26"/>
      <c r="M43" s="9"/>
      <c r="N43" s="14"/>
      <c r="O43" s="9"/>
      <c r="P43" s="14"/>
      <c r="Q43" s="9"/>
      <c r="R43" s="28"/>
      <c r="S43" s="14"/>
      <c r="T43" s="14"/>
      <c r="U43" s="9"/>
      <c r="V43" s="1" t="str">
        <f aca="false">IF($A43="","",IF(OR(D43="卖出",D43="分红"),IFERROR(INDEX($F$2:$F42,MATCH(2,1/($C$2:$C42=$C43))),""),""))</f>
        <v/>
      </c>
      <c r="W43" s="82" t="str">
        <f aca="false">IF($A43="","",IF(D43="买入",IF(AND(ISNUMBER(L43),L43&gt;0),(F43-L43)*G43,F43*0.08*G43),IF(AND(ISNUMBER(V43),V43&gt;0),IF(AND(ISNUMBER(L43),L43&gt;0),(V43-L43)*G43,V43*0.08*G43),0)))</f>
        <v/>
      </c>
      <c r="X43" s="83" t="str">
        <f aca="false">IF($A43="","",IF(D43="买入",0,IFERROR(IF(W43&lt;&gt;0,(H43-IFERROR(INDEX($H$2:$H42,MATCH(2,1/($C$2:$C42=$C43))),0))/W43,0),0)))</f>
        <v/>
      </c>
      <c r="Y43" s="83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4" t="str">
        <f aca="false">IF($A43="","",MAX(0,(MAX($Y$2:Y43)-Y43)/MAX(1,MAX($Y$2:Y43))))</f>
        <v/>
      </c>
    </row>
    <row r="44" customFormat="false" ht="15" hidden="false" customHeight="true" outlineLevel="0" collapsed="false">
      <c r="A44" s="6"/>
      <c r="B44" s="6"/>
      <c r="C44" s="6"/>
      <c r="D44" s="6"/>
      <c r="E44" s="6"/>
      <c r="F44" s="17"/>
      <c r="G44" s="20"/>
      <c r="H44" s="18"/>
      <c r="I44" s="17"/>
      <c r="J44" s="20"/>
      <c r="K44" s="19"/>
      <c r="L44" s="17"/>
      <c r="M44" s="6"/>
      <c r="N44" s="13"/>
      <c r="O44" s="6"/>
      <c r="P44" s="13"/>
      <c r="Q44" s="6"/>
      <c r="R44" s="22"/>
      <c r="S44" s="13"/>
      <c r="T44" s="13"/>
      <c r="U44" s="6"/>
      <c r="V44" s="1" t="str">
        <f aca="false">IF($A44="","",IF(OR(D44="卖出",D44="分红"),IFERROR(INDEX($F$2:$F43,MATCH(2,1/($C$2:$C43=$C44))),""),""))</f>
        <v/>
      </c>
      <c r="W44" s="82" t="str">
        <f aca="false">IF($A44="","",IF(D44="买入",IF(AND(ISNUMBER(L44),L44&gt;0),(F44-L44)*G44,F44*0.08*G44),IF(AND(ISNUMBER(V44),V44&gt;0),IF(AND(ISNUMBER(L44),L44&gt;0),(V44-L44)*G44,V44*0.08*G44),0)))</f>
        <v/>
      </c>
      <c r="X44" s="83" t="str">
        <f aca="false">IF($A44="","",IF(D44="买入",0,IFERROR(IF(W44&lt;&gt;0,(H44-IFERROR(INDEX($H$2:$H43,MATCH(2,1/($C$2:$C43=$C44))),0))/W44,0),0)))</f>
        <v/>
      </c>
      <c r="Y44" s="83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4" t="str">
        <f aca="false">IF($A44="","",MAX(0,(MAX($Y$2:Y44)-Y44)/MAX(1,MAX($Y$2:Y44))))</f>
        <v/>
      </c>
    </row>
    <row r="45" customFormat="false" ht="15" hidden="false" customHeight="true" outlineLevel="0" collapsed="false">
      <c r="A45" s="9"/>
      <c r="B45" s="9"/>
      <c r="C45" s="9"/>
      <c r="D45" s="9"/>
      <c r="E45" s="9"/>
      <c r="F45" s="26"/>
      <c r="G45" s="27"/>
      <c r="H45" s="18"/>
      <c r="I45" s="26"/>
      <c r="J45" s="27"/>
      <c r="K45" s="19"/>
      <c r="L45" s="26"/>
      <c r="M45" s="9"/>
      <c r="N45" s="14"/>
      <c r="O45" s="9"/>
      <c r="P45" s="14"/>
      <c r="Q45" s="9"/>
      <c r="R45" s="28"/>
      <c r="S45" s="14"/>
      <c r="T45" s="14"/>
      <c r="U45" s="9"/>
      <c r="V45" s="1" t="str">
        <f aca="false">IF($A45="","",IF(OR(D45="卖出",D45="分红"),IFERROR(INDEX($F$2:$F44,MATCH(2,1/($C$2:$C44=$C45))),""),""))</f>
        <v/>
      </c>
      <c r="W45" s="82" t="str">
        <f aca="false">IF($A45="","",IF(D45="买入",IF(AND(ISNUMBER(L45),L45&gt;0),(F45-L45)*G45,F45*0.08*G45),IF(AND(ISNUMBER(V45),V45&gt;0),IF(AND(ISNUMBER(L45),L45&gt;0),(V45-L45)*G45,V45*0.08*G45),0)))</f>
        <v/>
      </c>
      <c r="X45" s="83" t="str">
        <f aca="false">IF($A45="","",IF(D45="买入",0,IFERROR(IF(W45&lt;&gt;0,(H45-IFERROR(INDEX($H$2:$H44,MATCH(2,1/($C$2:$C44=$C45))),0))/W45,0),0)))</f>
        <v/>
      </c>
      <c r="Y45" s="83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4" t="str">
        <f aca="false">IF($A45="","",MAX(0,(MAX($Y$2:Y45)-Y45)/MAX(1,MAX($Y$2:Y45))))</f>
        <v/>
      </c>
    </row>
    <row r="46" customFormat="false" ht="15" hidden="false" customHeight="true" outlineLevel="0" collapsed="false">
      <c r="A46" s="6"/>
      <c r="B46" s="6"/>
      <c r="C46" s="6"/>
      <c r="D46" s="6"/>
      <c r="E46" s="6"/>
      <c r="F46" s="17"/>
      <c r="G46" s="20"/>
      <c r="H46" s="18"/>
      <c r="I46" s="17"/>
      <c r="J46" s="20"/>
      <c r="K46" s="19"/>
      <c r="L46" s="17"/>
      <c r="M46" s="6"/>
      <c r="N46" s="13"/>
      <c r="O46" s="6"/>
      <c r="P46" s="13"/>
      <c r="Q46" s="6"/>
      <c r="R46" s="22"/>
      <c r="S46" s="13"/>
      <c r="T46" s="13"/>
      <c r="U46" s="6"/>
      <c r="V46" s="1" t="str">
        <f aca="false">IF($A46="","",IF(OR(D46="卖出",D46="分红"),IFERROR(INDEX($F$2:$F45,MATCH(2,1/($C$2:$C45=$C46))),""),""))</f>
        <v/>
      </c>
      <c r="W46" s="82" t="str">
        <f aca="false">IF($A46="","",IF(D46="买入",IF(AND(ISNUMBER(L46),L46&gt;0),(F46-L46)*G46,F46*0.08*G46),IF(AND(ISNUMBER(V46),V46&gt;0),IF(AND(ISNUMBER(L46),L46&gt;0),(V46-L46)*G46,V46*0.08*G46),0)))</f>
        <v/>
      </c>
      <c r="X46" s="83" t="str">
        <f aca="false">IF($A46="","",IF(D46="买入",0,IFERROR(IF(W46&lt;&gt;0,(H46-IFERROR(INDEX($H$2:$H45,MATCH(2,1/($C$2:$C45=$C46))),0))/W46,0),0)))</f>
        <v/>
      </c>
      <c r="Y46" s="83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4" t="str">
        <f aca="false">IF($A46="","",MAX(0,(MAX($Y$2:Y46)-Y46)/MAX(1,MAX($Y$2:Y46))))</f>
        <v/>
      </c>
    </row>
    <row r="47" customFormat="false" ht="15" hidden="false" customHeight="true" outlineLevel="0" collapsed="false">
      <c r="A47" s="9"/>
      <c r="B47" s="9"/>
      <c r="C47" s="9"/>
      <c r="D47" s="9"/>
      <c r="E47" s="9"/>
      <c r="F47" s="26"/>
      <c r="G47" s="27"/>
      <c r="H47" s="18"/>
      <c r="I47" s="26"/>
      <c r="J47" s="27"/>
      <c r="K47" s="19"/>
      <c r="L47" s="26"/>
      <c r="M47" s="9"/>
      <c r="N47" s="14"/>
      <c r="O47" s="9"/>
      <c r="P47" s="14"/>
      <c r="Q47" s="9"/>
      <c r="R47" s="28"/>
      <c r="S47" s="14"/>
      <c r="T47" s="14"/>
      <c r="U47" s="9"/>
      <c r="V47" s="1" t="str">
        <f aca="false">IF($A47="","",IF(OR(D47="卖出",D47="分红"),IFERROR(INDEX($F$2:$F46,MATCH(2,1/($C$2:$C46=$C47))),""),""))</f>
        <v/>
      </c>
      <c r="W47" s="82" t="str">
        <f aca="false">IF($A47="","",IF(D47="买入",IF(AND(ISNUMBER(L47),L47&gt;0),(F47-L47)*G47,F47*0.08*G47),IF(AND(ISNUMBER(V47),V47&gt;0),IF(AND(ISNUMBER(L47),L47&gt;0),(V47-L47)*G47,V47*0.08*G47),0)))</f>
        <v/>
      </c>
      <c r="X47" s="83" t="str">
        <f aca="false">IF($A47="","",IF(D47="买入",0,IFERROR(IF(W47&lt;&gt;0,(H47-IFERROR(INDEX($H$2:$H46,MATCH(2,1/($C$2:$C46=$C47))),0))/W47,0),0)))</f>
        <v/>
      </c>
      <c r="Y47" s="83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4" t="str">
        <f aca="false">IF($A47="","",MAX(0,(MAX($Y$2:Y47)-Y47)/MAX(1,MAX($Y$2:Y47))))</f>
        <v/>
      </c>
    </row>
    <row r="48" customFormat="false" ht="15" hidden="false" customHeight="true" outlineLevel="0" collapsed="false">
      <c r="A48" s="6"/>
      <c r="B48" s="6"/>
      <c r="C48" s="6"/>
      <c r="D48" s="6"/>
      <c r="E48" s="6"/>
      <c r="F48" s="17"/>
      <c r="G48" s="20"/>
      <c r="H48" s="18"/>
      <c r="I48" s="17"/>
      <c r="J48" s="20"/>
      <c r="K48" s="19"/>
      <c r="L48" s="17"/>
      <c r="M48" s="6"/>
      <c r="N48" s="13"/>
      <c r="O48" s="6"/>
      <c r="P48" s="13"/>
      <c r="Q48" s="6"/>
      <c r="R48" s="22"/>
      <c r="S48" s="13"/>
      <c r="T48" s="13"/>
      <c r="U48" s="6"/>
      <c r="V48" s="1" t="str">
        <f aca="false">IF($A48="","",IF(OR(D48="卖出",D48="分红"),IFERROR(INDEX($F$2:$F47,MATCH(2,1/($C$2:$C47=$C48))),""),""))</f>
        <v/>
      </c>
      <c r="W48" s="82" t="str">
        <f aca="false">IF($A48="","",IF(D48="买入",IF(AND(ISNUMBER(L48),L48&gt;0),(F48-L48)*G48,F48*0.08*G48),IF(AND(ISNUMBER(V48),V48&gt;0),IF(AND(ISNUMBER(L48),L48&gt;0),(V48-L48)*G48,V48*0.08*G48),0)))</f>
        <v/>
      </c>
      <c r="X48" s="83" t="str">
        <f aca="false">IF($A48="","",IF(D48="买入",0,IFERROR(IF(W48&lt;&gt;0,(H48-IFERROR(INDEX($H$2:$H47,MATCH(2,1/($C$2:$C47=$C48))),0))/W48,0),0)))</f>
        <v/>
      </c>
      <c r="Y48" s="83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4" t="str">
        <f aca="false">IF($A48="","",MAX(0,(MAX($Y$2:Y48)-Y48)/MAX(1,MAX($Y$2:Y48))))</f>
        <v/>
      </c>
    </row>
    <row r="49" customFormat="false" ht="15" hidden="false" customHeight="true" outlineLevel="0" collapsed="false">
      <c r="A49" s="9"/>
      <c r="B49" s="9"/>
      <c r="C49" s="9"/>
      <c r="D49" s="9"/>
      <c r="E49" s="9"/>
      <c r="F49" s="26"/>
      <c r="G49" s="27"/>
      <c r="H49" s="18"/>
      <c r="I49" s="26"/>
      <c r="J49" s="27"/>
      <c r="K49" s="19"/>
      <c r="L49" s="26"/>
      <c r="M49" s="9"/>
      <c r="N49" s="14"/>
      <c r="O49" s="9"/>
      <c r="P49" s="14"/>
      <c r="Q49" s="9"/>
      <c r="R49" s="28"/>
      <c r="S49" s="14"/>
      <c r="T49" s="14"/>
      <c r="U49" s="9"/>
      <c r="V49" s="1" t="str">
        <f aca="false">IF($A49="","",IF(OR(D49="卖出",D49="分红"),IFERROR(INDEX($F$2:$F48,MATCH(2,1/($C$2:$C48=$C49))),""),""))</f>
        <v/>
      </c>
      <c r="W49" s="82" t="str">
        <f aca="false">IF($A49="","",IF(D49="买入",IF(AND(ISNUMBER(L49),L49&gt;0),(F49-L49)*G49,F49*0.08*G49),IF(AND(ISNUMBER(V49),V49&gt;0),IF(AND(ISNUMBER(L49),L49&gt;0),(V49-L49)*G49,V49*0.08*G49),0)))</f>
        <v/>
      </c>
      <c r="X49" s="83" t="str">
        <f aca="false">IF($A49="","",IF(D49="买入",0,IFERROR(IF(W49&lt;&gt;0,(H49-IFERROR(INDEX($H$2:$H48,MATCH(2,1/($C$2:$C48=$C49))),0))/W49,0),0)))</f>
        <v/>
      </c>
      <c r="Y49" s="83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4" t="str">
        <f aca="false">IF($A49="","",MAX(0,(MAX($Y$2:Y49)-Y49)/MAX(1,MAX($Y$2:Y49))))</f>
        <v/>
      </c>
    </row>
    <row r="50" customFormat="false" ht="15" hidden="false" customHeight="true" outlineLevel="0" collapsed="false">
      <c r="A50" s="6"/>
      <c r="B50" s="6"/>
      <c r="C50" s="6"/>
      <c r="D50" s="6"/>
      <c r="E50" s="6"/>
      <c r="F50" s="17"/>
      <c r="G50" s="20"/>
      <c r="H50" s="18"/>
      <c r="I50" s="17"/>
      <c r="J50" s="20"/>
      <c r="K50" s="19"/>
      <c r="L50" s="17"/>
      <c r="M50" s="6"/>
      <c r="N50" s="13"/>
      <c r="O50" s="6"/>
      <c r="P50" s="13"/>
      <c r="Q50" s="6"/>
      <c r="R50" s="22"/>
      <c r="S50" s="13"/>
      <c r="T50" s="13"/>
      <c r="U50" s="6"/>
      <c r="V50" s="1" t="str">
        <f aca="false">IF($A50="","",IF(OR(D50="卖出",D50="分红"),IFERROR(INDEX($F$2:$F49,MATCH(2,1/($C$2:$C49=$C50))),""),""))</f>
        <v/>
      </c>
      <c r="W50" s="82" t="str">
        <f aca="false">IF($A50="","",IF(D50="买入",IF(AND(ISNUMBER(L50),L50&gt;0),(F50-L50)*G50,F50*0.08*G50),IF(AND(ISNUMBER(V50),V50&gt;0),IF(AND(ISNUMBER(L50),L50&gt;0),(V50-L50)*G50,V50*0.08*G50),0)))</f>
        <v/>
      </c>
      <c r="X50" s="83" t="str">
        <f aca="false">IF($A50="","",IF(D50="买入",0,IFERROR(IF(W50&lt;&gt;0,(H50-IFERROR(INDEX($H$2:$H49,MATCH(2,1/($C$2:$C49=$C50))),0))/W50,0),0)))</f>
        <v/>
      </c>
      <c r="Y50" s="83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4" t="str">
        <f aca="false">IF($A50="","",MAX(0,(MAX($Y$2:Y50)-Y50)/MAX(1,MAX($Y$2:Y50))))</f>
        <v/>
      </c>
    </row>
    <row r="51" customFormat="false" ht="15" hidden="false" customHeight="true" outlineLevel="0" collapsed="false">
      <c r="A51" s="9"/>
      <c r="B51" s="9"/>
      <c r="C51" s="9"/>
      <c r="D51" s="9"/>
      <c r="E51" s="9"/>
      <c r="F51" s="26"/>
      <c r="G51" s="27"/>
      <c r="H51" s="18"/>
      <c r="I51" s="26"/>
      <c r="J51" s="27"/>
      <c r="K51" s="19"/>
      <c r="L51" s="26"/>
      <c r="M51" s="9"/>
      <c r="N51" s="14"/>
      <c r="O51" s="9"/>
      <c r="P51" s="14"/>
      <c r="Q51" s="9"/>
      <c r="R51" s="28"/>
      <c r="S51" s="14"/>
      <c r="T51" s="14"/>
      <c r="U51" s="9"/>
      <c r="V51" s="1" t="str">
        <f aca="false">IF($A51="","",IF(OR(D51="卖出",D51="分红"),IFERROR(INDEX($F$2:$F50,MATCH(2,1/($C$2:$C50=$C51))),""),""))</f>
        <v/>
      </c>
      <c r="W51" s="82" t="str">
        <f aca="false">IF($A51="","",IF(D51="买入",IF(AND(ISNUMBER(L51),L51&gt;0),(F51-L51)*G51,F51*0.08*G51),IF(AND(ISNUMBER(V51),V51&gt;0),IF(AND(ISNUMBER(L51),L51&gt;0),(V51-L51)*G51,V51*0.08*G51),0)))</f>
        <v/>
      </c>
      <c r="X51" s="83" t="str">
        <f aca="false">IF($A51="","",IF(D51="买入",0,IFERROR(IF(W51&lt;&gt;0,(H51-IFERROR(INDEX($H$2:$H50,MATCH(2,1/($C$2:$C50=$C51))),0))/W51,0),0)))</f>
        <v/>
      </c>
      <c r="Y51" s="83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4" t="str">
        <f aca="false">IF($A51="","",MAX(0,(MAX($Y$2:Y51)-Y51)/MAX(1,MAX($Y$2:Y51))))</f>
        <v/>
      </c>
    </row>
    <row r="52" customFormat="false" ht="15" hidden="false" customHeight="true" outlineLevel="0" collapsed="false">
      <c r="A52" s="6"/>
      <c r="B52" s="6"/>
      <c r="C52" s="6"/>
      <c r="D52" s="6"/>
      <c r="E52" s="6"/>
      <c r="F52" s="17"/>
      <c r="G52" s="20"/>
      <c r="H52" s="18"/>
      <c r="I52" s="17"/>
      <c r="J52" s="20"/>
      <c r="K52" s="19"/>
      <c r="L52" s="17"/>
      <c r="M52" s="6"/>
      <c r="N52" s="13"/>
      <c r="O52" s="6"/>
      <c r="P52" s="13"/>
      <c r="Q52" s="6"/>
      <c r="R52" s="22"/>
      <c r="S52" s="13"/>
      <c r="T52" s="13"/>
      <c r="U52" s="6"/>
      <c r="V52" s="1" t="str">
        <f aca="false">IF($A52="","",IF(OR(D52="卖出",D52="分红"),IFERROR(INDEX($F$2:$F51,MATCH(2,1/($C$2:$C51=$C52))),""),""))</f>
        <v/>
      </c>
      <c r="W52" s="82" t="str">
        <f aca="false">IF($A52="","",IF(D52="买入",IF(AND(ISNUMBER(L52),L52&gt;0),(F52-L52)*G52,F52*0.08*G52),IF(AND(ISNUMBER(V52),V52&gt;0),IF(AND(ISNUMBER(L52),L52&gt;0),(V52-L52)*G52,V52*0.08*G52),0)))</f>
        <v/>
      </c>
      <c r="X52" s="83" t="str">
        <f aca="false">IF($A52="","",IF(D52="买入",0,IFERROR(IF(W52&lt;&gt;0,(H52-IFERROR(INDEX($H$2:$H51,MATCH(2,1/($C$2:$C51=$C52))),0))/W52,0),0)))</f>
        <v/>
      </c>
      <c r="Y52" s="83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4" t="str">
        <f aca="false">IF($A52="","",MAX(0,(MAX($Y$2:Y52)-Y52)/MAX(1,MAX($Y$2:Y52))))</f>
        <v/>
      </c>
    </row>
    <row r="53" customFormat="false" ht="15" hidden="false" customHeight="true" outlineLevel="0" collapsed="false">
      <c r="A53" s="9"/>
      <c r="B53" s="9"/>
      <c r="C53" s="9"/>
      <c r="D53" s="9"/>
      <c r="E53" s="9"/>
      <c r="F53" s="26"/>
      <c r="G53" s="27"/>
      <c r="H53" s="18"/>
      <c r="I53" s="26"/>
      <c r="J53" s="27"/>
      <c r="K53" s="19"/>
      <c r="L53" s="26"/>
      <c r="M53" s="9"/>
      <c r="N53" s="14"/>
      <c r="O53" s="9"/>
      <c r="P53" s="14"/>
      <c r="Q53" s="9"/>
      <c r="R53" s="28"/>
      <c r="S53" s="14"/>
      <c r="T53" s="14"/>
      <c r="U53" s="9"/>
      <c r="V53" s="1" t="str">
        <f aca="false">IF($A53="","",IF(OR(D53="卖出",D53="分红"),IFERROR(INDEX($F$2:$F52,MATCH(2,1/($C$2:$C52=$C53))),""),""))</f>
        <v/>
      </c>
      <c r="W53" s="82" t="str">
        <f aca="false">IF($A53="","",IF(D53="买入",IF(AND(ISNUMBER(L53),L53&gt;0),(F53-L53)*G53,F53*0.08*G53),IF(AND(ISNUMBER(V53),V53&gt;0),IF(AND(ISNUMBER(L53),L53&gt;0),(V53-L53)*G53,V53*0.08*G53),0)))</f>
        <v/>
      </c>
      <c r="X53" s="83" t="str">
        <f aca="false">IF($A53="","",IF(D53="买入",0,IFERROR(IF(W53&lt;&gt;0,(H53-IFERROR(INDEX($H$2:$H52,MATCH(2,1/($C$2:$C52=$C53))),0))/W53,0),0)))</f>
        <v/>
      </c>
      <c r="Y53" s="83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4" t="str">
        <f aca="false">IF($A53="","",MAX(0,(MAX($Y$2:Y53)-Y53)/MAX(1,MAX($Y$2:Y53))))</f>
        <v/>
      </c>
    </row>
    <row r="54" customFormat="false" ht="15" hidden="false" customHeight="true" outlineLevel="0" collapsed="false">
      <c r="A54" s="6"/>
      <c r="B54" s="6"/>
      <c r="C54" s="6"/>
      <c r="D54" s="6"/>
      <c r="E54" s="6"/>
      <c r="F54" s="17"/>
      <c r="G54" s="20"/>
      <c r="H54" s="18"/>
      <c r="I54" s="17"/>
      <c r="J54" s="20"/>
      <c r="K54" s="19"/>
      <c r="L54" s="17"/>
      <c r="M54" s="6"/>
      <c r="N54" s="13"/>
      <c r="O54" s="6"/>
      <c r="P54" s="13"/>
      <c r="Q54" s="6"/>
      <c r="R54" s="22"/>
      <c r="S54" s="13"/>
      <c r="T54" s="13"/>
      <c r="U54" s="6"/>
      <c r="V54" s="1" t="str">
        <f aca="false">IF($A54="","",IF(OR(D54="卖出",D54="分红"),IFERROR(INDEX($F$2:$F53,MATCH(2,1/($C$2:$C53=$C54))),""),""))</f>
        <v/>
      </c>
      <c r="W54" s="82" t="str">
        <f aca="false">IF($A54="","",IF(D54="买入",IF(AND(ISNUMBER(L54),L54&gt;0),(F54-L54)*G54,F54*0.08*G54),IF(AND(ISNUMBER(V54),V54&gt;0),IF(AND(ISNUMBER(L54),L54&gt;0),(V54-L54)*G54,V54*0.08*G54),0)))</f>
        <v/>
      </c>
      <c r="X54" s="83" t="str">
        <f aca="false">IF($A54="","",IF(D54="买入",0,IFERROR(IF(W54&lt;&gt;0,(H54-IFERROR(INDEX($H$2:$H53,MATCH(2,1/($C$2:$C53=$C54))),0))/W54,0),0)))</f>
        <v/>
      </c>
      <c r="Y54" s="83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4" t="str">
        <f aca="false">IF($A54="","",MAX(0,(MAX($Y$2:Y54)-Y54)/MAX(1,MAX($Y$2:Y54))))</f>
        <v/>
      </c>
    </row>
    <row r="55" customFormat="false" ht="15" hidden="false" customHeight="true" outlineLevel="0" collapsed="false">
      <c r="A55" s="9"/>
      <c r="B55" s="9"/>
      <c r="C55" s="9"/>
      <c r="D55" s="9"/>
      <c r="E55" s="9"/>
      <c r="F55" s="26"/>
      <c r="G55" s="27"/>
      <c r="H55" s="18"/>
      <c r="I55" s="26"/>
      <c r="J55" s="27"/>
      <c r="K55" s="19"/>
      <c r="L55" s="26"/>
      <c r="M55" s="9"/>
      <c r="N55" s="14"/>
      <c r="O55" s="9"/>
      <c r="P55" s="14"/>
      <c r="Q55" s="9"/>
      <c r="R55" s="28"/>
      <c r="S55" s="14"/>
      <c r="T55" s="14"/>
      <c r="U55" s="9"/>
      <c r="V55" s="1" t="str">
        <f aca="false">IF($A55="","",IF(OR(D55="卖出",D55="分红"),IFERROR(INDEX($F$2:$F54,MATCH(2,1/($C$2:$C54=$C55))),""),""))</f>
        <v/>
      </c>
      <c r="W55" s="82" t="str">
        <f aca="false">IF($A55="","",IF(D55="买入",IF(AND(ISNUMBER(L55),L55&gt;0),(F55-L55)*G55,F55*0.08*G55),IF(AND(ISNUMBER(V55),V55&gt;0),IF(AND(ISNUMBER(L55),L55&gt;0),(V55-L55)*G55,V55*0.08*G55),0)))</f>
        <v/>
      </c>
      <c r="X55" s="83" t="str">
        <f aca="false">IF($A55="","",IF(D55="买入",0,IFERROR(IF(W55&lt;&gt;0,(H55-IFERROR(INDEX($H$2:$H54,MATCH(2,1/($C$2:$C54=$C55))),0))/W55,0),0)))</f>
        <v/>
      </c>
      <c r="Y55" s="83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4" t="str">
        <f aca="false">IF($A55="","",MAX(0,(MAX($Y$2:Y55)-Y55)/MAX(1,MAX($Y$2:Y55))))</f>
        <v/>
      </c>
    </row>
    <row r="56" customFormat="false" ht="15" hidden="false" customHeight="true" outlineLevel="0" collapsed="false">
      <c r="A56" s="6"/>
      <c r="B56" s="6"/>
      <c r="C56" s="6"/>
      <c r="D56" s="6"/>
      <c r="E56" s="6"/>
      <c r="F56" s="17"/>
      <c r="G56" s="20"/>
      <c r="H56" s="18"/>
      <c r="I56" s="17"/>
      <c r="J56" s="20"/>
      <c r="K56" s="19"/>
      <c r="L56" s="17"/>
      <c r="M56" s="6"/>
      <c r="N56" s="13"/>
      <c r="O56" s="6"/>
      <c r="P56" s="13"/>
      <c r="Q56" s="6"/>
      <c r="R56" s="22"/>
      <c r="S56" s="13"/>
      <c r="T56" s="13"/>
      <c r="U56" s="6"/>
      <c r="V56" s="1" t="str">
        <f aca="false">IF($A56="","",IF(OR(D56="卖出",D56="分红"),IFERROR(INDEX($F$2:$F55,MATCH(2,1/($C$2:$C55=$C56))),""),""))</f>
        <v/>
      </c>
      <c r="W56" s="82" t="str">
        <f aca="false">IF($A56="","",IF(D56="买入",IF(AND(ISNUMBER(L56),L56&gt;0),(F56-L56)*G56,F56*0.08*G56),IF(AND(ISNUMBER(V56),V56&gt;0),IF(AND(ISNUMBER(L56),L56&gt;0),(V56-L56)*G56,V56*0.08*G56),0)))</f>
        <v/>
      </c>
      <c r="X56" s="83" t="str">
        <f aca="false">IF($A56="","",IF(D56="买入",0,IFERROR(IF(W56&lt;&gt;0,(H56-IFERROR(INDEX($H$2:$H55,MATCH(2,1/($C$2:$C55=$C56))),0))/W56,0),0)))</f>
        <v/>
      </c>
      <c r="Y56" s="83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4" t="str">
        <f aca="false">IF($A56="","",MAX(0,(MAX($Y$2:Y56)-Y56)/MAX(1,MAX($Y$2:Y56))))</f>
        <v/>
      </c>
    </row>
    <row r="57" customFormat="false" ht="15" hidden="false" customHeight="true" outlineLevel="0" collapsed="false">
      <c r="A57" s="9"/>
      <c r="B57" s="9"/>
      <c r="C57" s="9"/>
      <c r="D57" s="9"/>
      <c r="E57" s="9"/>
      <c r="F57" s="26"/>
      <c r="G57" s="27"/>
      <c r="H57" s="18"/>
      <c r="I57" s="26"/>
      <c r="J57" s="27"/>
      <c r="K57" s="19"/>
      <c r="L57" s="26"/>
      <c r="M57" s="9"/>
      <c r="N57" s="14"/>
      <c r="O57" s="9"/>
      <c r="P57" s="14"/>
      <c r="Q57" s="9"/>
      <c r="R57" s="28"/>
      <c r="S57" s="14"/>
      <c r="T57" s="14"/>
      <c r="U57" s="9"/>
      <c r="V57" s="1" t="str">
        <f aca="false">IF($A57="","",IF(OR(D57="卖出",D57="分红"),IFERROR(INDEX($F$2:$F56,MATCH(2,1/($C$2:$C56=$C57))),""),""))</f>
        <v/>
      </c>
      <c r="W57" s="82" t="str">
        <f aca="false">IF($A57="","",IF(D57="买入",IF(AND(ISNUMBER(L57),L57&gt;0),(F57-L57)*G57,F57*0.08*G57),IF(AND(ISNUMBER(V57),V57&gt;0),IF(AND(ISNUMBER(L57),L57&gt;0),(V57-L57)*G57,V57*0.08*G57),0)))</f>
        <v/>
      </c>
      <c r="X57" s="83" t="str">
        <f aca="false">IF($A57="","",IF(D57="买入",0,IFERROR(IF(W57&lt;&gt;0,(H57-IFERROR(INDEX($H$2:$H56,MATCH(2,1/($C$2:$C56=$C57))),0))/W57,0),0)))</f>
        <v/>
      </c>
      <c r="Y57" s="83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4" t="str">
        <f aca="false">IF($A57="","",MAX(0,(MAX($Y$2:Y57)-Y57)/MAX(1,MAX($Y$2:Y57))))</f>
        <v/>
      </c>
    </row>
    <row r="58" customFormat="false" ht="15" hidden="false" customHeight="true" outlineLevel="0" collapsed="false">
      <c r="A58" s="6"/>
      <c r="B58" s="6"/>
      <c r="C58" s="6"/>
      <c r="D58" s="6"/>
      <c r="E58" s="6"/>
      <c r="F58" s="17"/>
      <c r="G58" s="20"/>
      <c r="H58" s="18"/>
      <c r="I58" s="17"/>
      <c r="J58" s="20"/>
      <c r="K58" s="19"/>
      <c r="L58" s="17"/>
      <c r="M58" s="6"/>
      <c r="N58" s="13"/>
      <c r="O58" s="6"/>
      <c r="P58" s="13"/>
      <c r="Q58" s="6"/>
      <c r="R58" s="22"/>
      <c r="S58" s="13"/>
      <c r="T58" s="13"/>
      <c r="U58" s="6"/>
      <c r="V58" s="1" t="str">
        <f aca="false">IF($A58="","",IF(OR(D58="卖出",D58="分红"),IFERROR(INDEX($F$2:$F57,MATCH(2,1/($C$2:$C57=$C58))),""),""))</f>
        <v/>
      </c>
      <c r="W58" s="82" t="str">
        <f aca="false">IF($A58="","",IF(D58="买入",IF(AND(ISNUMBER(L58),L58&gt;0),(F58-L58)*G58,F58*0.08*G58),IF(AND(ISNUMBER(V58),V58&gt;0),IF(AND(ISNUMBER(L58),L58&gt;0),(V58-L58)*G58,V58*0.08*G58),0)))</f>
        <v/>
      </c>
      <c r="X58" s="83" t="str">
        <f aca="false">IF($A58="","",IF(D58="买入",0,IFERROR(IF(W58&lt;&gt;0,(H58-IFERROR(INDEX($H$2:$H57,MATCH(2,1/($C$2:$C57=$C58))),0))/W58,0),0)))</f>
        <v/>
      </c>
      <c r="Y58" s="83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4" t="str">
        <f aca="false">IF($A58="","",MAX(0,(MAX($Y$2:Y58)-Y58)/MAX(1,MAX($Y$2:Y58))))</f>
        <v/>
      </c>
    </row>
    <row r="59" customFormat="false" ht="15" hidden="false" customHeight="true" outlineLevel="0" collapsed="false">
      <c r="A59" s="9"/>
      <c r="B59" s="9"/>
      <c r="C59" s="9"/>
      <c r="D59" s="9"/>
      <c r="E59" s="9"/>
      <c r="F59" s="26"/>
      <c r="G59" s="27"/>
      <c r="H59" s="18"/>
      <c r="I59" s="26"/>
      <c r="J59" s="27"/>
      <c r="K59" s="19"/>
      <c r="L59" s="26"/>
      <c r="M59" s="9"/>
      <c r="N59" s="14"/>
      <c r="O59" s="9"/>
      <c r="P59" s="14"/>
      <c r="Q59" s="9"/>
      <c r="R59" s="28"/>
      <c r="S59" s="14"/>
      <c r="T59" s="14"/>
      <c r="U59" s="9"/>
      <c r="V59" s="1" t="str">
        <f aca="false">IF($A59="","",IF(OR(D59="卖出",D59="分红"),IFERROR(INDEX($F$2:$F58,MATCH(2,1/($C$2:$C58=$C59))),""),""))</f>
        <v/>
      </c>
      <c r="W59" s="82" t="str">
        <f aca="false">IF($A59="","",IF(D59="买入",IF(AND(ISNUMBER(L59),L59&gt;0),(F59-L59)*G59,F59*0.08*G59),IF(AND(ISNUMBER(V59),V59&gt;0),IF(AND(ISNUMBER(L59),L59&gt;0),(V59-L59)*G59,V59*0.08*G59),0)))</f>
        <v/>
      </c>
      <c r="X59" s="83" t="str">
        <f aca="false">IF($A59="","",IF(D59="买入",0,IFERROR(IF(W59&lt;&gt;0,(H59-IFERROR(INDEX($H$2:$H58,MATCH(2,1/($C$2:$C58=$C59))),0))/W59,0),0)))</f>
        <v/>
      </c>
      <c r="Y59" s="83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4" t="str">
        <f aca="false">IF($A59="","",MAX(0,(MAX($Y$2:Y59)-Y59)/MAX(1,MAX($Y$2:Y59))))</f>
        <v/>
      </c>
    </row>
    <row r="60" customFormat="false" ht="15" hidden="false" customHeight="true" outlineLevel="0" collapsed="false">
      <c r="A60" s="6"/>
      <c r="B60" s="6"/>
      <c r="C60" s="6"/>
      <c r="D60" s="6"/>
      <c r="E60" s="6"/>
      <c r="F60" s="17"/>
      <c r="G60" s="20"/>
      <c r="H60" s="18"/>
      <c r="I60" s="17"/>
      <c r="J60" s="20"/>
      <c r="K60" s="19"/>
      <c r="L60" s="17"/>
      <c r="M60" s="6"/>
      <c r="N60" s="13"/>
      <c r="O60" s="6"/>
      <c r="P60" s="13"/>
      <c r="Q60" s="6"/>
      <c r="R60" s="22"/>
      <c r="S60" s="13"/>
      <c r="T60" s="13"/>
      <c r="U60" s="6"/>
      <c r="V60" s="1" t="str">
        <f aca="false">IF($A60="","",IF(OR(D60="卖出",D60="分红"),IFERROR(INDEX($F$2:$F59,MATCH(2,1/($C$2:$C59=$C60))),""),""))</f>
        <v/>
      </c>
      <c r="W60" s="82" t="str">
        <f aca="false">IF($A60="","",IF(D60="买入",IF(AND(ISNUMBER(L60),L60&gt;0),(F60-L60)*G60,F60*0.08*G60),IF(AND(ISNUMBER(V60),V60&gt;0),IF(AND(ISNUMBER(L60),L60&gt;0),(V60-L60)*G60,V60*0.08*G60),0)))</f>
        <v/>
      </c>
      <c r="X60" s="83" t="str">
        <f aca="false">IF($A60="","",IF(D60="买入",0,IFERROR(IF(W60&lt;&gt;0,(H60-IFERROR(INDEX($H$2:$H59,MATCH(2,1/($C$2:$C59=$C60))),0))/W60,0),0)))</f>
        <v/>
      </c>
      <c r="Y60" s="83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4" t="str">
        <f aca="false">IF($A60="","",MAX(0,(MAX($Y$2:Y60)-Y60)/MAX(1,MAX($Y$2:Y60))))</f>
        <v/>
      </c>
    </row>
    <row r="61" customFormat="false" ht="15" hidden="false" customHeight="true" outlineLevel="0" collapsed="false">
      <c r="A61" s="9"/>
      <c r="B61" s="9"/>
      <c r="C61" s="9"/>
      <c r="D61" s="9"/>
      <c r="E61" s="9"/>
      <c r="F61" s="26"/>
      <c r="G61" s="27"/>
      <c r="H61" s="18"/>
      <c r="I61" s="26"/>
      <c r="J61" s="27"/>
      <c r="K61" s="19"/>
      <c r="L61" s="26"/>
      <c r="M61" s="9"/>
      <c r="N61" s="14"/>
      <c r="O61" s="9"/>
      <c r="P61" s="14"/>
      <c r="Q61" s="9"/>
      <c r="R61" s="28"/>
      <c r="S61" s="14"/>
      <c r="T61" s="14"/>
      <c r="U61" s="9"/>
      <c r="V61" s="1" t="str">
        <f aca="false">IF($A61="","",IF(OR(D61="卖出",D61="分红"),IFERROR(INDEX($F$2:$F60,MATCH(2,1/($C$2:$C60=$C61))),""),""))</f>
        <v/>
      </c>
      <c r="W61" s="82" t="str">
        <f aca="false">IF($A61="","",IF(D61="买入",IF(AND(ISNUMBER(L61),L61&gt;0),(F61-L61)*G61,F61*0.08*G61),IF(AND(ISNUMBER(V61),V61&gt;0),IF(AND(ISNUMBER(L61),L61&gt;0),(V61-L61)*G61,V61*0.08*G61),0)))</f>
        <v/>
      </c>
      <c r="X61" s="83" t="str">
        <f aca="false">IF($A61="","",IF(D61="买入",0,IFERROR(IF(W61&lt;&gt;0,(H61-IFERROR(INDEX($H$2:$H60,MATCH(2,1/($C$2:$C60=$C61))),0))/W61,0),0)))</f>
        <v/>
      </c>
      <c r="Y61" s="83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4" t="str">
        <f aca="false">IF($A61="","",MAX(0,(MAX($Y$2:Y61)-Y61)/MAX(1,MAX($Y$2:Y61))))</f>
        <v/>
      </c>
    </row>
    <row r="62" customFormat="false" ht="15" hidden="false" customHeight="true" outlineLevel="0" collapsed="false">
      <c r="A62" s="6"/>
      <c r="B62" s="6"/>
      <c r="C62" s="6"/>
      <c r="D62" s="6"/>
      <c r="E62" s="6"/>
      <c r="F62" s="17"/>
      <c r="G62" s="20"/>
      <c r="H62" s="18"/>
      <c r="I62" s="17"/>
      <c r="J62" s="20"/>
      <c r="K62" s="19"/>
      <c r="L62" s="17"/>
      <c r="M62" s="6"/>
      <c r="N62" s="13"/>
      <c r="O62" s="6"/>
      <c r="P62" s="13"/>
      <c r="Q62" s="6"/>
      <c r="R62" s="22"/>
      <c r="S62" s="13"/>
      <c r="T62" s="13"/>
      <c r="U62" s="6"/>
      <c r="V62" s="1" t="str">
        <f aca="false">IF($A62="","",IF(OR(D62="卖出",D62="分红"),IFERROR(INDEX($F$2:$F61,MATCH(2,1/($C$2:$C61=$C62))),""),""))</f>
        <v/>
      </c>
      <c r="W62" s="82" t="str">
        <f aca="false">IF($A62="","",IF(D62="买入",IF(AND(ISNUMBER(L62),L62&gt;0),(F62-L62)*G62,F62*0.08*G62),IF(AND(ISNUMBER(V62),V62&gt;0),IF(AND(ISNUMBER(L62),L62&gt;0),(V62-L62)*G62,V62*0.08*G62),0)))</f>
        <v/>
      </c>
      <c r="X62" s="83" t="str">
        <f aca="false">IF($A62="","",IF(D62="买入",0,IFERROR(IF(W62&lt;&gt;0,(H62-IFERROR(INDEX($H$2:$H61,MATCH(2,1/($C$2:$C61=$C62))),0))/W62,0),0)))</f>
        <v/>
      </c>
      <c r="Y62" s="83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4" t="str">
        <f aca="false">IF($A62="","",MAX(0,(MAX($Y$2:Y62)-Y62)/MAX(1,MAX($Y$2:Y62))))</f>
        <v/>
      </c>
    </row>
    <row r="63" customFormat="false" ht="15" hidden="false" customHeight="true" outlineLevel="0" collapsed="false">
      <c r="A63" s="9"/>
      <c r="B63" s="9"/>
      <c r="C63" s="9"/>
      <c r="D63" s="9"/>
      <c r="E63" s="9"/>
      <c r="F63" s="26"/>
      <c r="G63" s="27"/>
      <c r="H63" s="18"/>
      <c r="I63" s="26"/>
      <c r="J63" s="27"/>
      <c r="K63" s="19"/>
      <c r="L63" s="26"/>
      <c r="M63" s="9"/>
      <c r="N63" s="14"/>
      <c r="O63" s="9"/>
      <c r="P63" s="14"/>
      <c r="Q63" s="9"/>
      <c r="R63" s="28"/>
      <c r="S63" s="14"/>
      <c r="T63" s="14"/>
      <c r="U63" s="9"/>
      <c r="V63" s="1" t="str">
        <f aca="false">IF($A63="","",IF(OR(D63="卖出",D63="分红"),IFERROR(INDEX($F$2:$F62,MATCH(2,1/($C$2:$C62=$C63))),""),""))</f>
        <v/>
      </c>
      <c r="W63" s="82" t="str">
        <f aca="false">IF($A63="","",IF(D63="买入",IF(AND(ISNUMBER(L63),L63&gt;0),(F63-L63)*G63,F63*0.08*G63),IF(AND(ISNUMBER(V63),V63&gt;0),IF(AND(ISNUMBER(L63),L63&gt;0),(V63-L63)*G63,V63*0.08*G63),0)))</f>
        <v/>
      </c>
      <c r="X63" s="83" t="str">
        <f aca="false">IF($A63="","",IF(D63="买入",0,IFERROR(IF(W63&lt;&gt;0,(H63-IFERROR(INDEX($H$2:$H62,MATCH(2,1/($C$2:$C62=$C63))),0))/W63,0),0)))</f>
        <v/>
      </c>
      <c r="Y63" s="83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4" t="str">
        <f aca="false">IF($A63="","",MAX(0,(MAX($Y$2:Y63)-Y63)/MAX(1,MAX($Y$2:Y63))))</f>
        <v/>
      </c>
    </row>
    <row r="64" customFormat="false" ht="15" hidden="false" customHeight="true" outlineLevel="0" collapsed="false">
      <c r="A64" s="6"/>
      <c r="B64" s="6"/>
      <c r="C64" s="6"/>
      <c r="D64" s="6"/>
      <c r="E64" s="6"/>
      <c r="F64" s="17"/>
      <c r="G64" s="20"/>
      <c r="H64" s="18"/>
      <c r="I64" s="17"/>
      <c r="J64" s="20"/>
      <c r="K64" s="19"/>
      <c r="L64" s="17"/>
      <c r="M64" s="6"/>
      <c r="N64" s="13"/>
      <c r="O64" s="6"/>
      <c r="P64" s="13"/>
      <c r="Q64" s="6"/>
      <c r="R64" s="22"/>
      <c r="S64" s="13"/>
      <c r="T64" s="13"/>
      <c r="U64" s="6"/>
      <c r="V64" s="1" t="str">
        <f aca="false">IF($A64="","",IF(OR(D64="卖出",D64="分红"),IFERROR(INDEX($F$2:$F63,MATCH(2,1/($C$2:$C63=$C64))),""),""))</f>
        <v/>
      </c>
      <c r="W64" s="82" t="str">
        <f aca="false">IF($A64="","",IF(D64="买入",IF(AND(ISNUMBER(L64),L64&gt;0),(F64-L64)*G64,F64*0.08*G64),IF(AND(ISNUMBER(V64),V64&gt;0),IF(AND(ISNUMBER(L64),L64&gt;0),(V64-L64)*G64,V64*0.08*G64),0)))</f>
        <v/>
      </c>
      <c r="X64" s="83" t="str">
        <f aca="false">IF($A64="","",IF(D64="买入",0,IFERROR(IF(W64&lt;&gt;0,(H64-IFERROR(INDEX($H$2:$H63,MATCH(2,1/($C$2:$C63=$C64))),0))/W64,0),0)))</f>
        <v/>
      </c>
      <c r="Y64" s="83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4" t="str">
        <f aca="false">IF($A64="","",MAX(0,(MAX($Y$2:Y64)-Y64)/MAX(1,MAX($Y$2:Y64))))</f>
        <v/>
      </c>
    </row>
    <row r="65" customFormat="false" ht="15" hidden="false" customHeight="true" outlineLevel="0" collapsed="false">
      <c r="A65" s="9"/>
      <c r="B65" s="9"/>
      <c r="C65" s="9"/>
      <c r="D65" s="9"/>
      <c r="E65" s="9"/>
      <c r="F65" s="26"/>
      <c r="G65" s="27"/>
      <c r="H65" s="18"/>
      <c r="I65" s="26"/>
      <c r="J65" s="27"/>
      <c r="K65" s="19"/>
      <c r="L65" s="26"/>
      <c r="M65" s="9"/>
      <c r="N65" s="14"/>
      <c r="O65" s="9"/>
      <c r="P65" s="14"/>
      <c r="Q65" s="9"/>
      <c r="R65" s="28"/>
      <c r="S65" s="14"/>
      <c r="T65" s="14"/>
      <c r="U65" s="9"/>
      <c r="V65" s="1" t="str">
        <f aca="false">IF($A65="","",IF(OR(D65="卖出",D65="分红"),IFERROR(INDEX($F$2:$F64,MATCH(2,1/($C$2:$C64=$C65))),""),""))</f>
        <v/>
      </c>
      <c r="W65" s="82" t="str">
        <f aca="false">IF($A65="","",IF(D65="买入",IF(AND(ISNUMBER(L65),L65&gt;0),(F65-L65)*G65,F65*0.08*G65),IF(AND(ISNUMBER(V65),V65&gt;0),IF(AND(ISNUMBER(L65),L65&gt;0),(V65-L65)*G65,V65*0.08*G65),0)))</f>
        <v/>
      </c>
      <c r="X65" s="83" t="str">
        <f aca="false">IF($A65="","",IF(D65="买入",0,IFERROR(IF(W65&lt;&gt;0,(H65-IFERROR(INDEX($H$2:$H64,MATCH(2,1/($C$2:$C64=$C65))),0))/W65,0),0)))</f>
        <v/>
      </c>
      <c r="Y65" s="83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4" t="str">
        <f aca="false">IF($A65="","",MAX(0,(MAX($Y$2:Y65)-Y65)/MAX(1,MAX($Y$2:Y65))))</f>
        <v/>
      </c>
    </row>
    <row r="66" customFormat="false" ht="15" hidden="false" customHeight="true" outlineLevel="0" collapsed="false">
      <c r="A66" s="6"/>
      <c r="B66" s="6"/>
      <c r="C66" s="6"/>
      <c r="D66" s="6"/>
      <c r="E66" s="6"/>
      <c r="F66" s="17"/>
      <c r="G66" s="20"/>
      <c r="H66" s="18"/>
      <c r="I66" s="17"/>
      <c r="J66" s="20"/>
      <c r="K66" s="19"/>
      <c r="L66" s="17"/>
      <c r="M66" s="6"/>
      <c r="N66" s="13"/>
      <c r="O66" s="6"/>
      <c r="P66" s="13"/>
      <c r="Q66" s="6"/>
      <c r="R66" s="22"/>
      <c r="S66" s="13"/>
      <c r="T66" s="13"/>
      <c r="U66" s="6"/>
      <c r="V66" s="1" t="str">
        <f aca="false">IF($A66="","",IF(OR(D66="卖出",D66="分红"),IFERROR(INDEX($F$2:$F65,MATCH(2,1/($C$2:$C65=$C66))),""),""))</f>
        <v/>
      </c>
      <c r="W66" s="82" t="str">
        <f aca="false">IF($A66="","",IF(D66="买入",IF(AND(ISNUMBER(L66),L66&gt;0),(F66-L66)*G66,F66*0.08*G66),IF(AND(ISNUMBER(V66),V66&gt;0),IF(AND(ISNUMBER(L66),L66&gt;0),(V66-L66)*G66,V66*0.08*G66),0)))</f>
        <v/>
      </c>
      <c r="X66" s="83" t="str">
        <f aca="false">IF($A66="","",IF(D66="买入",0,IFERROR(IF(W66&lt;&gt;0,(H66-IFERROR(INDEX($H$2:$H65,MATCH(2,1/($C$2:$C65=$C66))),0))/W66,0),0)))</f>
        <v/>
      </c>
      <c r="Y66" s="83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4" t="str">
        <f aca="false">IF($A66="","",MAX(0,(MAX($Y$2:Y66)-Y66)/MAX(1,MAX($Y$2:Y66))))</f>
        <v/>
      </c>
    </row>
    <row r="67" customFormat="false" ht="15" hidden="false" customHeight="true" outlineLevel="0" collapsed="false">
      <c r="A67" s="9"/>
      <c r="B67" s="9"/>
      <c r="C67" s="9"/>
      <c r="D67" s="9"/>
      <c r="E67" s="9"/>
      <c r="F67" s="26"/>
      <c r="G67" s="27"/>
      <c r="H67" s="18"/>
      <c r="I67" s="26"/>
      <c r="J67" s="27"/>
      <c r="K67" s="19"/>
      <c r="L67" s="26"/>
      <c r="M67" s="9"/>
      <c r="N67" s="14"/>
      <c r="O67" s="9"/>
      <c r="P67" s="14"/>
      <c r="Q67" s="9"/>
      <c r="R67" s="28"/>
      <c r="S67" s="14"/>
      <c r="T67" s="14"/>
      <c r="U67" s="9"/>
      <c r="V67" s="1" t="str">
        <f aca="false">IF($A67="","",IF(OR(D67="卖出",D67="分红"),IFERROR(INDEX($F$2:$F66,MATCH(2,1/($C$2:$C66=$C67))),""),""))</f>
        <v/>
      </c>
      <c r="W67" s="82" t="str">
        <f aca="false">IF($A67="","",IF(D67="买入",IF(AND(ISNUMBER(L67),L67&gt;0),(F67-L67)*G67,F67*0.08*G67),IF(AND(ISNUMBER(V67),V67&gt;0),IF(AND(ISNUMBER(L67),L67&gt;0),(V67-L67)*G67,V67*0.08*G67),0)))</f>
        <v/>
      </c>
      <c r="X67" s="83" t="str">
        <f aca="false">IF($A67="","",IF(D67="买入",0,IFERROR(IF(W67&lt;&gt;0,(H67-IFERROR(INDEX($H$2:$H66,MATCH(2,1/($C$2:$C66=$C67))),0))/W67,0),0)))</f>
        <v/>
      </c>
      <c r="Y67" s="83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4" t="str">
        <f aca="false">IF($A67="","",MAX(0,(MAX($Y$2:Y67)-Y67)/MAX(1,MAX($Y$2:Y67))))</f>
        <v/>
      </c>
    </row>
    <row r="68" customFormat="false" ht="15" hidden="false" customHeight="true" outlineLevel="0" collapsed="false">
      <c r="A68" s="6"/>
      <c r="B68" s="6"/>
      <c r="C68" s="6"/>
      <c r="D68" s="6"/>
      <c r="E68" s="6"/>
      <c r="F68" s="17"/>
      <c r="G68" s="20"/>
      <c r="H68" s="18"/>
      <c r="I68" s="17"/>
      <c r="J68" s="20"/>
      <c r="K68" s="19"/>
      <c r="L68" s="17"/>
      <c r="M68" s="6"/>
      <c r="N68" s="13"/>
      <c r="O68" s="6"/>
      <c r="P68" s="13"/>
      <c r="Q68" s="6"/>
      <c r="R68" s="22"/>
      <c r="S68" s="13"/>
      <c r="T68" s="13"/>
      <c r="U68" s="6"/>
      <c r="V68" s="1" t="str">
        <f aca="false">IF($A68="","",IF(OR(D68="卖出",D68="分红"),IFERROR(INDEX($F$2:$F67,MATCH(2,1/($C$2:$C67=$C68))),""),""))</f>
        <v/>
      </c>
      <c r="W68" s="82" t="str">
        <f aca="false">IF($A68="","",IF(D68="买入",IF(AND(ISNUMBER(L68),L68&gt;0),(F68-L68)*G68,F68*0.08*G68),IF(AND(ISNUMBER(V68),V68&gt;0),IF(AND(ISNUMBER(L68),L68&gt;0),(V68-L68)*G68,V68*0.08*G68),0)))</f>
        <v/>
      </c>
      <c r="X68" s="83" t="str">
        <f aca="false">IF($A68="","",IF(D68="买入",0,IFERROR(IF(W68&lt;&gt;0,(H68-IFERROR(INDEX($H$2:$H67,MATCH(2,1/($C$2:$C67=$C68))),0))/W68,0),0)))</f>
        <v/>
      </c>
      <c r="Y68" s="83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4" t="str">
        <f aca="false">IF($A68="","",MAX(0,(MAX($Y$2:Y68)-Y68)/MAX(1,MAX($Y$2:Y68))))</f>
        <v/>
      </c>
    </row>
    <row r="69" customFormat="false" ht="15" hidden="false" customHeight="true" outlineLevel="0" collapsed="false">
      <c r="A69" s="9"/>
      <c r="B69" s="9"/>
      <c r="C69" s="9"/>
      <c r="D69" s="9"/>
      <c r="E69" s="9"/>
      <c r="F69" s="26"/>
      <c r="G69" s="27"/>
      <c r="H69" s="18"/>
      <c r="I69" s="26"/>
      <c r="J69" s="27"/>
      <c r="K69" s="19"/>
      <c r="L69" s="26"/>
      <c r="M69" s="9"/>
      <c r="N69" s="14"/>
      <c r="O69" s="9"/>
      <c r="P69" s="14"/>
      <c r="Q69" s="9"/>
      <c r="R69" s="28"/>
      <c r="S69" s="14"/>
      <c r="T69" s="14"/>
      <c r="U69" s="9"/>
      <c r="V69" s="1" t="str">
        <f aca="false">IF($A69="","",IF(OR(D69="卖出",D69="分红"),IFERROR(INDEX($F$2:$F68,MATCH(2,1/($C$2:$C68=$C69))),""),""))</f>
        <v/>
      </c>
      <c r="W69" s="82" t="str">
        <f aca="false">IF($A69="","",IF(D69="买入",IF(AND(ISNUMBER(L69),L69&gt;0),(F69-L69)*G69,F69*0.08*G69),IF(AND(ISNUMBER(V69),V69&gt;0),IF(AND(ISNUMBER(L69),L69&gt;0),(V69-L69)*G69,V69*0.08*G69),0)))</f>
        <v/>
      </c>
      <c r="X69" s="83" t="str">
        <f aca="false">IF($A69="","",IF(D69="买入",0,IFERROR(IF(W69&lt;&gt;0,(H69-IFERROR(INDEX($H$2:$H68,MATCH(2,1/($C$2:$C68=$C69))),0))/W69,0),0)))</f>
        <v/>
      </c>
      <c r="Y69" s="83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4" t="str">
        <f aca="false">IF($A69="","",MAX(0,(MAX($Y$2:Y69)-Y69)/MAX(1,MAX($Y$2:Y69))))</f>
        <v/>
      </c>
    </row>
    <row r="70" customFormat="false" ht="15" hidden="false" customHeight="true" outlineLevel="0" collapsed="false">
      <c r="A70" s="6"/>
      <c r="B70" s="6"/>
      <c r="C70" s="6"/>
      <c r="D70" s="6"/>
      <c r="E70" s="6"/>
      <c r="F70" s="17"/>
      <c r="G70" s="20"/>
      <c r="H70" s="18"/>
      <c r="I70" s="17"/>
      <c r="J70" s="20"/>
      <c r="K70" s="19"/>
      <c r="L70" s="17"/>
      <c r="M70" s="6"/>
      <c r="N70" s="13"/>
      <c r="O70" s="6"/>
      <c r="P70" s="13"/>
      <c r="Q70" s="6"/>
      <c r="R70" s="22"/>
      <c r="S70" s="13"/>
      <c r="T70" s="13"/>
      <c r="U70" s="6"/>
      <c r="V70" s="1" t="str">
        <f aca="false">IF($A70="","",IF(OR(D70="卖出",D70="分红"),IFERROR(INDEX($F$2:$F69,MATCH(2,1/($C$2:$C69=$C70))),""),""))</f>
        <v/>
      </c>
      <c r="W70" s="82" t="str">
        <f aca="false">IF($A70="","",IF(D70="买入",IF(AND(ISNUMBER(L70),L70&gt;0),(F70-L70)*G70,F70*0.08*G70),IF(AND(ISNUMBER(V70),V70&gt;0),IF(AND(ISNUMBER(L70),L70&gt;0),(V70-L70)*G70,V70*0.08*G70),0)))</f>
        <v/>
      </c>
      <c r="X70" s="83" t="str">
        <f aca="false">IF($A70="","",IF(D70="买入",0,IFERROR(IF(W70&lt;&gt;0,(H70-IFERROR(INDEX($H$2:$H69,MATCH(2,1/($C$2:$C69=$C70))),0))/W70,0),0)))</f>
        <v/>
      </c>
      <c r="Y70" s="83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4" t="str">
        <f aca="false">IF($A70="","",MAX(0,(MAX($Y$2:Y70)-Y70)/MAX(1,MAX($Y$2:Y70))))</f>
        <v/>
      </c>
    </row>
    <row r="71" customFormat="false" ht="15" hidden="false" customHeight="true" outlineLevel="0" collapsed="false">
      <c r="A71" s="9"/>
      <c r="B71" s="9"/>
      <c r="C71" s="9"/>
      <c r="D71" s="9"/>
      <c r="E71" s="9"/>
      <c r="F71" s="26"/>
      <c r="G71" s="27"/>
      <c r="H71" s="18"/>
      <c r="I71" s="26"/>
      <c r="J71" s="27"/>
      <c r="K71" s="19"/>
      <c r="L71" s="26"/>
      <c r="M71" s="9"/>
      <c r="N71" s="14"/>
      <c r="O71" s="9"/>
      <c r="P71" s="14"/>
      <c r="Q71" s="9"/>
      <c r="R71" s="28"/>
      <c r="S71" s="14"/>
      <c r="T71" s="14"/>
      <c r="U71" s="9"/>
      <c r="V71" s="1" t="str">
        <f aca="false">IF($A71="","",IF(OR(D71="卖出",D71="分红"),IFERROR(INDEX($F$2:$F70,MATCH(2,1/($C$2:$C70=$C71))),""),""))</f>
        <v/>
      </c>
      <c r="W71" s="82" t="str">
        <f aca="false">IF($A71="","",IF(D71="买入",IF(AND(ISNUMBER(L71),L71&gt;0),(F71-L71)*G71,F71*0.08*G71),IF(AND(ISNUMBER(V71),V71&gt;0),IF(AND(ISNUMBER(L71),L71&gt;0),(V71-L71)*G71,V71*0.08*G71),0)))</f>
        <v/>
      </c>
      <c r="X71" s="83" t="str">
        <f aca="false">IF($A71="","",IF(D71="买入",0,IFERROR(IF(W71&lt;&gt;0,(H71-IFERROR(INDEX($H$2:$H70,MATCH(2,1/($C$2:$C70=$C71))),0))/W71,0),0)))</f>
        <v/>
      </c>
      <c r="Y71" s="83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4" t="str">
        <f aca="false">IF($A71="","",MAX(0,(MAX($Y$2:Y71)-Y71)/MAX(1,MAX($Y$2:Y71))))</f>
        <v/>
      </c>
    </row>
    <row r="72" customFormat="false" ht="15" hidden="false" customHeight="true" outlineLevel="0" collapsed="false">
      <c r="A72" s="6"/>
      <c r="B72" s="6"/>
      <c r="C72" s="6"/>
      <c r="D72" s="6"/>
      <c r="E72" s="6"/>
      <c r="F72" s="17"/>
      <c r="G72" s="20"/>
      <c r="H72" s="18"/>
      <c r="I72" s="17"/>
      <c r="J72" s="20"/>
      <c r="K72" s="19"/>
      <c r="L72" s="17"/>
      <c r="M72" s="6"/>
      <c r="N72" s="13"/>
      <c r="O72" s="6"/>
      <c r="P72" s="13"/>
      <c r="Q72" s="6"/>
      <c r="R72" s="22"/>
      <c r="S72" s="13"/>
      <c r="T72" s="13"/>
      <c r="U72" s="6"/>
      <c r="V72" s="1" t="str">
        <f aca="false">IF($A72="","",IF(OR(D72="卖出",D72="分红"),IFERROR(INDEX($F$2:$F71,MATCH(2,1/($C$2:$C71=$C72))),""),""))</f>
        <v/>
      </c>
      <c r="W72" s="82" t="str">
        <f aca="false">IF($A72="","",IF(D72="买入",IF(AND(ISNUMBER(L72),L72&gt;0),(F72-L72)*G72,F72*0.08*G72),IF(AND(ISNUMBER(V72),V72&gt;0),IF(AND(ISNUMBER(L72),L72&gt;0),(V72-L72)*G72,V72*0.08*G72),0)))</f>
        <v/>
      </c>
      <c r="X72" s="83" t="str">
        <f aca="false">IF($A72="","",IF(D72="买入",0,IFERROR(IF(W72&lt;&gt;0,(H72-IFERROR(INDEX($H$2:$H71,MATCH(2,1/($C$2:$C71=$C72))),0))/W72,0),0)))</f>
        <v/>
      </c>
      <c r="Y72" s="83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4" t="str">
        <f aca="false">IF($A72="","",MAX(0,(MAX($Y$2:Y72)-Y72)/MAX(1,MAX($Y$2:Y72))))</f>
        <v/>
      </c>
    </row>
    <row r="73" customFormat="false" ht="15" hidden="false" customHeight="true" outlineLevel="0" collapsed="false">
      <c r="A73" s="9"/>
      <c r="B73" s="9"/>
      <c r="C73" s="9"/>
      <c r="D73" s="9"/>
      <c r="E73" s="9"/>
      <c r="F73" s="26"/>
      <c r="G73" s="27"/>
      <c r="H73" s="18"/>
      <c r="I73" s="26"/>
      <c r="J73" s="27"/>
      <c r="K73" s="19"/>
      <c r="L73" s="26"/>
      <c r="M73" s="9"/>
      <c r="N73" s="14"/>
      <c r="O73" s="9"/>
      <c r="P73" s="14"/>
      <c r="Q73" s="9"/>
      <c r="R73" s="28"/>
      <c r="S73" s="14"/>
      <c r="T73" s="14"/>
      <c r="U73" s="9"/>
      <c r="V73" s="1" t="str">
        <f aca="false">IF($A73="","",IF(OR(D73="卖出",D73="分红"),IFERROR(INDEX($F$2:$F72,MATCH(2,1/($C$2:$C72=$C73))),""),""))</f>
        <v/>
      </c>
      <c r="W73" s="82" t="str">
        <f aca="false">IF($A73="","",IF(D73="买入",IF(AND(ISNUMBER(L73),L73&gt;0),(F73-L73)*G73,F73*0.08*G73),IF(AND(ISNUMBER(V73),V73&gt;0),IF(AND(ISNUMBER(L73),L73&gt;0),(V73-L73)*G73,V73*0.08*G73),0)))</f>
        <v/>
      </c>
      <c r="X73" s="83" t="str">
        <f aca="false">IF($A73="","",IF(D73="买入",0,IFERROR(IF(W73&lt;&gt;0,(H73-IFERROR(INDEX($H$2:$H72,MATCH(2,1/($C$2:$C72=$C73))),0))/W73,0),0)))</f>
        <v/>
      </c>
      <c r="Y73" s="83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4" t="str">
        <f aca="false">IF($A73="","",MAX(0,(MAX($Y$2:Y73)-Y73)/MAX(1,MAX($Y$2:Y73))))</f>
        <v/>
      </c>
    </row>
    <row r="74" customFormat="false" ht="15" hidden="false" customHeight="true" outlineLevel="0" collapsed="false">
      <c r="A74" s="6"/>
      <c r="B74" s="6"/>
      <c r="C74" s="6"/>
      <c r="D74" s="6"/>
      <c r="E74" s="6"/>
      <c r="F74" s="17"/>
      <c r="G74" s="20"/>
      <c r="H74" s="18"/>
      <c r="I74" s="17"/>
      <c r="J74" s="20"/>
      <c r="K74" s="19"/>
      <c r="L74" s="17"/>
      <c r="M74" s="6"/>
      <c r="N74" s="13"/>
      <c r="O74" s="6"/>
      <c r="P74" s="13"/>
      <c r="Q74" s="6"/>
      <c r="R74" s="22"/>
      <c r="S74" s="13"/>
      <c r="T74" s="13"/>
      <c r="U74" s="6"/>
      <c r="V74" s="1" t="str">
        <f aca="false">IF($A74="","",IF(OR(D74="卖出",D74="分红"),IFERROR(INDEX($F$2:$F73,MATCH(2,1/($C$2:$C73=$C74))),""),""))</f>
        <v/>
      </c>
      <c r="W74" s="82" t="str">
        <f aca="false">IF($A74="","",IF(D74="买入",IF(AND(ISNUMBER(L74),L74&gt;0),(F74-L74)*G74,F74*0.08*G74),IF(AND(ISNUMBER(V74),V74&gt;0),IF(AND(ISNUMBER(L74),L74&gt;0),(V74-L74)*G74,V74*0.08*G74),0)))</f>
        <v/>
      </c>
      <c r="X74" s="83" t="str">
        <f aca="false">IF($A74="","",IF(D74="买入",0,IFERROR(IF(W74&lt;&gt;0,(H74-IFERROR(INDEX($H$2:$H73,MATCH(2,1/($C$2:$C73=$C74))),0))/W74,0),0)))</f>
        <v/>
      </c>
      <c r="Y74" s="83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4" t="str">
        <f aca="false">IF($A74="","",MAX(0,(MAX($Y$2:Y74)-Y74)/MAX(1,MAX($Y$2:Y74))))</f>
        <v/>
      </c>
    </row>
    <row r="75" customFormat="false" ht="15" hidden="false" customHeight="true" outlineLevel="0" collapsed="false">
      <c r="A75" s="9"/>
      <c r="B75" s="9"/>
      <c r="C75" s="9"/>
      <c r="D75" s="9"/>
      <c r="E75" s="9"/>
      <c r="F75" s="26"/>
      <c r="G75" s="27"/>
      <c r="H75" s="18"/>
      <c r="I75" s="26"/>
      <c r="J75" s="27"/>
      <c r="K75" s="19"/>
      <c r="L75" s="26"/>
      <c r="M75" s="9"/>
      <c r="N75" s="14"/>
      <c r="O75" s="9"/>
      <c r="P75" s="14"/>
      <c r="Q75" s="9"/>
      <c r="R75" s="28"/>
      <c r="S75" s="14"/>
      <c r="T75" s="14"/>
      <c r="U75" s="9"/>
      <c r="V75" s="1" t="str">
        <f aca="false">IF($A75="","",IF(OR(D75="卖出",D75="分红"),IFERROR(INDEX($F$2:$F74,MATCH(2,1/($C$2:$C74=$C75))),""),""))</f>
        <v/>
      </c>
      <c r="W75" s="82" t="str">
        <f aca="false">IF($A75="","",IF(D75="买入",IF(AND(ISNUMBER(L75),L75&gt;0),(F75-L75)*G75,F75*0.08*G75),IF(AND(ISNUMBER(V75),V75&gt;0),IF(AND(ISNUMBER(L75),L75&gt;0),(V75-L75)*G75,V75*0.08*G75),0)))</f>
        <v/>
      </c>
      <c r="X75" s="83" t="str">
        <f aca="false">IF($A75="","",IF(D75="买入",0,IFERROR(IF(W75&lt;&gt;0,(H75-IFERROR(INDEX($H$2:$H74,MATCH(2,1/($C$2:$C74=$C75))),0))/W75,0),0)))</f>
        <v/>
      </c>
      <c r="Y75" s="83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4" t="str">
        <f aca="false">IF($A75="","",MAX(0,(MAX($Y$2:Y75)-Y75)/MAX(1,MAX($Y$2:Y75))))</f>
        <v/>
      </c>
    </row>
    <row r="76" customFormat="false" ht="15" hidden="false" customHeight="true" outlineLevel="0" collapsed="false">
      <c r="A76" s="6"/>
      <c r="B76" s="6"/>
      <c r="C76" s="6"/>
      <c r="D76" s="6"/>
      <c r="E76" s="6"/>
      <c r="F76" s="17"/>
      <c r="G76" s="20"/>
      <c r="H76" s="18"/>
      <c r="I76" s="17"/>
      <c r="J76" s="20"/>
      <c r="K76" s="19"/>
      <c r="L76" s="17"/>
      <c r="M76" s="6"/>
      <c r="N76" s="13"/>
      <c r="O76" s="6"/>
      <c r="P76" s="13"/>
      <c r="Q76" s="6"/>
      <c r="R76" s="22"/>
      <c r="S76" s="13"/>
      <c r="T76" s="13"/>
      <c r="U76" s="6"/>
      <c r="V76" s="1" t="str">
        <f aca="false">IF($A76="","",IF(OR(D76="卖出",D76="分红"),IFERROR(INDEX($F$2:$F75,MATCH(2,1/($C$2:$C75=$C76))),""),""))</f>
        <v/>
      </c>
      <c r="W76" s="82" t="str">
        <f aca="false">IF($A76="","",IF(D76="买入",IF(AND(ISNUMBER(L76),L76&gt;0),(F76-L76)*G76,F76*0.08*G76),IF(AND(ISNUMBER(V76),V76&gt;0),IF(AND(ISNUMBER(L76),L76&gt;0),(V76-L76)*G76,V76*0.08*G76),0)))</f>
        <v/>
      </c>
      <c r="X76" s="83" t="str">
        <f aca="false">IF($A76="","",IF(D76="买入",0,IFERROR(IF(W76&lt;&gt;0,(H76-IFERROR(INDEX($H$2:$H75,MATCH(2,1/($C$2:$C75=$C76))),0))/W76,0),0)))</f>
        <v/>
      </c>
      <c r="Y76" s="83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4" t="str">
        <f aca="false">IF($A76="","",MAX(0,(MAX($Y$2:Y76)-Y76)/MAX(1,MAX($Y$2:Y76))))</f>
        <v/>
      </c>
    </row>
    <row r="77" customFormat="false" ht="15" hidden="false" customHeight="true" outlineLevel="0" collapsed="false">
      <c r="A77" s="9"/>
      <c r="B77" s="9"/>
      <c r="C77" s="9"/>
      <c r="D77" s="9"/>
      <c r="E77" s="9"/>
      <c r="F77" s="26"/>
      <c r="G77" s="27"/>
      <c r="H77" s="18"/>
      <c r="I77" s="26"/>
      <c r="J77" s="27"/>
      <c r="K77" s="19"/>
      <c r="L77" s="26"/>
      <c r="M77" s="9"/>
      <c r="N77" s="14"/>
      <c r="O77" s="9"/>
      <c r="P77" s="14"/>
      <c r="Q77" s="9"/>
      <c r="R77" s="28"/>
      <c r="S77" s="14"/>
      <c r="T77" s="14"/>
      <c r="U77" s="9"/>
      <c r="V77" s="1" t="str">
        <f aca="false">IF($A77="","",IF(OR(D77="卖出",D77="分红"),IFERROR(INDEX($F$2:$F76,MATCH(2,1/($C$2:$C76=$C77))),""),""))</f>
        <v/>
      </c>
      <c r="W77" s="82" t="str">
        <f aca="false">IF($A77="","",IF(D77="买入",IF(AND(ISNUMBER(L77),L77&gt;0),(F77-L77)*G77,F77*0.08*G77),IF(AND(ISNUMBER(V77),V77&gt;0),IF(AND(ISNUMBER(L77),L77&gt;0),(V77-L77)*G77,V77*0.08*G77),0)))</f>
        <v/>
      </c>
      <c r="X77" s="83" t="str">
        <f aca="false">IF($A77="","",IF(D77="买入",0,IFERROR(IF(W77&lt;&gt;0,(H77-IFERROR(INDEX($H$2:$H76,MATCH(2,1/($C$2:$C76=$C77))),0))/W77,0),0)))</f>
        <v/>
      </c>
      <c r="Y77" s="83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4" t="str">
        <f aca="false">IF($A77="","",MAX(0,(MAX($Y$2:Y77)-Y77)/MAX(1,MAX($Y$2:Y77))))</f>
        <v/>
      </c>
    </row>
    <row r="78" customFormat="false" ht="15" hidden="false" customHeight="true" outlineLevel="0" collapsed="false">
      <c r="A78" s="6"/>
      <c r="B78" s="6"/>
      <c r="C78" s="6"/>
      <c r="D78" s="6"/>
      <c r="E78" s="6"/>
      <c r="F78" s="17"/>
      <c r="G78" s="20"/>
      <c r="H78" s="18"/>
      <c r="I78" s="17"/>
      <c r="J78" s="20"/>
      <c r="K78" s="19"/>
      <c r="L78" s="17"/>
      <c r="M78" s="6"/>
      <c r="N78" s="13"/>
      <c r="O78" s="6"/>
      <c r="P78" s="13"/>
      <c r="Q78" s="6"/>
      <c r="R78" s="22"/>
      <c r="S78" s="13"/>
      <c r="T78" s="13"/>
      <c r="U78" s="6"/>
      <c r="V78" s="1" t="str">
        <f aca="false">IF($A78="","",IF(OR(D78="卖出",D78="分红"),IFERROR(INDEX($F$2:$F77,MATCH(2,1/($C$2:$C77=$C78))),""),""))</f>
        <v/>
      </c>
      <c r="W78" s="82" t="str">
        <f aca="false">IF($A78="","",IF(D78="买入",IF(AND(ISNUMBER(L78),L78&gt;0),(F78-L78)*G78,F78*0.08*G78),IF(AND(ISNUMBER(V78),V78&gt;0),IF(AND(ISNUMBER(L78),L78&gt;0),(V78-L78)*G78,V78*0.08*G78),0)))</f>
        <v/>
      </c>
      <c r="X78" s="83" t="str">
        <f aca="false">IF($A78="","",IF(D78="买入",0,IFERROR(IF(W78&lt;&gt;0,(H78-IFERROR(INDEX($H$2:$H77,MATCH(2,1/($C$2:$C77=$C78))),0))/W78,0),0)))</f>
        <v/>
      </c>
      <c r="Y78" s="83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4" t="str">
        <f aca="false">IF($A78="","",MAX(0,(MAX($Y$2:Y78)-Y78)/MAX(1,MAX($Y$2:Y78))))</f>
        <v/>
      </c>
    </row>
    <row r="79" customFormat="false" ht="15" hidden="false" customHeight="true" outlineLevel="0" collapsed="false">
      <c r="A79" s="9"/>
      <c r="B79" s="9"/>
      <c r="C79" s="9"/>
      <c r="D79" s="9"/>
      <c r="E79" s="9"/>
      <c r="F79" s="26"/>
      <c r="G79" s="27"/>
      <c r="H79" s="18"/>
      <c r="I79" s="26"/>
      <c r="J79" s="27"/>
      <c r="K79" s="19"/>
      <c r="L79" s="26"/>
      <c r="M79" s="9"/>
      <c r="N79" s="14"/>
      <c r="O79" s="9"/>
      <c r="P79" s="14"/>
      <c r="Q79" s="9"/>
      <c r="R79" s="28"/>
      <c r="S79" s="14"/>
      <c r="T79" s="14"/>
      <c r="U79" s="9"/>
      <c r="V79" s="1" t="str">
        <f aca="false">IF($A79="","",IF(OR(D79="卖出",D79="分红"),IFERROR(INDEX($F$2:$F78,MATCH(2,1/($C$2:$C78=$C79))),""),""))</f>
        <v/>
      </c>
      <c r="W79" s="82" t="str">
        <f aca="false">IF($A79="","",IF(D79="买入",IF(AND(ISNUMBER(L79),L79&gt;0),(F79-L79)*G79,F79*0.08*G79),IF(AND(ISNUMBER(V79),V79&gt;0),IF(AND(ISNUMBER(L79),L79&gt;0),(V79-L79)*G79,V79*0.08*G79),0)))</f>
        <v/>
      </c>
      <c r="X79" s="83" t="str">
        <f aca="false">IF($A79="","",IF(D79="买入",0,IFERROR(IF(W79&lt;&gt;0,(H79-IFERROR(INDEX($H$2:$H78,MATCH(2,1/($C$2:$C78=$C79))),0))/W79,0),0)))</f>
        <v/>
      </c>
      <c r="Y79" s="83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4" t="str">
        <f aca="false">IF($A79="","",MAX(0,(MAX($Y$2:Y79)-Y79)/MAX(1,MAX($Y$2:Y79))))</f>
        <v/>
      </c>
    </row>
    <row r="80" customFormat="false" ht="15" hidden="false" customHeight="true" outlineLevel="0" collapsed="false">
      <c r="A80" s="6"/>
      <c r="B80" s="6"/>
      <c r="C80" s="6"/>
      <c r="D80" s="6"/>
      <c r="E80" s="6"/>
      <c r="F80" s="17"/>
      <c r="G80" s="20"/>
      <c r="H80" s="18"/>
      <c r="I80" s="17"/>
      <c r="J80" s="20"/>
      <c r="K80" s="19"/>
      <c r="L80" s="17"/>
      <c r="M80" s="6"/>
      <c r="N80" s="13"/>
      <c r="O80" s="6"/>
      <c r="P80" s="13"/>
      <c r="Q80" s="6"/>
      <c r="R80" s="22"/>
      <c r="S80" s="13"/>
      <c r="T80" s="13"/>
      <c r="U80" s="6"/>
      <c r="V80" s="1" t="str">
        <f aca="false">IF($A80="","",IF(OR(D80="卖出",D80="分红"),IFERROR(INDEX($F$2:$F79,MATCH(2,1/($C$2:$C79=$C80))),""),""))</f>
        <v/>
      </c>
      <c r="W80" s="82" t="str">
        <f aca="false">IF($A80="","",IF(D80="买入",IF(AND(ISNUMBER(L80),L80&gt;0),(F80-L80)*G80,F80*0.08*G80),IF(AND(ISNUMBER(V80),V80&gt;0),IF(AND(ISNUMBER(L80),L80&gt;0),(V80-L80)*G80,V80*0.08*G80),0)))</f>
        <v/>
      </c>
      <c r="X80" s="83" t="str">
        <f aca="false">IF($A80="","",IF(D80="买入",0,IFERROR(IF(W80&lt;&gt;0,(H80-IFERROR(INDEX($H$2:$H79,MATCH(2,1/($C$2:$C79=$C80))),0))/W80,0),0)))</f>
        <v/>
      </c>
      <c r="Y80" s="83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4" t="str">
        <f aca="false">IF($A80="","",MAX(0,(MAX($Y$2:Y80)-Y80)/MAX(1,MAX($Y$2:Y80))))</f>
        <v/>
      </c>
    </row>
    <row r="81" customFormat="false" ht="15" hidden="false" customHeight="true" outlineLevel="0" collapsed="false">
      <c r="A81" s="9"/>
      <c r="B81" s="9"/>
      <c r="C81" s="9"/>
      <c r="D81" s="9"/>
      <c r="E81" s="9"/>
      <c r="F81" s="26"/>
      <c r="G81" s="27"/>
      <c r="H81" s="18"/>
      <c r="I81" s="26"/>
      <c r="J81" s="27"/>
      <c r="K81" s="19"/>
      <c r="L81" s="26"/>
      <c r="M81" s="9"/>
      <c r="N81" s="14"/>
      <c r="O81" s="9"/>
      <c r="P81" s="14"/>
      <c r="Q81" s="9"/>
      <c r="R81" s="28"/>
      <c r="S81" s="14"/>
      <c r="T81" s="14"/>
      <c r="U81" s="9"/>
      <c r="V81" s="1" t="str">
        <f aca="false">IF($A81="","",IF(OR(D81="卖出",D81="分红"),IFERROR(INDEX($F$2:$F80,MATCH(2,1/($C$2:$C80=$C81))),""),""))</f>
        <v/>
      </c>
      <c r="W81" s="82" t="str">
        <f aca="false">IF($A81="","",IF(D81="买入",IF(AND(ISNUMBER(L81),L81&gt;0),(F81-L81)*G81,F81*0.08*G81),IF(AND(ISNUMBER(V81),V81&gt;0),IF(AND(ISNUMBER(L81),L81&gt;0),(V81-L81)*G81,V81*0.08*G81),0)))</f>
        <v/>
      </c>
      <c r="X81" s="83" t="str">
        <f aca="false">IF($A81="","",IF(D81="买入",0,IFERROR(IF(W81&lt;&gt;0,(H81-IFERROR(INDEX($H$2:$H80,MATCH(2,1/($C$2:$C80=$C81))),0))/W81,0),0)))</f>
        <v/>
      </c>
      <c r="Y81" s="83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4" t="str">
        <f aca="false">IF($A81="","",MAX(0,(MAX($Y$2:Y81)-Y81)/MAX(1,MAX($Y$2:Y81))))</f>
        <v/>
      </c>
    </row>
    <row r="82" customFormat="false" ht="15" hidden="false" customHeight="true" outlineLevel="0" collapsed="false">
      <c r="A82" s="6"/>
      <c r="B82" s="6"/>
      <c r="C82" s="6"/>
      <c r="D82" s="6"/>
      <c r="E82" s="6"/>
      <c r="F82" s="17"/>
      <c r="G82" s="20"/>
      <c r="H82" s="18"/>
      <c r="I82" s="17"/>
      <c r="J82" s="20"/>
      <c r="K82" s="19"/>
      <c r="L82" s="17"/>
      <c r="M82" s="6"/>
      <c r="N82" s="13"/>
      <c r="O82" s="6"/>
      <c r="P82" s="13"/>
      <c r="Q82" s="6"/>
      <c r="R82" s="22"/>
      <c r="S82" s="13"/>
      <c r="T82" s="13"/>
      <c r="U82" s="6"/>
      <c r="V82" s="1" t="str">
        <f aca="false">IF($A82="","",IF(OR(D82="卖出",D82="分红"),IFERROR(INDEX($F$2:$F81,MATCH(2,1/($C$2:$C81=$C82))),""),""))</f>
        <v/>
      </c>
      <c r="W82" s="82" t="str">
        <f aca="false">IF($A82="","",IF(D82="买入",IF(AND(ISNUMBER(L82),L82&gt;0),(F82-L82)*G82,F82*0.08*G82),IF(AND(ISNUMBER(V82),V82&gt;0),IF(AND(ISNUMBER(L82),L82&gt;0),(V82-L82)*G82,V82*0.08*G82),0)))</f>
        <v/>
      </c>
      <c r="X82" s="83" t="str">
        <f aca="false">IF($A82="","",IF(D82="买入",0,IFERROR(IF(W82&lt;&gt;0,(H82-IFERROR(INDEX($H$2:$H81,MATCH(2,1/($C$2:$C81=$C82))),0))/W82,0),0)))</f>
        <v/>
      </c>
      <c r="Y82" s="83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4" t="str">
        <f aca="false">IF($A82="","",MAX(0,(MAX($Y$2:Y82)-Y82)/MAX(1,MAX($Y$2:Y82))))</f>
        <v/>
      </c>
    </row>
    <row r="83" customFormat="false" ht="15" hidden="false" customHeight="true" outlineLevel="0" collapsed="false">
      <c r="A83" s="9"/>
      <c r="B83" s="9"/>
      <c r="C83" s="9"/>
      <c r="D83" s="9"/>
      <c r="E83" s="9"/>
      <c r="F83" s="26"/>
      <c r="G83" s="27"/>
      <c r="H83" s="18"/>
      <c r="I83" s="26"/>
      <c r="J83" s="27"/>
      <c r="K83" s="19"/>
      <c r="L83" s="26"/>
      <c r="M83" s="9"/>
      <c r="N83" s="14"/>
      <c r="O83" s="9"/>
      <c r="P83" s="14"/>
      <c r="Q83" s="9"/>
      <c r="R83" s="28"/>
      <c r="S83" s="14"/>
      <c r="T83" s="14"/>
      <c r="U83" s="9"/>
      <c r="V83" s="1" t="str">
        <f aca="false">IF($A83="","",IF(OR(D83="卖出",D83="分红"),IFERROR(INDEX($F$2:$F82,MATCH(2,1/($C$2:$C82=$C83))),""),""))</f>
        <v/>
      </c>
      <c r="W83" s="82" t="str">
        <f aca="false">IF($A83="","",IF(D83="买入",IF(AND(ISNUMBER(L83),L83&gt;0),(F83-L83)*G83,F83*0.08*G83),IF(AND(ISNUMBER(V83),V83&gt;0),IF(AND(ISNUMBER(L83),L83&gt;0),(V83-L83)*G83,V83*0.08*G83),0)))</f>
        <v/>
      </c>
      <c r="X83" s="83" t="str">
        <f aca="false">IF($A83="","",IF(D83="买入",0,IFERROR(IF(W83&lt;&gt;0,(H83-IFERROR(INDEX($H$2:$H82,MATCH(2,1/($C$2:$C82=$C83))),0))/W83,0),0)))</f>
        <v/>
      </c>
      <c r="Y83" s="83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4" t="str">
        <f aca="false">IF($A83="","",MAX(0,(MAX($Y$2:Y83)-Y83)/MAX(1,MAX($Y$2:Y83))))</f>
        <v/>
      </c>
    </row>
    <row r="84" customFormat="false" ht="15" hidden="false" customHeight="true" outlineLevel="0" collapsed="false">
      <c r="A84" s="6"/>
      <c r="B84" s="6"/>
      <c r="C84" s="6"/>
      <c r="D84" s="6"/>
      <c r="E84" s="6"/>
      <c r="F84" s="17"/>
      <c r="G84" s="20"/>
      <c r="H84" s="18"/>
      <c r="I84" s="17"/>
      <c r="J84" s="20"/>
      <c r="K84" s="19"/>
      <c r="L84" s="17"/>
      <c r="M84" s="6"/>
      <c r="N84" s="13"/>
      <c r="O84" s="6"/>
      <c r="P84" s="13"/>
      <c r="Q84" s="6"/>
      <c r="R84" s="22"/>
      <c r="S84" s="13"/>
      <c r="T84" s="13"/>
      <c r="U84" s="6"/>
      <c r="V84" s="1" t="str">
        <f aca="false">IF($A84="","",IF(OR(D84="卖出",D84="分红"),IFERROR(INDEX($F$2:$F83,MATCH(2,1/($C$2:$C83=$C84))),""),""))</f>
        <v/>
      </c>
      <c r="W84" s="82" t="str">
        <f aca="false">IF($A84="","",IF(D84="买入",IF(AND(ISNUMBER(L84),L84&gt;0),(F84-L84)*G84,F84*0.08*G84),IF(AND(ISNUMBER(V84),V84&gt;0),IF(AND(ISNUMBER(L84),L84&gt;0),(V84-L84)*G84,V84*0.08*G84),0)))</f>
        <v/>
      </c>
      <c r="X84" s="83" t="str">
        <f aca="false">IF($A84="","",IF(D84="买入",0,IFERROR(IF(W84&lt;&gt;0,(H84-IFERROR(INDEX($H$2:$H83,MATCH(2,1/($C$2:$C83=$C84))),0))/W84,0),0)))</f>
        <v/>
      </c>
      <c r="Y84" s="83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4" t="str">
        <f aca="false">IF($A84="","",MAX(0,(MAX($Y$2:Y84)-Y84)/MAX(1,MAX($Y$2:Y84))))</f>
        <v/>
      </c>
    </row>
    <row r="85" customFormat="false" ht="15" hidden="false" customHeight="true" outlineLevel="0" collapsed="false">
      <c r="A85" s="9"/>
      <c r="B85" s="9"/>
      <c r="C85" s="9"/>
      <c r="D85" s="9"/>
      <c r="E85" s="9"/>
      <c r="F85" s="26"/>
      <c r="G85" s="27"/>
      <c r="H85" s="18"/>
      <c r="I85" s="26"/>
      <c r="J85" s="27"/>
      <c r="K85" s="19"/>
      <c r="L85" s="26"/>
      <c r="M85" s="9"/>
      <c r="N85" s="14"/>
      <c r="O85" s="9"/>
      <c r="P85" s="14"/>
      <c r="Q85" s="9"/>
      <c r="R85" s="28"/>
      <c r="S85" s="14"/>
      <c r="T85" s="14"/>
      <c r="U85" s="9"/>
      <c r="V85" s="1" t="str">
        <f aca="false">IF($A85="","",IF(OR(D85="卖出",D85="分红"),IFERROR(INDEX($F$2:$F84,MATCH(2,1/($C$2:$C84=$C85))),""),""))</f>
        <v/>
      </c>
      <c r="W85" s="82" t="str">
        <f aca="false">IF($A85="","",IF(D85="买入",IF(AND(ISNUMBER(L85),L85&gt;0),(F85-L85)*G85,F85*0.08*G85),IF(AND(ISNUMBER(V85),V85&gt;0),IF(AND(ISNUMBER(L85),L85&gt;0),(V85-L85)*G85,V85*0.08*G85),0)))</f>
        <v/>
      </c>
      <c r="X85" s="83" t="str">
        <f aca="false">IF($A85="","",IF(D85="买入",0,IFERROR(IF(W85&lt;&gt;0,(H85-IFERROR(INDEX($H$2:$H84,MATCH(2,1/($C$2:$C84=$C85))),0))/W85,0),0)))</f>
        <v/>
      </c>
      <c r="Y85" s="83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4" t="str">
        <f aca="false">IF($A85="","",MAX(0,(MAX($Y$2:Y85)-Y85)/MAX(1,MAX($Y$2:Y85))))</f>
        <v/>
      </c>
    </row>
    <row r="86" customFormat="false" ht="15" hidden="false" customHeight="true" outlineLevel="0" collapsed="false">
      <c r="A86" s="6"/>
      <c r="B86" s="6"/>
      <c r="C86" s="6"/>
      <c r="D86" s="6"/>
      <c r="E86" s="6"/>
      <c r="F86" s="17"/>
      <c r="G86" s="20"/>
      <c r="H86" s="18"/>
      <c r="I86" s="17"/>
      <c r="J86" s="20"/>
      <c r="K86" s="19"/>
      <c r="L86" s="17"/>
      <c r="M86" s="6"/>
      <c r="N86" s="13"/>
      <c r="O86" s="6"/>
      <c r="P86" s="13"/>
      <c r="Q86" s="6"/>
      <c r="R86" s="22"/>
      <c r="S86" s="13"/>
      <c r="T86" s="13"/>
      <c r="U86" s="6"/>
      <c r="V86" s="1" t="str">
        <f aca="false">IF($A86="","",IF(OR(D86="卖出",D86="分红"),IFERROR(INDEX($F$2:$F85,MATCH(2,1/($C$2:$C85=$C86))),""),""))</f>
        <v/>
      </c>
      <c r="W86" s="82" t="str">
        <f aca="false">IF($A86="","",IF(D86="买入",IF(AND(ISNUMBER(L86),L86&gt;0),(F86-L86)*G86,F86*0.08*G86),IF(AND(ISNUMBER(V86),V86&gt;0),IF(AND(ISNUMBER(L86),L86&gt;0),(V86-L86)*G86,V86*0.08*G86),0)))</f>
        <v/>
      </c>
      <c r="X86" s="83" t="str">
        <f aca="false">IF($A86="","",IF(D86="买入",0,IFERROR(IF(W86&lt;&gt;0,(H86-IFERROR(INDEX($H$2:$H85,MATCH(2,1/($C$2:$C85=$C86))),0))/W86,0),0)))</f>
        <v/>
      </c>
      <c r="Y86" s="83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4" t="str">
        <f aca="false">IF($A86="","",MAX(0,(MAX($Y$2:Y86)-Y86)/MAX(1,MAX($Y$2:Y86))))</f>
        <v/>
      </c>
    </row>
    <row r="87" customFormat="false" ht="15" hidden="false" customHeight="true" outlineLevel="0" collapsed="false">
      <c r="A87" s="9"/>
      <c r="B87" s="9"/>
      <c r="C87" s="9"/>
      <c r="D87" s="9"/>
      <c r="E87" s="9"/>
      <c r="F87" s="26"/>
      <c r="G87" s="27"/>
      <c r="H87" s="18"/>
      <c r="I87" s="26"/>
      <c r="J87" s="27"/>
      <c r="K87" s="19"/>
      <c r="L87" s="26"/>
      <c r="M87" s="9"/>
      <c r="N87" s="14"/>
      <c r="O87" s="9"/>
      <c r="P87" s="14"/>
      <c r="Q87" s="9"/>
      <c r="R87" s="28"/>
      <c r="S87" s="14"/>
      <c r="T87" s="14"/>
      <c r="U87" s="9"/>
      <c r="V87" s="1" t="str">
        <f aca="false">IF($A87="","",IF(OR(D87="卖出",D87="分红"),IFERROR(INDEX($F$2:$F86,MATCH(2,1/($C$2:$C86=$C87))),""),""))</f>
        <v/>
      </c>
      <c r="W87" s="82" t="str">
        <f aca="false">IF($A87="","",IF(D87="买入",IF(AND(ISNUMBER(L87),L87&gt;0),(F87-L87)*G87,F87*0.08*G87),IF(AND(ISNUMBER(V87),V87&gt;0),IF(AND(ISNUMBER(L87),L87&gt;0),(V87-L87)*G87,V87*0.08*G87),0)))</f>
        <v/>
      </c>
      <c r="X87" s="83" t="str">
        <f aca="false">IF($A87="","",IF(D87="买入",0,IFERROR(IF(W87&lt;&gt;0,(H87-IFERROR(INDEX($H$2:$H86,MATCH(2,1/($C$2:$C86=$C87))),0))/W87,0),0)))</f>
        <v/>
      </c>
      <c r="Y87" s="83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4" t="str">
        <f aca="false">IF($A87="","",MAX(0,(MAX($Y$2:Y87)-Y87)/MAX(1,MAX($Y$2:Y87))))</f>
        <v/>
      </c>
    </row>
    <row r="88" customFormat="false" ht="15" hidden="false" customHeight="true" outlineLevel="0" collapsed="false">
      <c r="A88" s="6"/>
      <c r="B88" s="6"/>
      <c r="C88" s="6"/>
      <c r="D88" s="6"/>
      <c r="E88" s="6"/>
      <c r="F88" s="17"/>
      <c r="G88" s="20"/>
      <c r="H88" s="18"/>
      <c r="I88" s="17"/>
      <c r="J88" s="20"/>
      <c r="K88" s="19"/>
      <c r="L88" s="17"/>
      <c r="M88" s="6"/>
      <c r="N88" s="13"/>
      <c r="O88" s="6"/>
      <c r="P88" s="13"/>
      <c r="Q88" s="6"/>
      <c r="R88" s="22"/>
      <c r="S88" s="13"/>
      <c r="T88" s="13"/>
      <c r="U88" s="6"/>
      <c r="V88" s="1" t="str">
        <f aca="false">IF($A88="","",IF(OR(D88="卖出",D88="分红"),IFERROR(INDEX($F$2:$F87,MATCH(2,1/($C$2:$C87=$C88))),""),""))</f>
        <v/>
      </c>
      <c r="W88" s="82" t="str">
        <f aca="false">IF($A88="","",IF(D88="买入",IF(AND(ISNUMBER(L88),L88&gt;0),(F88-L88)*G88,F88*0.08*G88),IF(AND(ISNUMBER(V88),V88&gt;0),IF(AND(ISNUMBER(L88),L88&gt;0),(V88-L88)*G88,V88*0.08*G88),0)))</f>
        <v/>
      </c>
      <c r="X88" s="83" t="str">
        <f aca="false">IF($A88="","",IF(D88="买入",0,IFERROR(IF(W88&lt;&gt;0,(H88-IFERROR(INDEX($H$2:$H87,MATCH(2,1/($C$2:$C87=$C88))),0))/W88,0),0)))</f>
        <v/>
      </c>
      <c r="Y88" s="83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4" t="str">
        <f aca="false">IF($A88="","",MAX(0,(MAX($Y$2:Y88)-Y88)/MAX(1,MAX($Y$2:Y88))))</f>
        <v/>
      </c>
    </row>
    <row r="89" customFormat="false" ht="15" hidden="false" customHeight="true" outlineLevel="0" collapsed="false">
      <c r="A89" s="9"/>
      <c r="B89" s="9"/>
      <c r="C89" s="9"/>
      <c r="D89" s="9"/>
      <c r="E89" s="9"/>
      <c r="F89" s="26"/>
      <c r="G89" s="27"/>
      <c r="H89" s="18"/>
      <c r="I89" s="26"/>
      <c r="J89" s="27"/>
      <c r="K89" s="19"/>
      <c r="L89" s="26"/>
      <c r="M89" s="9"/>
      <c r="N89" s="14"/>
      <c r="O89" s="9"/>
      <c r="P89" s="14"/>
      <c r="Q89" s="9"/>
      <c r="R89" s="28"/>
      <c r="S89" s="14"/>
      <c r="T89" s="14"/>
      <c r="U89" s="9"/>
      <c r="V89" s="1" t="str">
        <f aca="false">IF($A89="","",IF(OR(D89="卖出",D89="分红"),IFERROR(INDEX($F$2:$F88,MATCH(2,1/($C$2:$C88=$C89))),""),""))</f>
        <v/>
      </c>
      <c r="W89" s="82" t="str">
        <f aca="false">IF($A89="","",IF(D89="买入",IF(AND(ISNUMBER(L89),L89&gt;0),(F89-L89)*G89,F89*0.08*G89),IF(AND(ISNUMBER(V89),V89&gt;0),IF(AND(ISNUMBER(L89),L89&gt;0),(V89-L89)*G89,V89*0.08*G89),0)))</f>
        <v/>
      </c>
      <c r="X89" s="83" t="str">
        <f aca="false">IF($A89="","",IF(D89="买入",0,IFERROR(IF(W89&lt;&gt;0,(H89-IFERROR(INDEX($H$2:$H88,MATCH(2,1/($C$2:$C88=$C89))),0))/W89,0),0)))</f>
        <v/>
      </c>
      <c r="Y89" s="83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4" t="str">
        <f aca="false">IF($A89="","",MAX(0,(MAX($Y$2:Y89)-Y89)/MAX(1,MAX($Y$2:Y89))))</f>
        <v/>
      </c>
    </row>
    <row r="90" customFormat="false" ht="15" hidden="false" customHeight="true" outlineLevel="0" collapsed="false">
      <c r="A90" s="6"/>
      <c r="B90" s="6"/>
      <c r="C90" s="6"/>
      <c r="D90" s="6"/>
      <c r="E90" s="6"/>
      <c r="F90" s="17"/>
      <c r="G90" s="20"/>
      <c r="H90" s="18"/>
      <c r="I90" s="17"/>
      <c r="J90" s="20"/>
      <c r="K90" s="19"/>
      <c r="L90" s="17"/>
      <c r="M90" s="6"/>
      <c r="N90" s="13"/>
      <c r="O90" s="6"/>
      <c r="P90" s="13"/>
      <c r="Q90" s="6"/>
      <c r="R90" s="22"/>
      <c r="S90" s="13"/>
      <c r="T90" s="13"/>
      <c r="U90" s="6"/>
      <c r="V90" s="1" t="str">
        <f aca="false">IF($A90="","",IF(OR(D90="卖出",D90="分红"),IFERROR(INDEX($F$2:$F89,MATCH(2,1/($C$2:$C89=$C90))),""),""))</f>
        <v/>
      </c>
      <c r="W90" s="82" t="str">
        <f aca="false">IF($A90="","",IF(D90="买入",IF(AND(ISNUMBER(L90),L90&gt;0),(F90-L90)*G90,F90*0.08*G90),IF(AND(ISNUMBER(V90),V90&gt;0),IF(AND(ISNUMBER(L90),L90&gt;0),(V90-L90)*G90,V90*0.08*G90),0)))</f>
        <v/>
      </c>
      <c r="X90" s="83" t="str">
        <f aca="false">IF($A90="","",IF(D90="买入",0,IFERROR(IF(W90&lt;&gt;0,(H90-IFERROR(INDEX($H$2:$H89,MATCH(2,1/($C$2:$C89=$C90))),0))/W90,0),0)))</f>
        <v/>
      </c>
      <c r="Y90" s="83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4" t="str">
        <f aca="false">IF($A90="","",MAX(0,(MAX($Y$2:Y90)-Y90)/MAX(1,MAX($Y$2:Y90))))</f>
        <v/>
      </c>
    </row>
    <row r="91" customFormat="false" ht="15" hidden="false" customHeight="true" outlineLevel="0" collapsed="false">
      <c r="A91" s="9"/>
      <c r="B91" s="9"/>
      <c r="C91" s="9"/>
      <c r="D91" s="9"/>
      <c r="E91" s="9"/>
      <c r="F91" s="26"/>
      <c r="G91" s="27"/>
      <c r="H91" s="18"/>
      <c r="I91" s="26"/>
      <c r="J91" s="27"/>
      <c r="K91" s="19"/>
      <c r="L91" s="26"/>
      <c r="M91" s="9"/>
      <c r="N91" s="14"/>
      <c r="O91" s="9"/>
      <c r="P91" s="14"/>
      <c r="Q91" s="9"/>
      <c r="R91" s="28"/>
      <c r="S91" s="14"/>
      <c r="T91" s="14"/>
      <c r="U91" s="9"/>
      <c r="V91" s="1" t="str">
        <f aca="false">IF($A91="","",IF(OR(D91="卖出",D91="分红"),IFERROR(INDEX($F$2:$F90,MATCH(2,1/($C$2:$C90=$C91))),""),""))</f>
        <v/>
      </c>
      <c r="W91" s="82" t="str">
        <f aca="false">IF($A91="","",IF(D91="买入",IF(AND(ISNUMBER(L91),L91&gt;0),(F91-L91)*G91,F91*0.08*G91),IF(AND(ISNUMBER(V91),V91&gt;0),IF(AND(ISNUMBER(L91),L91&gt;0),(V91-L91)*G91,V91*0.08*G91),0)))</f>
        <v/>
      </c>
      <c r="X91" s="83" t="str">
        <f aca="false">IF($A91="","",IF(D91="买入",0,IFERROR(IF(W91&lt;&gt;0,(H91-IFERROR(INDEX($H$2:$H90,MATCH(2,1/($C$2:$C90=$C91))),0))/W91,0),0)))</f>
        <v/>
      </c>
      <c r="Y91" s="83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4" t="str">
        <f aca="false">IF($A91="","",MAX(0,(MAX($Y$2:Y91)-Y91)/MAX(1,MAX($Y$2:Y91))))</f>
        <v/>
      </c>
    </row>
    <row r="92" customFormat="false" ht="15" hidden="false" customHeight="true" outlineLevel="0" collapsed="false">
      <c r="A92" s="6"/>
      <c r="B92" s="6"/>
      <c r="C92" s="6"/>
      <c r="D92" s="6"/>
      <c r="E92" s="6"/>
      <c r="F92" s="17"/>
      <c r="G92" s="20"/>
      <c r="H92" s="18"/>
      <c r="I92" s="17"/>
      <c r="J92" s="20"/>
      <c r="K92" s="19"/>
      <c r="L92" s="17"/>
      <c r="M92" s="6"/>
      <c r="N92" s="13"/>
      <c r="O92" s="6"/>
      <c r="P92" s="13"/>
      <c r="Q92" s="6"/>
      <c r="R92" s="22"/>
      <c r="S92" s="13"/>
      <c r="T92" s="13"/>
      <c r="U92" s="6"/>
      <c r="V92" s="1" t="str">
        <f aca="false">IF($A92="","",IF(OR(D92="卖出",D92="分红"),IFERROR(INDEX($F$2:$F91,MATCH(2,1/($C$2:$C91=$C92))),""),""))</f>
        <v/>
      </c>
      <c r="W92" s="82" t="str">
        <f aca="false">IF($A92="","",IF(D92="买入",IF(AND(ISNUMBER(L92),L92&gt;0),(F92-L92)*G92,F92*0.08*G92),IF(AND(ISNUMBER(V92),V92&gt;0),IF(AND(ISNUMBER(L92),L92&gt;0),(V92-L92)*G92,V92*0.08*G92),0)))</f>
        <v/>
      </c>
      <c r="X92" s="83" t="str">
        <f aca="false">IF($A92="","",IF(D92="买入",0,IFERROR(IF(W92&lt;&gt;0,(H92-IFERROR(INDEX($H$2:$H91,MATCH(2,1/($C$2:$C91=$C92))),0))/W92,0),0)))</f>
        <v/>
      </c>
      <c r="Y92" s="83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4" t="str">
        <f aca="false">IF($A92="","",MAX(0,(MAX($Y$2:Y92)-Y92)/MAX(1,MAX($Y$2:Y92))))</f>
        <v/>
      </c>
    </row>
    <row r="93" customFormat="false" ht="15" hidden="false" customHeight="true" outlineLevel="0" collapsed="false">
      <c r="A93" s="9"/>
      <c r="B93" s="9"/>
      <c r="C93" s="9"/>
      <c r="D93" s="9"/>
      <c r="E93" s="9"/>
      <c r="F93" s="26"/>
      <c r="G93" s="27"/>
      <c r="H93" s="18"/>
      <c r="I93" s="26"/>
      <c r="J93" s="27"/>
      <c r="K93" s="19"/>
      <c r="L93" s="26"/>
      <c r="M93" s="9"/>
      <c r="N93" s="14"/>
      <c r="O93" s="9"/>
      <c r="P93" s="14"/>
      <c r="Q93" s="9"/>
      <c r="R93" s="28"/>
      <c r="S93" s="14"/>
      <c r="T93" s="14"/>
      <c r="U93" s="9"/>
      <c r="V93" s="1" t="str">
        <f aca="false">IF($A93="","",IF(OR(D93="卖出",D93="分红"),IFERROR(INDEX($F$2:$F92,MATCH(2,1/($C$2:$C92=$C93))),""),""))</f>
        <v/>
      </c>
      <c r="W93" s="82" t="str">
        <f aca="false">IF($A93="","",IF(D93="买入",IF(AND(ISNUMBER(L93),L93&gt;0),(F93-L93)*G93,F93*0.08*G93),IF(AND(ISNUMBER(V93),V93&gt;0),IF(AND(ISNUMBER(L93),L93&gt;0),(V93-L93)*G93,V93*0.08*G93),0)))</f>
        <v/>
      </c>
      <c r="X93" s="83" t="str">
        <f aca="false">IF($A93="","",IF(D93="买入",0,IFERROR(IF(W93&lt;&gt;0,(H93-IFERROR(INDEX($H$2:$H92,MATCH(2,1/($C$2:$C92=$C93))),0))/W93,0),0)))</f>
        <v/>
      </c>
      <c r="Y93" s="83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4" t="str">
        <f aca="false">IF($A93="","",MAX(0,(MAX($Y$2:Y93)-Y93)/MAX(1,MAX($Y$2:Y93))))</f>
        <v/>
      </c>
    </row>
    <row r="94" customFormat="false" ht="15" hidden="false" customHeight="true" outlineLevel="0" collapsed="false">
      <c r="A94" s="6"/>
      <c r="B94" s="6"/>
      <c r="C94" s="6"/>
      <c r="D94" s="6"/>
      <c r="E94" s="6"/>
      <c r="F94" s="17"/>
      <c r="G94" s="20"/>
      <c r="H94" s="18"/>
      <c r="I94" s="17"/>
      <c r="J94" s="20"/>
      <c r="K94" s="19"/>
      <c r="L94" s="17"/>
      <c r="M94" s="6"/>
      <c r="N94" s="13"/>
      <c r="O94" s="6"/>
      <c r="P94" s="13"/>
      <c r="Q94" s="6"/>
      <c r="R94" s="22"/>
      <c r="S94" s="13"/>
      <c r="T94" s="13"/>
      <c r="U94" s="6"/>
      <c r="V94" s="1" t="str">
        <f aca="false">IF($A94="","",IF(OR(D94="卖出",D94="分红"),IFERROR(INDEX($F$2:$F93,MATCH(2,1/($C$2:$C93=$C94))),""),""))</f>
        <v/>
      </c>
      <c r="W94" s="82" t="str">
        <f aca="false">IF($A94="","",IF(D94="买入",IF(AND(ISNUMBER(L94),L94&gt;0),(F94-L94)*G94,F94*0.08*G94),IF(AND(ISNUMBER(V94),V94&gt;0),IF(AND(ISNUMBER(L94),L94&gt;0),(V94-L94)*G94,V94*0.08*G94),0)))</f>
        <v/>
      </c>
      <c r="X94" s="83" t="str">
        <f aca="false">IF($A94="","",IF(D94="买入",0,IFERROR(IF(W94&lt;&gt;0,(H94-IFERROR(INDEX($H$2:$H93,MATCH(2,1/($C$2:$C93=$C94))),0))/W94,0),0)))</f>
        <v/>
      </c>
      <c r="Y94" s="83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4" t="str">
        <f aca="false">IF($A94="","",MAX(0,(MAX($Y$2:Y94)-Y94)/MAX(1,MAX($Y$2:Y94))))</f>
        <v/>
      </c>
    </row>
    <row r="95" customFormat="false" ht="15" hidden="false" customHeight="true" outlineLevel="0" collapsed="false">
      <c r="A95" s="9"/>
      <c r="B95" s="9"/>
      <c r="C95" s="9"/>
      <c r="D95" s="9"/>
      <c r="E95" s="9"/>
      <c r="F95" s="26"/>
      <c r="G95" s="27"/>
      <c r="H95" s="18"/>
      <c r="I95" s="26"/>
      <c r="J95" s="27"/>
      <c r="K95" s="19"/>
      <c r="L95" s="26"/>
      <c r="M95" s="9"/>
      <c r="N95" s="14"/>
      <c r="O95" s="9"/>
      <c r="P95" s="14"/>
      <c r="Q95" s="9"/>
      <c r="R95" s="28"/>
      <c r="S95" s="14"/>
      <c r="T95" s="14"/>
      <c r="U95" s="9"/>
      <c r="V95" s="1" t="str">
        <f aca="false">IF($A95="","",IF(OR(D95="卖出",D95="分红"),IFERROR(INDEX($F$2:$F94,MATCH(2,1/($C$2:$C94=$C95))),""),""))</f>
        <v/>
      </c>
      <c r="W95" s="82" t="str">
        <f aca="false">IF($A95="","",IF(D95="买入",IF(AND(ISNUMBER(L95),L95&gt;0),(F95-L95)*G95,F95*0.08*G95),IF(AND(ISNUMBER(V95),V95&gt;0),IF(AND(ISNUMBER(L95),L95&gt;0),(V95-L95)*G95,V95*0.08*G95),0)))</f>
        <v/>
      </c>
      <c r="X95" s="83" t="str">
        <f aca="false">IF($A95="","",IF(D95="买入",0,IFERROR(IF(W95&lt;&gt;0,(H95-IFERROR(INDEX($H$2:$H94,MATCH(2,1/($C$2:$C94=$C95))),0))/W95,0),0)))</f>
        <v/>
      </c>
      <c r="Y95" s="83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4" t="str">
        <f aca="false">IF($A95="","",MAX(0,(MAX($Y$2:Y95)-Y95)/MAX(1,MAX($Y$2:Y95))))</f>
        <v/>
      </c>
    </row>
    <row r="96" customFormat="false" ht="15" hidden="false" customHeight="true" outlineLevel="0" collapsed="false">
      <c r="A96" s="6"/>
      <c r="B96" s="6"/>
      <c r="C96" s="6"/>
      <c r="D96" s="6"/>
      <c r="E96" s="6"/>
      <c r="F96" s="17"/>
      <c r="G96" s="20"/>
      <c r="H96" s="18"/>
      <c r="I96" s="17"/>
      <c r="J96" s="20"/>
      <c r="K96" s="19"/>
      <c r="L96" s="17"/>
      <c r="M96" s="6"/>
      <c r="N96" s="13"/>
      <c r="O96" s="6"/>
      <c r="P96" s="13"/>
      <c r="Q96" s="6"/>
      <c r="R96" s="22"/>
      <c r="S96" s="13"/>
      <c r="T96" s="13"/>
      <c r="U96" s="6"/>
      <c r="V96" s="1" t="str">
        <f aca="false">IF($A96="","",IF(OR(D96="卖出",D96="分红"),IFERROR(INDEX($F$2:$F95,MATCH(2,1/($C$2:$C95=$C96))),""),""))</f>
        <v/>
      </c>
      <c r="W96" s="82" t="str">
        <f aca="false">IF($A96="","",IF(D96="买入",IF(AND(ISNUMBER(L96),L96&gt;0),(F96-L96)*G96,F96*0.08*G96),IF(AND(ISNUMBER(V96),V96&gt;0),IF(AND(ISNUMBER(L96),L96&gt;0),(V96-L96)*G96,V96*0.08*G96),0)))</f>
        <v/>
      </c>
      <c r="X96" s="83" t="str">
        <f aca="false">IF($A96="","",IF(D96="买入",0,IFERROR(IF(W96&lt;&gt;0,(H96-IFERROR(INDEX($H$2:$H95,MATCH(2,1/($C$2:$C95=$C96))),0))/W96,0),0)))</f>
        <v/>
      </c>
      <c r="Y96" s="83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4" t="str">
        <f aca="false">IF($A96="","",MAX(0,(MAX($Y$2:Y96)-Y96)/MAX(1,MAX($Y$2:Y96))))</f>
        <v/>
      </c>
    </row>
    <row r="97" customFormat="false" ht="15" hidden="false" customHeight="true" outlineLevel="0" collapsed="false">
      <c r="A97" s="9"/>
      <c r="B97" s="9"/>
      <c r="C97" s="9"/>
      <c r="D97" s="9"/>
      <c r="E97" s="9"/>
      <c r="F97" s="26"/>
      <c r="G97" s="27"/>
      <c r="H97" s="18"/>
      <c r="I97" s="26"/>
      <c r="J97" s="27"/>
      <c r="K97" s="19"/>
      <c r="L97" s="26"/>
      <c r="M97" s="9"/>
      <c r="N97" s="14"/>
      <c r="O97" s="9"/>
      <c r="P97" s="14"/>
      <c r="Q97" s="9"/>
      <c r="R97" s="28"/>
      <c r="S97" s="14"/>
      <c r="T97" s="14"/>
      <c r="U97" s="9"/>
      <c r="V97" s="1" t="str">
        <f aca="false">IF($A97="","",IF(OR(D97="卖出",D97="分红"),IFERROR(INDEX($F$2:$F96,MATCH(2,1/($C$2:$C96=$C97))),""),""))</f>
        <v/>
      </c>
      <c r="W97" s="82" t="str">
        <f aca="false">IF($A97="","",IF(D97="买入",IF(AND(ISNUMBER(L97),L97&gt;0),(F97-L97)*G97,F97*0.08*G97),IF(AND(ISNUMBER(V97),V97&gt;0),IF(AND(ISNUMBER(L97),L97&gt;0),(V97-L97)*G97,V97*0.08*G97),0)))</f>
        <v/>
      </c>
      <c r="X97" s="83" t="str">
        <f aca="false">IF($A97="","",IF(D97="买入",0,IFERROR(IF(W97&lt;&gt;0,(H97-IFERROR(INDEX($H$2:$H96,MATCH(2,1/($C$2:$C96=$C97))),0))/W97,0),0)))</f>
        <v/>
      </c>
      <c r="Y97" s="83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4" t="str">
        <f aca="false">IF($A97="","",MAX(0,(MAX($Y$2:Y97)-Y97)/MAX(1,MAX($Y$2:Y97))))</f>
        <v/>
      </c>
    </row>
    <row r="98" customFormat="false" ht="15" hidden="false" customHeight="true" outlineLevel="0" collapsed="false">
      <c r="A98" s="6"/>
      <c r="B98" s="6"/>
      <c r="C98" s="6"/>
      <c r="D98" s="6"/>
      <c r="E98" s="6"/>
      <c r="F98" s="17"/>
      <c r="G98" s="20"/>
      <c r="H98" s="18"/>
      <c r="I98" s="17"/>
      <c r="J98" s="20"/>
      <c r="K98" s="19"/>
      <c r="L98" s="17"/>
      <c r="M98" s="6"/>
      <c r="N98" s="13"/>
      <c r="O98" s="6"/>
      <c r="P98" s="13"/>
      <c r="Q98" s="6"/>
      <c r="R98" s="22"/>
      <c r="S98" s="13"/>
      <c r="T98" s="13"/>
      <c r="U98" s="6"/>
      <c r="V98" s="1" t="str">
        <f aca="false">IF($A98="","",IF(OR(D98="卖出",D98="分红"),IFERROR(INDEX($F$2:$F97,MATCH(2,1/($C$2:$C97=$C98))),""),""))</f>
        <v/>
      </c>
      <c r="W98" s="82" t="str">
        <f aca="false">IF($A98="","",IF(D98="买入",IF(AND(ISNUMBER(L98),L98&gt;0),(F98-L98)*G98,F98*0.08*G98),IF(AND(ISNUMBER(V98),V98&gt;0),IF(AND(ISNUMBER(L98),L98&gt;0),(V98-L98)*G98,V98*0.08*G98),0)))</f>
        <v/>
      </c>
      <c r="X98" s="83" t="str">
        <f aca="false">IF($A98="","",IF(D98="买入",0,IFERROR(IF(W98&lt;&gt;0,(H98-IFERROR(INDEX($H$2:$H97,MATCH(2,1/($C$2:$C97=$C98))),0))/W98,0),0)))</f>
        <v/>
      </c>
      <c r="Y98" s="83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4" t="str">
        <f aca="false">IF($A98="","",MAX(0,(MAX($Y$2:Y98)-Y98)/MAX(1,MAX($Y$2:Y98))))</f>
        <v/>
      </c>
    </row>
    <row r="99" customFormat="false" ht="15" hidden="false" customHeight="true" outlineLevel="0" collapsed="false">
      <c r="A99" s="9"/>
      <c r="B99" s="9"/>
      <c r="C99" s="9"/>
      <c r="D99" s="9"/>
      <c r="E99" s="9"/>
      <c r="F99" s="26"/>
      <c r="G99" s="27"/>
      <c r="H99" s="18"/>
      <c r="I99" s="26"/>
      <c r="J99" s="27"/>
      <c r="K99" s="19"/>
      <c r="L99" s="26"/>
      <c r="M99" s="9"/>
      <c r="N99" s="14"/>
      <c r="O99" s="9"/>
      <c r="P99" s="14"/>
      <c r="Q99" s="9"/>
      <c r="R99" s="28"/>
      <c r="S99" s="14"/>
      <c r="T99" s="14"/>
      <c r="U99" s="9"/>
      <c r="V99" s="1" t="str">
        <f aca="false">IF($A99="","",IF(OR(D99="卖出",D99="分红"),IFERROR(INDEX($F$2:$F98,MATCH(2,1/($C$2:$C98=$C99))),""),""))</f>
        <v/>
      </c>
      <c r="W99" s="82" t="str">
        <f aca="false">IF($A99="","",IF(D99="买入",IF(AND(ISNUMBER(L99),L99&gt;0),(F99-L99)*G99,F99*0.08*G99),IF(AND(ISNUMBER(V99),V99&gt;0),IF(AND(ISNUMBER(L99),L99&gt;0),(V99-L99)*G99,V99*0.08*G99),0)))</f>
        <v/>
      </c>
      <c r="X99" s="83" t="str">
        <f aca="false">IF($A99="","",IF(D99="买入",0,IFERROR(IF(W99&lt;&gt;0,(H99-IFERROR(INDEX($H$2:$H98,MATCH(2,1/($C$2:$C98=$C99))),0))/W99,0),0)))</f>
        <v/>
      </c>
      <c r="Y99" s="83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4" t="str">
        <f aca="false">IF($A99="","",MAX(0,(MAX($Y$2:Y99)-Y99)/MAX(1,MAX($Y$2:Y99))))</f>
        <v/>
      </c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17"/>
      <c r="G100" s="20"/>
      <c r="H100" s="18"/>
      <c r="I100" s="17"/>
      <c r="J100" s="20"/>
      <c r="K100" s="19"/>
      <c r="L100" s="17"/>
      <c r="M100" s="6"/>
      <c r="N100" s="13"/>
      <c r="O100" s="6"/>
      <c r="P100" s="13"/>
      <c r="Q100" s="6"/>
      <c r="R100" s="22"/>
      <c r="S100" s="13"/>
      <c r="T100" s="13"/>
      <c r="U100" s="6"/>
      <c r="V100" s="1" t="str">
        <f aca="false">IF($A100="","",IF(OR(D100="卖出",D100="分红"),IFERROR(INDEX($F$2:$F99,MATCH(2,1/($C$2:$C99=$C100))),""),""))</f>
        <v/>
      </c>
      <c r="W100" s="82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3" t="str">
        <f aca="false">IF($A100="","",IF(D100="买入",0,IFERROR(IF(W100&lt;&gt;0,(H100-IFERROR(INDEX($H$2:$H99,MATCH(2,1/($C$2:$C99=$C100))),0))/W100,0),0)))</f>
        <v/>
      </c>
      <c r="Y100" s="83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4" t="str">
        <f aca="false">IF($A100="","",MAX(0,(MAX($Y$2:Y100)-Y100)/MAX(1,MAX($Y$2:Y100))))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26"/>
      <c r="G101" s="27"/>
      <c r="H101" s="18"/>
      <c r="I101" s="26"/>
      <c r="J101" s="27"/>
      <c r="K101" s="19"/>
      <c r="L101" s="26"/>
      <c r="M101" s="9"/>
      <c r="N101" s="14"/>
      <c r="O101" s="9"/>
      <c r="P101" s="14"/>
      <c r="Q101" s="9"/>
      <c r="R101" s="28"/>
      <c r="S101" s="14"/>
      <c r="T101" s="14"/>
      <c r="U101" s="9"/>
      <c r="V101" s="1" t="str">
        <f aca="false">IF($A101="","",IF(OR(D101="卖出",D101="分红"),IFERROR(INDEX($F$2:$F100,MATCH(2,1/($C$2:$C100=$C101))),""),""))</f>
        <v/>
      </c>
      <c r="W101" s="82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3" t="str">
        <f aca="false">IF($A101="","",IF(D101="买入",0,IFERROR(IF(W101&lt;&gt;0,(H101-IFERROR(INDEX($H$2:$H100,MATCH(2,1/($C$2:$C100=$C101))),0))/W101,0),0)))</f>
        <v/>
      </c>
      <c r="Y101" s="83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4" t="str">
        <f aca="false">IF($A101="","",MAX(0,(MAX($Y$2:Y101)-Y101)/MAX(1,MAX($Y$2:Y101))))</f>
        <v/>
      </c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17"/>
      <c r="G102" s="20"/>
      <c r="H102" s="18"/>
      <c r="I102" s="17"/>
      <c r="J102" s="20"/>
      <c r="K102" s="19"/>
      <c r="L102" s="17"/>
      <c r="M102" s="6"/>
      <c r="N102" s="13"/>
      <c r="O102" s="6"/>
      <c r="P102" s="13"/>
      <c r="Q102" s="6"/>
      <c r="R102" s="22"/>
      <c r="S102" s="13"/>
      <c r="T102" s="13"/>
      <c r="U102" s="6"/>
      <c r="V102" s="1" t="str">
        <f aca="false">IF($A102="","",IF(OR(D102="卖出",D102="分红"),IFERROR(INDEX($F$2:$F101,MATCH(2,1/($C$2:$C101=$C102))),""),""))</f>
        <v/>
      </c>
      <c r="W102" s="82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3" t="str">
        <f aca="false">IF($A102="","",IF(D102="买入",0,IFERROR(IF(W102&lt;&gt;0,(H102-IFERROR(INDEX($H$2:$H101,MATCH(2,1/($C$2:$C101=$C102))),0))/W102,0),0)))</f>
        <v/>
      </c>
      <c r="Y102" s="83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4" t="str">
        <f aca="false">IF($A102="","",MAX(0,(MAX($Y$2:Y102)-Y102)/MAX(1,MAX($Y$2:Y102))))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26"/>
      <c r="G103" s="27"/>
      <c r="H103" s="18"/>
      <c r="I103" s="26"/>
      <c r="J103" s="27"/>
      <c r="K103" s="19"/>
      <c r="L103" s="26"/>
      <c r="M103" s="9"/>
      <c r="N103" s="14"/>
      <c r="O103" s="9"/>
      <c r="P103" s="14"/>
      <c r="Q103" s="9"/>
      <c r="R103" s="28"/>
      <c r="S103" s="14"/>
      <c r="T103" s="14"/>
      <c r="U103" s="9"/>
      <c r="V103" s="1" t="str">
        <f aca="false">IF($A103="","",IF(OR(D103="卖出",D103="分红"),IFERROR(INDEX($F$2:$F102,MATCH(2,1/($C$2:$C102=$C103))),""),""))</f>
        <v/>
      </c>
      <c r="W103" s="82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3" t="str">
        <f aca="false">IF($A103="","",IF(D103="买入",0,IFERROR(IF(W103&lt;&gt;0,(H103-IFERROR(INDEX($H$2:$H102,MATCH(2,1/($C$2:$C102=$C103))),0))/W103,0),0)))</f>
        <v/>
      </c>
      <c r="Y103" s="83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4" t="str">
        <f aca="false">IF($A103="","",MAX(0,(MAX($Y$2:Y103)-Y103)/MAX(1,MAX($Y$2:Y103))))</f>
        <v/>
      </c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17"/>
      <c r="G104" s="20"/>
      <c r="H104" s="18"/>
      <c r="I104" s="17"/>
      <c r="J104" s="20"/>
      <c r="K104" s="19"/>
      <c r="L104" s="17"/>
      <c r="M104" s="6"/>
      <c r="N104" s="13"/>
      <c r="O104" s="6"/>
      <c r="P104" s="13"/>
      <c r="Q104" s="6"/>
      <c r="R104" s="22"/>
      <c r="S104" s="13"/>
      <c r="T104" s="13"/>
      <c r="U104" s="6"/>
      <c r="V104" s="1" t="str">
        <f aca="false">IF($A104="","",IF(OR(D104="卖出",D104="分红"),IFERROR(INDEX($F$2:$F103,MATCH(2,1/($C$2:$C103=$C104))),""),""))</f>
        <v/>
      </c>
      <c r="W104" s="82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3" t="str">
        <f aca="false">IF($A104="","",IF(D104="买入",0,IFERROR(IF(W104&lt;&gt;0,(H104-IFERROR(INDEX($H$2:$H103,MATCH(2,1/($C$2:$C103=$C104))),0))/W104,0),0)))</f>
        <v/>
      </c>
      <c r="Y104" s="83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4" t="str">
        <f aca="false">IF($A104="","",MAX(0,(MAX($Y$2:Y104)-Y104)/MAX(1,MAX($Y$2:Y104))))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26"/>
      <c r="G105" s="27"/>
      <c r="H105" s="18"/>
      <c r="I105" s="26"/>
      <c r="J105" s="27"/>
      <c r="K105" s="19"/>
      <c r="L105" s="26"/>
      <c r="M105" s="9"/>
      <c r="N105" s="14"/>
      <c r="O105" s="9"/>
      <c r="P105" s="14"/>
      <c r="Q105" s="9"/>
      <c r="R105" s="28"/>
      <c r="S105" s="14"/>
      <c r="T105" s="14"/>
      <c r="U105" s="9"/>
      <c r="V105" s="1" t="str">
        <f aca="false">IF($A105="","",IF(OR(D105="卖出",D105="分红"),IFERROR(INDEX($F$2:$F104,MATCH(2,1/($C$2:$C104=$C105))),""),""))</f>
        <v/>
      </c>
      <c r="W105" s="82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3" t="str">
        <f aca="false">IF($A105="","",IF(D105="买入",0,IFERROR(IF(W105&lt;&gt;0,(H105-IFERROR(INDEX($H$2:$H104,MATCH(2,1/($C$2:$C104=$C105))),0))/W105,0),0)))</f>
        <v/>
      </c>
      <c r="Y105" s="83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4" t="str">
        <f aca="false">IF($A105="","",MAX(0,(MAX($Y$2:Y105)-Y105)/MAX(1,MAX($Y$2:Y105))))</f>
        <v/>
      </c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17"/>
      <c r="G106" s="20"/>
      <c r="H106" s="18"/>
      <c r="I106" s="17"/>
      <c r="J106" s="20"/>
      <c r="K106" s="19"/>
      <c r="L106" s="17"/>
      <c r="M106" s="6"/>
      <c r="N106" s="13"/>
      <c r="O106" s="6"/>
      <c r="P106" s="13"/>
      <c r="Q106" s="6"/>
      <c r="R106" s="22"/>
      <c r="S106" s="13"/>
      <c r="T106" s="13"/>
      <c r="U106" s="6"/>
      <c r="V106" s="1" t="str">
        <f aca="false">IF($A106="","",IF(OR(D106="卖出",D106="分红"),IFERROR(INDEX($F$2:$F105,MATCH(2,1/($C$2:$C105=$C106))),""),""))</f>
        <v/>
      </c>
      <c r="W106" s="82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3" t="str">
        <f aca="false">IF($A106="","",IF(D106="买入",0,IFERROR(IF(W106&lt;&gt;0,(H106-IFERROR(INDEX($H$2:$H105,MATCH(2,1/($C$2:$C105=$C106))),0))/W106,0),0)))</f>
        <v/>
      </c>
      <c r="Y106" s="83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4" t="str">
        <f aca="false">IF($A106="","",MAX(0,(MAX($Y$2:Y106)-Y106)/MAX(1,MAX($Y$2:Y106))))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26"/>
      <c r="G107" s="27"/>
      <c r="H107" s="18"/>
      <c r="I107" s="26"/>
      <c r="J107" s="27"/>
      <c r="K107" s="19"/>
      <c r="L107" s="26"/>
      <c r="M107" s="9"/>
      <c r="N107" s="14"/>
      <c r="O107" s="9"/>
      <c r="P107" s="14"/>
      <c r="Q107" s="9"/>
      <c r="R107" s="28"/>
      <c r="S107" s="14"/>
      <c r="T107" s="14"/>
      <c r="U107" s="9"/>
      <c r="V107" s="1" t="str">
        <f aca="false">IF($A107="","",IF(OR(D107="卖出",D107="分红"),IFERROR(INDEX($F$2:$F106,MATCH(2,1/($C$2:$C106=$C107))),""),""))</f>
        <v/>
      </c>
      <c r="W107" s="82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3" t="str">
        <f aca="false">IF($A107="","",IF(D107="买入",0,IFERROR(IF(W107&lt;&gt;0,(H107-IFERROR(INDEX($H$2:$H106,MATCH(2,1/($C$2:$C106=$C107))),0))/W107,0),0)))</f>
        <v/>
      </c>
      <c r="Y107" s="83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4" t="str">
        <f aca="false">IF($A107="","",MAX(0,(MAX($Y$2:Y107)-Y107)/MAX(1,MAX($Y$2:Y107))))</f>
        <v/>
      </c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17"/>
      <c r="G108" s="20"/>
      <c r="H108" s="18"/>
      <c r="I108" s="17"/>
      <c r="J108" s="20"/>
      <c r="K108" s="19"/>
      <c r="L108" s="17"/>
      <c r="M108" s="6"/>
      <c r="N108" s="13"/>
      <c r="O108" s="6"/>
      <c r="P108" s="13"/>
      <c r="Q108" s="6"/>
      <c r="R108" s="22"/>
      <c r="S108" s="13"/>
      <c r="T108" s="13"/>
      <c r="U108" s="6"/>
      <c r="V108" s="1" t="str">
        <f aca="false">IF($A108="","",IF(OR(D108="卖出",D108="分红"),IFERROR(INDEX($F$2:$F107,MATCH(2,1/($C$2:$C107=$C108))),""),""))</f>
        <v/>
      </c>
      <c r="W108" s="82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3" t="str">
        <f aca="false">IF($A108="","",IF(D108="买入",0,IFERROR(IF(W108&lt;&gt;0,(H108-IFERROR(INDEX($H$2:$H107,MATCH(2,1/($C$2:$C107=$C108))),0))/W108,0),0)))</f>
        <v/>
      </c>
      <c r="Y108" s="83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4" t="str">
        <f aca="false">IF($A108="","",MAX(0,(MAX($Y$2:Y108)-Y108)/MAX(1,MAX($Y$2:Y108))))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26"/>
      <c r="G109" s="27"/>
      <c r="H109" s="18"/>
      <c r="I109" s="26"/>
      <c r="J109" s="27"/>
      <c r="K109" s="19"/>
      <c r="L109" s="26"/>
      <c r="M109" s="9"/>
      <c r="N109" s="14"/>
      <c r="O109" s="9"/>
      <c r="P109" s="14"/>
      <c r="Q109" s="9"/>
      <c r="R109" s="28"/>
      <c r="S109" s="14"/>
      <c r="T109" s="14"/>
      <c r="U109" s="9"/>
      <c r="V109" s="1" t="str">
        <f aca="false">IF($A109="","",IF(OR(D109="卖出",D109="分红"),IFERROR(INDEX($F$2:$F108,MATCH(2,1/($C$2:$C108=$C109))),""),""))</f>
        <v/>
      </c>
      <c r="W109" s="82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3" t="str">
        <f aca="false">IF($A109="","",IF(D109="买入",0,IFERROR(IF(W109&lt;&gt;0,(H109-IFERROR(INDEX($H$2:$H108,MATCH(2,1/($C$2:$C108=$C109))),0))/W109,0),0)))</f>
        <v/>
      </c>
      <c r="Y109" s="83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4" t="str">
        <f aca="false">IF($A109="","",MAX(0,(MAX($Y$2:Y109)-Y109)/MAX(1,MAX($Y$2:Y109))))</f>
        <v/>
      </c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17"/>
      <c r="G110" s="20"/>
      <c r="H110" s="18"/>
      <c r="I110" s="17"/>
      <c r="J110" s="20"/>
      <c r="K110" s="19"/>
      <c r="L110" s="17"/>
      <c r="M110" s="6"/>
      <c r="N110" s="13"/>
      <c r="O110" s="6"/>
      <c r="P110" s="13"/>
      <c r="Q110" s="6"/>
      <c r="R110" s="22"/>
      <c r="S110" s="13"/>
      <c r="T110" s="13"/>
      <c r="U110" s="6"/>
      <c r="V110" s="1" t="str">
        <f aca="false">IF($A110="","",IF(OR(D110="卖出",D110="分红"),IFERROR(INDEX($F$2:$F109,MATCH(2,1/($C$2:$C109=$C110))),""),""))</f>
        <v/>
      </c>
      <c r="W110" s="82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3" t="str">
        <f aca="false">IF($A110="","",IF(D110="买入",0,IFERROR(IF(W110&lt;&gt;0,(H110-IFERROR(INDEX($H$2:$H109,MATCH(2,1/($C$2:$C109=$C110))),0))/W110,0),0)))</f>
        <v/>
      </c>
      <c r="Y110" s="83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4" t="str">
        <f aca="false">IF($A110="","",MAX(0,(MAX($Y$2:Y110)-Y110)/MAX(1,MAX($Y$2:Y110))))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26"/>
      <c r="G111" s="27"/>
      <c r="H111" s="18"/>
      <c r="I111" s="26"/>
      <c r="J111" s="27"/>
      <c r="K111" s="19"/>
      <c r="L111" s="26"/>
      <c r="M111" s="9"/>
      <c r="N111" s="14"/>
      <c r="O111" s="9"/>
      <c r="P111" s="14"/>
      <c r="Q111" s="9"/>
      <c r="R111" s="28"/>
      <c r="S111" s="14"/>
      <c r="T111" s="14"/>
      <c r="U111" s="9"/>
      <c r="V111" s="1" t="str">
        <f aca="false">IF($A111="","",IF(OR(D111="卖出",D111="分红"),IFERROR(INDEX($F$2:$F110,MATCH(2,1/($C$2:$C110=$C111))),""),""))</f>
        <v/>
      </c>
      <c r="W111" s="82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3" t="str">
        <f aca="false">IF($A111="","",IF(D111="买入",0,IFERROR(IF(W111&lt;&gt;0,(H111-IFERROR(INDEX($H$2:$H110,MATCH(2,1/($C$2:$C110=$C111))),0))/W111,0),0)))</f>
        <v/>
      </c>
      <c r="Y111" s="83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4" t="str">
        <f aca="false">IF($A111="","",MAX(0,(MAX($Y$2:Y111)-Y111)/MAX(1,MAX($Y$2:Y111))))</f>
        <v/>
      </c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17"/>
      <c r="G112" s="20"/>
      <c r="H112" s="18"/>
      <c r="I112" s="17"/>
      <c r="J112" s="20"/>
      <c r="K112" s="19"/>
      <c r="L112" s="17"/>
      <c r="M112" s="6"/>
      <c r="N112" s="13"/>
      <c r="O112" s="6"/>
      <c r="P112" s="13"/>
      <c r="Q112" s="6"/>
      <c r="R112" s="22"/>
      <c r="S112" s="13"/>
      <c r="T112" s="13"/>
      <c r="U112" s="6"/>
      <c r="V112" s="1" t="str">
        <f aca="false">IF($A112="","",IF(OR(D112="卖出",D112="分红"),IFERROR(INDEX($F$2:$F111,MATCH(2,1/($C$2:$C111=$C112))),""),""))</f>
        <v/>
      </c>
      <c r="W112" s="82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3" t="str">
        <f aca="false">IF($A112="","",IF(D112="买入",0,IFERROR(IF(W112&lt;&gt;0,(H112-IFERROR(INDEX($H$2:$H111,MATCH(2,1/($C$2:$C111=$C112))),0))/W112,0),0)))</f>
        <v/>
      </c>
      <c r="Y112" s="83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4" t="str">
        <f aca="false">IF($A112="","",MAX(0,(MAX($Y$2:Y112)-Y112)/MAX(1,MAX($Y$2:Y112))))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26"/>
      <c r="G113" s="27"/>
      <c r="H113" s="18"/>
      <c r="I113" s="26"/>
      <c r="J113" s="27"/>
      <c r="K113" s="19"/>
      <c r="L113" s="26"/>
      <c r="M113" s="9"/>
      <c r="N113" s="14"/>
      <c r="O113" s="9"/>
      <c r="P113" s="14"/>
      <c r="Q113" s="9"/>
      <c r="R113" s="28"/>
      <c r="S113" s="14"/>
      <c r="T113" s="14"/>
      <c r="U113" s="9"/>
      <c r="V113" s="1" t="str">
        <f aca="false">IF($A113="","",IF(OR(D113="卖出",D113="分红"),IFERROR(INDEX($F$2:$F112,MATCH(2,1/($C$2:$C112=$C113))),""),""))</f>
        <v/>
      </c>
      <c r="W113" s="82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3" t="str">
        <f aca="false">IF($A113="","",IF(D113="买入",0,IFERROR(IF(W113&lt;&gt;0,(H113-IFERROR(INDEX($H$2:$H112,MATCH(2,1/($C$2:$C112=$C113))),0))/W113,0),0)))</f>
        <v/>
      </c>
      <c r="Y113" s="83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4" t="str">
        <f aca="false">IF($A113="","",MAX(0,(MAX($Y$2:Y113)-Y113)/MAX(1,MAX($Y$2:Y113))))</f>
        <v/>
      </c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17"/>
      <c r="G114" s="20"/>
      <c r="H114" s="18"/>
      <c r="I114" s="17"/>
      <c r="J114" s="20"/>
      <c r="K114" s="19"/>
      <c r="L114" s="17"/>
      <c r="M114" s="6"/>
      <c r="N114" s="13"/>
      <c r="O114" s="6"/>
      <c r="P114" s="13"/>
      <c r="Q114" s="6"/>
      <c r="R114" s="22"/>
      <c r="S114" s="13"/>
      <c r="T114" s="13"/>
      <c r="U114" s="6"/>
      <c r="V114" s="1" t="str">
        <f aca="false">IF($A114="","",IF(OR(D114="卖出",D114="分红"),IFERROR(INDEX($F$2:$F113,MATCH(2,1/($C$2:$C113=$C114))),""),""))</f>
        <v/>
      </c>
      <c r="W114" s="82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3" t="str">
        <f aca="false">IF($A114="","",IF(D114="买入",0,IFERROR(IF(W114&lt;&gt;0,(H114-IFERROR(INDEX($H$2:$H113,MATCH(2,1/($C$2:$C113=$C114))),0))/W114,0),0)))</f>
        <v/>
      </c>
      <c r="Y114" s="83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4" t="str">
        <f aca="false">IF($A114="","",MAX(0,(MAX($Y$2:Y114)-Y114)/MAX(1,MAX($Y$2:Y114))))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26"/>
      <c r="G115" s="27"/>
      <c r="H115" s="18"/>
      <c r="I115" s="26"/>
      <c r="J115" s="27"/>
      <c r="K115" s="19"/>
      <c r="L115" s="26"/>
      <c r="M115" s="9"/>
      <c r="N115" s="14"/>
      <c r="O115" s="9"/>
      <c r="P115" s="14"/>
      <c r="Q115" s="9"/>
      <c r="R115" s="28"/>
      <c r="S115" s="14"/>
      <c r="T115" s="14"/>
      <c r="U115" s="9"/>
      <c r="V115" s="1" t="str">
        <f aca="false">IF($A115="","",IF(OR(D115="卖出",D115="分红"),IFERROR(INDEX($F$2:$F114,MATCH(2,1/($C$2:$C114=$C115))),""),""))</f>
        <v/>
      </c>
      <c r="W115" s="82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3" t="str">
        <f aca="false">IF($A115="","",IF(D115="买入",0,IFERROR(IF(W115&lt;&gt;0,(H115-IFERROR(INDEX($H$2:$H114,MATCH(2,1/($C$2:$C114=$C115))),0))/W115,0),0)))</f>
        <v/>
      </c>
      <c r="Y115" s="83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4" t="str">
        <f aca="false">IF($A115="","",MAX(0,(MAX($Y$2:Y115)-Y115)/MAX(1,MAX($Y$2:Y115))))</f>
        <v/>
      </c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17"/>
      <c r="G116" s="20"/>
      <c r="H116" s="18"/>
      <c r="I116" s="17"/>
      <c r="J116" s="20"/>
      <c r="K116" s="19"/>
      <c r="L116" s="17"/>
      <c r="M116" s="6"/>
      <c r="N116" s="13"/>
      <c r="O116" s="6"/>
      <c r="P116" s="13"/>
      <c r="Q116" s="6"/>
      <c r="R116" s="22"/>
      <c r="S116" s="13"/>
      <c r="T116" s="13"/>
      <c r="U116" s="6"/>
      <c r="V116" s="1" t="str">
        <f aca="false">IF($A116="","",IF(OR(D116="卖出",D116="分红"),IFERROR(INDEX($F$2:$F115,MATCH(2,1/($C$2:$C115=$C116))),""),""))</f>
        <v/>
      </c>
      <c r="W116" s="82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3" t="str">
        <f aca="false">IF($A116="","",IF(D116="买入",0,IFERROR(IF(W116&lt;&gt;0,(H116-IFERROR(INDEX($H$2:$H115,MATCH(2,1/($C$2:$C115=$C116))),0))/W116,0),0)))</f>
        <v/>
      </c>
      <c r="Y116" s="83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4" t="str">
        <f aca="false">IF($A116="","",MAX(0,(MAX($Y$2:Y116)-Y116)/MAX(1,MAX($Y$2:Y116))))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26"/>
      <c r="G117" s="27"/>
      <c r="H117" s="18"/>
      <c r="I117" s="26"/>
      <c r="J117" s="27"/>
      <c r="K117" s="19"/>
      <c r="L117" s="26"/>
      <c r="M117" s="9"/>
      <c r="N117" s="14"/>
      <c r="O117" s="9"/>
      <c r="P117" s="14"/>
      <c r="Q117" s="9"/>
      <c r="R117" s="28"/>
      <c r="S117" s="14"/>
      <c r="T117" s="14"/>
      <c r="U117" s="9"/>
      <c r="V117" s="1" t="str">
        <f aca="false">IF($A117="","",IF(OR(D117="卖出",D117="分红"),IFERROR(INDEX($F$2:$F116,MATCH(2,1/($C$2:$C116=$C117))),""),""))</f>
        <v/>
      </c>
      <c r="W117" s="82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3" t="str">
        <f aca="false">IF($A117="","",IF(D117="买入",0,IFERROR(IF(W117&lt;&gt;0,(H117-IFERROR(INDEX($H$2:$H116,MATCH(2,1/($C$2:$C116=$C117))),0))/W117,0),0)))</f>
        <v/>
      </c>
      <c r="Y117" s="83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4" t="str">
        <f aca="false">IF($A117="","",MAX(0,(MAX($Y$2:Y117)-Y117)/MAX(1,MAX($Y$2:Y117))))</f>
        <v/>
      </c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17"/>
      <c r="G118" s="20"/>
      <c r="H118" s="18"/>
      <c r="I118" s="17"/>
      <c r="J118" s="20"/>
      <c r="K118" s="19"/>
      <c r="L118" s="17"/>
      <c r="M118" s="6"/>
      <c r="N118" s="13"/>
      <c r="O118" s="6"/>
      <c r="P118" s="13"/>
      <c r="Q118" s="6"/>
      <c r="R118" s="22"/>
      <c r="S118" s="13"/>
      <c r="T118" s="13"/>
      <c r="U118" s="6"/>
      <c r="V118" s="1" t="str">
        <f aca="false">IF($A118="","",IF(OR(D118="卖出",D118="分红"),IFERROR(INDEX($F$2:$F117,MATCH(2,1/($C$2:$C117=$C118))),""),""))</f>
        <v/>
      </c>
      <c r="W118" s="82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3" t="str">
        <f aca="false">IF($A118="","",IF(D118="买入",0,IFERROR(IF(W118&lt;&gt;0,(H118-IFERROR(INDEX($H$2:$H117,MATCH(2,1/($C$2:$C117=$C118))),0))/W118,0),0)))</f>
        <v/>
      </c>
      <c r="Y118" s="83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4" t="str">
        <f aca="false">IF($A118="","",MAX(0,(MAX($Y$2:Y118)-Y118)/MAX(1,MAX($Y$2:Y118))))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26"/>
      <c r="G119" s="27"/>
      <c r="H119" s="18"/>
      <c r="I119" s="26"/>
      <c r="J119" s="27"/>
      <c r="K119" s="19"/>
      <c r="L119" s="26"/>
      <c r="M119" s="9"/>
      <c r="N119" s="14"/>
      <c r="O119" s="9"/>
      <c r="P119" s="14"/>
      <c r="Q119" s="9"/>
      <c r="R119" s="28"/>
      <c r="S119" s="14"/>
      <c r="T119" s="14"/>
      <c r="U119" s="9"/>
      <c r="V119" s="1" t="str">
        <f aca="false">IF($A119="","",IF(OR(D119="卖出",D119="分红"),IFERROR(INDEX($F$2:$F118,MATCH(2,1/($C$2:$C118=$C119))),""),""))</f>
        <v/>
      </c>
      <c r="W119" s="82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3" t="str">
        <f aca="false">IF($A119="","",IF(D119="买入",0,IFERROR(IF(W119&lt;&gt;0,(H119-IFERROR(INDEX($H$2:$H118,MATCH(2,1/($C$2:$C118=$C119))),0))/W119,0),0)))</f>
        <v/>
      </c>
      <c r="Y119" s="83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4" t="str">
        <f aca="false">IF($A119="","",MAX(0,(MAX($Y$2:Y119)-Y119)/MAX(1,MAX($Y$2:Y119))))</f>
        <v/>
      </c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17"/>
      <c r="G120" s="20"/>
      <c r="H120" s="18"/>
      <c r="I120" s="17"/>
      <c r="J120" s="20"/>
      <c r="K120" s="19"/>
      <c r="L120" s="17"/>
      <c r="M120" s="6"/>
      <c r="N120" s="13"/>
      <c r="O120" s="6"/>
      <c r="P120" s="13"/>
      <c r="Q120" s="6"/>
      <c r="R120" s="22"/>
      <c r="S120" s="13"/>
      <c r="T120" s="13"/>
      <c r="U120" s="6"/>
      <c r="V120" s="1" t="str">
        <f aca="false">IF($A120="","",IF(OR(D120="卖出",D120="分红"),IFERROR(INDEX($F$2:$F119,MATCH(2,1/($C$2:$C119=$C120))),""),""))</f>
        <v/>
      </c>
      <c r="W120" s="82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3" t="str">
        <f aca="false">IF($A120="","",IF(D120="买入",0,IFERROR(IF(W120&lt;&gt;0,(H120-IFERROR(INDEX($H$2:$H119,MATCH(2,1/($C$2:$C119=$C120))),0))/W120,0),0)))</f>
        <v/>
      </c>
      <c r="Y120" s="83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4" t="str">
        <f aca="false">IF($A120="","",MAX(0,(MAX($Y$2:Y120)-Y120)/MAX(1,MAX($Y$2:Y120))))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26"/>
      <c r="G121" s="27"/>
      <c r="H121" s="18"/>
      <c r="I121" s="26"/>
      <c r="J121" s="27"/>
      <c r="K121" s="19"/>
      <c r="L121" s="26"/>
      <c r="M121" s="9"/>
      <c r="N121" s="14"/>
      <c r="O121" s="9"/>
      <c r="P121" s="14"/>
      <c r="Q121" s="9"/>
      <c r="R121" s="28"/>
      <c r="S121" s="14"/>
      <c r="T121" s="14"/>
      <c r="U121" s="9"/>
      <c r="V121" s="1" t="str">
        <f aca="false">IF($A121="","",IF(OR(D121="卖出",D121="分红"),IFERROR(INDEX($F$2:$F120,MATCH(2,1/($C$2:$C120=$C121))),""),""))</f>
        <v/>
      </c>
      <c r="W121" s="82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3" t="str">
        <f aca="false">IF($A121="","",IF(D121="买入",0,IFERROR(IF(W121&lt;&gt;0,(H121-IFERROR(INDEX($H$2:$H120,MATCH(2,1/($C$2:$C120=$C121))),0))/W121,0),0)))</f>
        <v/>
      </c>
      <c r="Y121" s="83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4" t="str">
        <f aca="false">IF($A121="","",MAX(0,(MAX($Y$2:Y121)-Y121)/MAX(1,MAX($Y$2:Y121))))</f>
        <v/>
      </c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17"/>
      <c r="G122" s="20"/>
      <c r="H122" s="18"/>
      <c r="I122" s="17"/>
      <c r="J122" s="20"/>
      <c r="K122" s="19"/>
      <c r="L122" s="17"/>
      <c r="M122" s="6"/>
      <c r="N122" s="13"/>
      <c r="O122" s="6"/>
      <c r="P122" s="13"/>
      <c r="Q122" s="6"/>
      <c r="R122" s="22"/>
      <c r="S122" s="13"/>
      <c r="T122" s="13"/>
      <c r="U122" s="6"/>
      <c r="V122" s="1" t="str">
        <f aca="false">IF($A122="","",IF(OR(D122="卖出",D122="分红"),IFERROR(INDEX($F$2:$F121,MATCH(2,1/($C$2:$C121=$C122))),""),""))</f>
        <v/>
      </c>
      <c r="W122" s="82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3" t="str">
        <f aca="false">IF($A122="","",IF(D122="买入",0,IFERROR(IF(W122&lt;&gt;0,(H122-IFERROR(INDEX($H$2:$H121,MATCH(2,1/($C$2:$C121=$C122))),0))/W122,0),0)))</f>
        <v/>
      </c>
      <c r="Y122" s="83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4" t="str">
        <f aca="false">IF($A122="","",MAX(0,(MAX($Y$2:Y122)-Y122)/MAX(1,MAX($Y$2:Y122))))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26"/>
      <c r="G123" s="27"/>
      <c r="H123" s="18"/>
      <c r="I123" s="26"/>
      <c r="J123" s="27"/>
      <c r="K123" s="19"/>
      <c r="L123" s="26"/>
      <c r="M123" s="9"/>
      <c r="N123" s="14"/>
      <c r="O123" s="9"/>
      <c r="P123" s="14"/>
      <c r="Q123" s="9"/>
      <c r="R123" s="28"/>
      <c r="S123" s="14"/>
      <c r="T123" s="14"/>
      <c r="U123" s="9"/>
      <c r="V123" s="1" t="str">
        <f aca="false">IF($A123="","",IF(OR(D123="卖出",D123="分红"),IFERROR(INDEX($F$2:$F122,MATCH(2,1/($C$2:$C122=$C123))),""),""))</f>
        <v/>
      </c>
      <c r="W123" s="82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3" t="str">
        <f aca="false">IF($A123="","",IF(D123="买入",0,IFERROR(IF(W123&lt;&gt;0,(H123-IFERROR(INDEX($H$2:$H122,MATCH(2,1/($C$2:$C122=$C123))),0))/W123,0),0)))</f>
        <v/>
      </c>
      <c r="Y123" s="83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4" t="str">
        <f aca="false">IF($A123="","",MAX(0,(MAX($Y$2:Y123)-Y123)/MAX(1,MAX($Y$2:Y123))))</f>
        <v/>
      </c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17"/>
      <c r="G124" s="20"/>
      <c r="H124" s="18"/>
      <c r="I124" s="17"/>
      <c r="J124" s="20"/>
      <c r="K124" s="19"/>
      <c r="L124" s="17"/>
      <c r="M124" s="6"/>
      <c r="N124" s="13"/>
      <c r="O124" s="6"/>
      <c r="P124" s="13"/>
      <c r="Q124" s="6"/>
      <c r="R124" s="22"/>
      <c r="S124" s="13"/>
      <c r="T124" s="13"/>
      <c r="U124" s="6"/>
      <c r="V124" s="1" t="str">
        <f aca="false">IF($A124="","",IF(OR(D124="卖出",D124="分红"),IFERROR(INDEX($F$2:$F123,MATCH(2,1/($C$2:$C123=$C124))),""),""))</f>
        <v/>
      </c>
      <c r="W124" s="82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3" t="str">
        <f aca="false">IF($A124="","",IF(D124="买入",0,IFERROR(IF(W124&lt;&gt;0,(H124-IFERROR(INDEX($H$2:$H123,MATCH(2,1/($C$2:$C123=$C124))),0))/W124,0),0)))</f>
        <v/>
      </c>
      <c r="Y124" s="83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4" t="str">
        <f aca="false">IF($A124="","",MAX(0,(MAX($Y$2:Y124)-Y124)/MAX(1,MAX($Y$2:Y124))))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26"/>
      <c r="G125" s="27"/>
      <c r="H125" s="18"/>
      <c r="I125" s="26"/>
      <c r="J125" s="27"/>
      <c r="K125" s="19"/>
      <c r="L125" s="26"/>
      <c r="M125" s="9"/>
      <c r="N125" s="14"/>
      <c r="O125" s="9"/>
      <c r="P125" s="14"/>
      <c r="Q125" s="9"/>
      <c r="R125" s="28"/>
      <c r="S125" s="14"/>
      <c r="T125" s="14"/>
      <c r="U125" s="9"/>
      <c r="V125" s="1" t="str">
        <f aca="false">IF($A125="","",IF(OR(D125="卖出",D125="分红"),IFERROR(INDEX($F$2:$F124,MATCH(2,1/($C$2:$C124=$C125))),""),""))</f>
        <v/>
      </c>
      <c r="W125" s="82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3" t="str">
        <f aca="false">IF($A125="","",IF(D125="买入",0,IFERROR(IF(W125&lt;&gt;0,(H125-IFERROR(INDEX($H$2:$H124,MATCH(2,1/($C$2:$C124=$C125))),0))/W125,0),0)))</f>
        <v/>
      </c>
      <c r="Y125" s="83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4" t="str">
        <f aca="false">IF($A125="","",MAX(0,(MAX($Y$2:Y125)-Y125)/MAX(1,MAX($Y$2:Y125))))</f>
        <v/>
      </c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17"/>
      <c r="G126" s="20"/>
      <c r="H126" s="18"/>
      <c r="I126" s="17"/>
      <c r="J126" s="20"/>
      <c r="K126" s="19"/>
      <c r="L126" s="17"/>
      <c r="M126" s="6"/>
      <c r="N126" s="13"/>
      <c r="O126" s="6"/>
      <c r="P126" s="13"/>
      <c r="Q126" s="6"/>
      <c r="R126" s="22"/>
      <c r="S126" s="13"/>
      <c r="T126" s="13"/>
      <c r="U126" s="6"/>
      <c r="V126" s="1" t="str">
        <f aca="false">IF($A126="","",IF(OR(D126="卖出",D126="分红"),IFERROR(INDEX($F$2:$F125,MATCH(2,1/($C$2:$C125=$C126))),""),""))</f>
        <v/>
      </c>
      <c r="W126" s="82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3" t="str">
        <f aca="false">IF($A126="","",IF(D126="买入",0,IFERROR(IF(W126&lt;&gt;0,(H126-IFERROR(INDEX($H$2:$H125,MATCH(2,1/($C$2:$C125=$C126))),0))/W126,0),0)))</f>
        <v/>
      </c>
      <c r="Y126" s="83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4" t="str">
        <f aca="false">IF($A126="","",MAX(0,(MAX($Y$2:Y126)-Y126)/MAX(1,MAX($Y$2:Y126))))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26"/>
      <c r="G127" s="27"/>
      <c r="H127" s="18"/>
      <c r="I127" s="26"/>
      <c r="J127" s="27"/>
      <c r="K127" s="19"/>
      <c r="L127" s="26"/>
      <c r="M127" s="9"/>
      <c r="N127" s="14"/>
      <c r="O127" s="9"/>
      <c r="P127" s="14"/>
      <c r="Q127" s="9"/>
      <c r="R127" s="28"/>
      <c r="S127" s="14"/>
      <c r="T127" s="14"/>
      <c r="U127" s="9"/>
      <c r="V127" s="1" t="str">
        <f aca="false">IF($A127="","",IF(OR(D127="卖出",D127="分红"),IFERROR(INDEX($F$2:$F126,MATCH(2,1/($C$2:$C126=$C127))),""),""))</f>
        <v/>
      </c>
      <c r="W127" s="82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3" t="str">
        <f aca="false">IF($A127="","",IF(D127="买入",0,IFERROR(IF(W127&lt;&gt;0,(H127-IFERROR(INDEX($H$2:$H126,MATCH(2,1/($C$2:$C126=$C127))),0))/W127,0),0)))</f>
        <v/>
      </c>
      <c r="Y127" s="83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4" t="str">
        <f aca="false">IF($A127="","",MAX(0,(MAX($Y$2:Y127)-Y127)/MAX(1,MAX($Y$2:Y127))))</f>
        <v/>
      </c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17"/>
      <c r="G128" s="20"/>
      <c r="H128" s="18"/>
      <c r="I128" s="17"/>
      <c r="J128" s="20"/>
      <c r="K128" s="19"/>
      <c r="L128" s="17"/>
      <c r="M128" s="6"/>
      <c r="N128" s="13"/>
      <c r="O128" s="6"/>
      <c r="P128" s="13"/>
      <c r="Q128" s="6"/>
      <c r="R128" s="22"/>
      <c r="S128" s="13"/>
      <c r="T128" s="13"/>
      <c r="U128" s="6"/>
      <c r="V128" s="1" t="str">
        <f aca="false">IF($A128="","",IF(OR(D128="卖出",D128="分红"),IFERROR(INDEX($F$2:$F127,MATCH(2,1/($C$2:$C127=$C128))),""),""))</f>
        <v/>
      </c>
      <c r="W128" s="82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3" t="str">
        <f aca="false">IF($A128="","",IF(D128="买入",0,IFERROR(IF(W128&lt;&gt;0,(H128-IFERROR(INDEX($H$2:$H127,MATCH(2,1/($C$2:$C127=$C128))),0))/W128,0),0)))</f>
        <v/>
      </c>
      <c r="Y128" s="83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4" t="str">
        <f aca="false">IF($A128="","",MAX(0,(MAX($Y$2:Y128)-Y128)/MAX(1,MAX($Y$2:Y128))))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26"/>
      <c r="G129" s="27"/>
      <c r="H129" s="18"/>
      <c r="I129" s="26"/>
      <c r="J129" s="27"/>
      <c r="K129" s="19"/>
      <c r="L129" s="26"/>
      <c r="M129" s="9"/>
      <c r="N129" s="14"/>
      <c r="O129" s="9"/>
      <c r="P129" s="14"/>
      <c r="Q129" s="9"/>
      <c r="R129" s="28"/>
      <c r="S129" s="14"/>
      <c r="T129" s="14"/>
      <c r="U129" s="9"/>
      <c r="V129" s="1" t="str">
        <f aca="false">IF($A129="","",IF(OR(D129="卖出",D129="分红"),IFERROR(INDEX($F$2:$F128,MATCH(2,1/($C$2:$C128=$C129))),""),""))</f>
        <v/>
      </c>
      <c r="W129" s="82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3" t="str">
        <f aca="false">IF($A129="","",IF(D129="买入",0,IFERROR(IF(W129&lt;&gt;0,(H129-IFERROR(INDEX($H$2:$H128,MATCH(2,1/($C$2:$C128=$C129))),0))/W129,0),0)))</f>
        <v/>
      </c>
      <c r="Y129" s="83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4" t="str">
        <f aca="false">IF($A129="","",MAX(0,(MAX($Y$2:Y129)-Y129)/MAX(1,MAX($Y$2:Y129))))</f>
        <v/>
      </c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17"/>
      <c r="G130" s="20"/>
      <c r="H130" s="18"/>
      <c r="I130" s="17"/>
      <c r="J130" s="20"/>
      <c r="K130" s="19"/>
      <c r="L130" s="17"/>
      <c r="M130" s="6"/>
      <c r="N130" s="13"/>
      <c r="O130" s="6"/>
      <c r="P130" s="13"/>
      <c r="Q130" s="6"/>
      <c r="R130" s="22"/>
      <c r="S130" s="13"/>
      <c r="T130" s="13"/>
      <c r="U130" s="6"/>
      <c r="V130" s="1" t="str">
        <f aca="false">IF($A130="","",IF(OR(D130="卖出",D130="分红"),IFERROR(INDEX($F$2:$F129,MATCH(2,1/($C$2:$C129=$C130))),""),""))</f>
        <v/>
      </c>
      <c r="W130" s="82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3" t="str">
        <f aca="false">IF($A130="","",IF(D130="买入",0,IFERROR(IF(W130&lt;&gt;0,(H130-IFERROR(INDEX($H$2:$H129,MATCH(2,1/($C$2:$C129=$C130))),0))/W130,0),0)))</f>
        <v/>
      </c>
      <c r="Y130" s="83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4" t="str">
        <f aca="false">IF($A130="","",MAX(0,(MAX($Y$2:Y130)-Y130)/MAX(1,MAX($Y$2:Y130))))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26"/>
      <c r="G131" s="27"/>
      <c r="H131" s="18"/>
      <c r="I131" s="26"/>
      <c r="J131" s="27"/>
      <c r="K131" s="19"/>
      <c r="L131" s="26"/>
      <c r="M131" s="9"/>
      <c r="N131" s="14"/>
      <c r="O131" s="9"/>
      <c r="P131" s="14"/>
      <c r="Q131" s="9"/>
      <c r="R131" s="28"/>
      <c r="S131" s="14"/>
      <c r="T131" s="14"/>
      <c r="U131" s="9"/>
      <c r="V131" s="1" t="str">
        <f aca="false">IF($A131="","",IF(OR(D131="卖出",D131="分红"),IFERROR(INDEX($F$2:$F130,MATCH(2,1/($C$2:$C130=$C131))),""),""))</f>
        <v/>
      </c>
      <c r="W131" s="82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3" t="str">
        <f aca="false">IF($A131="","",IF(D131="买入",0,IFERROR(IF(W131&lt;&gt;0,(H131-IFERROR(INDEX($H$2:$H130,MATCH(2,1/($C$2:$C130=$C131))),0))/W131,0),0)))</f>
        <v/>
      </c>
      <c r="Y131" s="83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4" t="str">
        <f aca="false">IF($A131="","",MAX(0,(MAX($Y$2:Y131)-Y131)/MAX(1,MAX($Y$2:Y131))))</f>
        <v/>
      </c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17"/>
      <c r="G132" s="20"/>
      <c r="H132" s="18"/>
      <c r="I132" s="17"/>
      <c r="J132" s="20"/>
      <c r="K132" s="19"/>
      <c r="L132" s="17"/>
      <c r="M132" s="6"/>
      <c r="N132" s="13"/>
      <c r="O132" s="6"/>
      <c r="P132" s="13"/>
      <c r="Q132" s="6"/>
      <c r="R132" s="22"/>
      <c r="S132" s="13"/>
      <c r="T132" s="13"/>
      <c r="U132" s="6"/>
      <c r="V132" s="1" t="str">
        <f aca="false">IF($A132="","",IF(OR(D132="卖出",D132="分红"),IFERROR(INDEX($F$2:$F131,MATCH(2,1/($C$2:$C131=$C132))),""),""))</f>
        <v/>
      </c>
      <c r="W132" s="82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3" t="str">
        <f aca="false">IF($A132="","",IF(D132="买入",0,IFERROR(IF(W132&lt;&gt;0,(H132-IFERROR(INDEX($H$2:$H131,MATCH(2,1/($C$2:$C131=$C132))),0))/W132,0),0)))</f>
        <v/>
      </c>
      <c r="Y132" s="83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4" t="str">
        <f aca="false">IF($A132="","",MAX(0,(MAX($Y$2:Y132)-Y132)/MAX(1,MAX($Y$2:Y132))))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26"/>
      <c r="G133" s="27"/>
      <c r="H133" s="18"/>
      <c r="I133" s="26"/>
      <c r="J133" s="27"/>
      <c r="K133" s="19"/>
      <c r="L133" s="26"/>
      <c r="M133" s="9"/>
      <c r="N133" s="14"/>
      <c r="O133" s="9"/>
      <c r="P133" s="14"/>
      <c r="Q133" s="9"/>
      <c r="R133" s="28"/>
      <c r="S133" s="14"/>
      <c r="T133" s="14"/>
      <c r="U133" s="9"/>
      <c r="V133" s="1" t="str">
        <f aca="false">IF($A133="","",IF(OR(D133="卖出",D133="分红"),IFERROR(INDEX($F$2:$F132,MATCH(2,1/($C$2:$C132=$C133))),""),""))</f>
        <v/>
      </c>
      <c r="W133" s="82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3" t="str">
        <f aca="false">IF($A133="","",IF(D133="买入",0,IFERROR(IF(W133&lt;&gt;0,(H133-IFERROR(INDEX($H$2:$H132,MATCH(2,1/($C$2:$C132=$C133))),0))/W133,0),0)))</f>
        <v/>
      </c>
      <c r="Y133" s="83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4" t="str">
        <f aca="false">IF($A133="","",MAX(0,(MAX($Y$2:Y133)-Y133)/MAX(1,MAX($Y$2:Y133))))</f>
        <v/>
      </c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17"/>
      <c r="G134" s="20"/>
      <c r="H134" s="18"/>
      <c r="I134" s="17"/>
      <c r="J134" s="20"/>
      <c r="K134" s="19"/>
      <c r="L134" s="17"/>
      <c r="M134" s="6"/>
      <c r="N134" s="13"/>
      <c r="O134" s="6"/>
      <c r="P134" s="13"/>
      <c r="Q134" s="6"/>
      <c r="R134" s="22"/>
      <c r="S134" s="13"/>
      <c r="T134" s="13"/>
      <c r="U134" s="6"/>
      <c r="V134" s="1" t="str">
        <f aca="false">IF($A134="","",IF(OR(D134="卖出",D134="分红"),IFERROR(INDEX($F$2:$F133,MATCH(2,1/($C$2:$C133=$C134))),""),""))</f>
        <v/>
      </c>
      <c r="W134" s="82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3" t="str">
        <f aca="false">IF($A134="","",IF(D134="买入",0,IFERROR(IF(W134&lt;&gt;0,(H134-IFERROR(INDEX($H$2:$H133,MATCH(2,1/($C$2:$C133=$C134))),0))/W134,0),0)))</f>
        <v/>
      </c>
      <c r="Y134" s="83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4" t="str">
        <f aca="false">IF($A134="","",MAX(0,(MAX($Y$2:Y134)-Y134)/MAX(1,MAX($Y$2:Y134))))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26"/>
      <c r="G135" s="27"/>
      <c r="H135" s="18"/>
      <c r="I135" s="26"/>
      <c r="J135" s="27"/>
      <c r="K135" s="19"/>
      <c r="L135" s="26"/>
      <c r="M135" s="9"/>
      <c r="N135" s="14"/>
      <c r="O135" s="9"/>
      <c r="P135" s="14"/>
      <c r="Q135" s="9"/>
      <c r="R135" s="28"/>
      <c r="S135" s="14"/>
      <c r="T135" s="14"/>
      <c r="U135" s="9"/>
      <c r="V135" s="1" t="str">
        <f aca="false">IF($A135="","",IF(OR(D135="卖出",D135="分红"),IFERROR(INDEX($F$2:$F134,MATCH(2,1/($C$2:$C134=$C135))),""),""))</f>
        <v/>
      </c>
      <c r="W135" s="82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3" t="str">
        <f aca="false">IF($A135="","",IF(D135="买入",0,IFERROR(IF(W135&lt;&gt;0,(H135-IFERROR(INDEX($H$2:$H134,MATCH(2,1/($C$2:$C134=$C135))),0))/W135,0),0)))</f>
        <v/>
      </c>
      <c r="Y135" s="83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4" t="str">
        <f aca="false">IF($A135="","",MAX(0,(MAX($Y$2:Y135)-Y135)/MAX(1,MAX($Y$2:Y135))))</f>
        <v/>
      </c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17"/>
      <c r="G136" s="20"/>
      <c r="H136" s="18"/>
      <c r="I136" s="17"/>
      <c r="J136" s="20"/>
      <c r="K136" s="19"/>
      <c r="L136" s="17"/>
      <c r="M136" s="6"/>
      <c r="N136" s="13"/>
      <c r="O136" s="6"/>
      <c r="P136" s="13"/>
      <c r="Q136" s="6"/>
      <c r="R136" s="22"/>
      <c r="S136" s="13"/>
      <c r="T136" s="13"/>
      <c r="U136" s="6"/>
      <c r="V136" s="1" t="str">
        <f aca="false">IF($A136="","",IF(OR(D136="卖出",D136="分红"),IFERROR(INDEX($F$2:$F135,MATCH(2,1/($C$2:$C135=$C136))),""),""))</f>
        <v/>
      </c>
      <c r="W136" s="82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3" t="str">
        <f aca="false">IF($A136="","",IF(D136="买入",0,IFERROR(IF(W136&lt;&gt;0,(H136-IFERROR(INDEX($H$2:$H135,MATCH(2,1/($C$2:$C135=$C136))),0))/W136,0),0)))</f>
        <v/>
      </c>
      <c r="Y136" s="83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4" t="str">
        <f aca="false">IF($A136="","",MAX(0,(MAX($Y$2:Y136)-Y136)/MAX(1,MAX($Y$2:Y136))))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26"/>
      <c r="G137" s="27"/>
      <c r="H137" s="18"/>
      <c r="I137" s="26"/>
      <c r="J137" s="27"/>
      <c r="K137" s="19"/>
      <c r="L137" s="26"/>
      <c r="M137" s="9"/>
      <c r="N137" s="14"/>
      <c r="O137" s="9"/>
      <c r="P137" s="14"/>
      <c r="Q137" s="9"/>
      <c r="R137" s="28"/>
      <c r="S137" s="14"/>
      <c r="T137" s="14"/>
      <c r="U137" s="9"/>
      <c r="V137" s="1" t="str">
        <f aca="false">IF($A137="","",IF(OR(D137="卖出",D137="分红"),IFERROR(INDEX($F$2:$F136,MATCH(2,1/($C$2:$C136=$C137))),""),""))</f>
        <v/>
      </c>
      <c r="W137" s="82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3" t="str">
        <f aca="false">IF($A137="","",IF(D137="买入",0,IFERROR(IF(W137&lt;&gt;0,(H137-IFERROR(INDEX($H$2:$H136,MATCH(2,1/($C$2:$C136=$C137))),0))/W137,0),0)))</f>
        <v/>
      </c>
      <c r="Y137" s="83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4" t="str">
        <f aca="false">IF($A137="","",MAX(0,(MAX($Y$2:Y137)-Y137)/MAX(1,MAX($Y$2:Y137))))</f>
        <v/>
      </c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17"/>
      <c r="G138" s="20"/>
      <c r="H138" s="18"/>
      <c r="I138" s="17"/>
      <c r="J138" s="20"/>
      <c r="K138" s="19"/>
      <c r="L138" s="17"/>
      <c r="M138" s="6"/>
      <c r="N138" s="13"/>
      <c r="O138" s="6"/>
      <c r="P138" s="13"/>
      <c r="Q138" s="6"/>
      <c r="R138" s="22"/>
      <c r="S138" s="13"/>
      <c r="T138" s="13"/>
      <c r="U138" s="6"/>
      <c r="V138" s="1" t="str">
        <f aca="false">IF($A138="","",IF(OR(D138="卖出",D138="分红"),IFERROR(INDEX($F$2:$F137,MATCH(2,1/($C$2:$C137=$C138))),""),""))</f>
        <v/>
      </c>
      <c r="W138" s="82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3" t="str">
        <f aca="false">IF($A138="","",IF(D138="买入",0,IFERROR(IF(W138&lt;&gt;0,(H138-IFERROR(INDEX($H$2:$H137,MATCH(2,1/($C$2:$C137=$C138))),0))/W138,0),0)))</f>
        <v/>
      </c>
      <c r="Y138" s="83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4" t="str">
        <f aca="false">IF($A138="","",MAX(0,(MAX($Y$2:Y138)-Y138)/MAX(1,MAX($Y$2:Y138))))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26"/>
      <c r="G139" s="27"/>
      <c r="H139" s="18"/>
      <c r="I139" s="26"/>
      <c r="J139" s="27"/>
      <c r="K139" s="19"/>
      <c r="L139" s="26"/>
      <c r="M139" s="9"/>
      <c r="N139" s="14"/>
      <c r="O139" s="9"/>
      <c r="P139" s="14"/>
      <c r="Q139" s="9"/>
      <c r="R139" s="28"/>
      <c r="S139" s="14"/>
      <c r="T139" s="14"/>
      <c r="U139" s="9"/>
      <c r="V139" s="1" t="str">
        <f aca="false">IF($A139="","",IF(OR(D139="卖出",D139="分红"),IFERROR(INDEX($F$2:$F138,MATCH(2,1/($C$2:$C138=$C139))),""),""))</f>
        <v/>
      </c>
      <c r="W139" s="82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3" t="str">
        <f aca="false">IF($A139="","",IF(D139="买入",0,IFERROR(IF(W139&lt;&gt;0,(H139-IFERROR(INDEX($H$2:$H138,MATCH(2,1/($C$2:$C138=$C139))),0))/W139,0),0)))</f>
        <v/>
      </c>
      <c r="Y139" s="83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4" t="str">
        <f aca="false">IF($A139="","",MAX(0,(MAX($Y$2:Y139)-Y139)/MAX(1,MAX($Y$2:Y139))))</f>
        <v/>
      </c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17"/>
      <c r="G140" s="20"/>
      <c r="H140" s="18"/>
      <c r="I140" s="17"/>
      <c r="J140" s="20"/>
      <c r="K140" s="19"/>
      <c r="L140" s="17"/>
      <c r="M140" s="6"/>
      <c r="N140" s="13"/>
      <c r="O140" s="6"/>
      <c r="P140" s="13"/>
      <c r="Q140" s="6"/>
      <c r="R140" s="22"/>
      <c r="S140" s="13"/>
      <c r="T140" s="13"/>
      <c r="U140" s="6"/>
      <c r="V140" s="1" t="str">
        <f aca="false">IF($A140="","",IF(OR(D140="卖出",D140="分红"),IFERROR(INDEX($F$2:$F139,MATCH(2,1/($C$2:$C139=$C140))),""),""))</f>
        <v/>
      </c>
      <c r="W140" s="82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3" t="str">
        <f aca="false">IF($A140="","",IF(D140="买入",0,IFERROR(IF(W140&lt;&gt;0,(H140-IFERROR(INDEX($H$2:$H139,MATCH(2,1/($C$2:$C139=$C140))),0))/W140,0),0)))</f>
        <v/>
      </c>
      <c r="Y140" s="83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4" t="str">
        <f aca="false">IF($A140="","",MAX(0,(MAX($Y$2:Y140)-Y140)/MAX(1,MAX($Y$2:Y140))))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26"/>
      <c r="G141" s="27"/>
      <c r="H141" s="18"/>
      <c r="I141" s="26"/>
      <c r="J141" s="27"/>
      <c r="K141" s="19"/>
      <c r="L141" s="26"/>
      <c r="M141" s="9"/>
      <c r="N141" s="14"/>
      <c r="O141" s="9"/>
      <c r="P141" s="14"/>
      <c r="Q141" s="9"/>
      <c r="R141" s="28"/>
      <c r="S141" s="14"/>
      <c r="T141" s="14"/>
      <c r="U141" s="9"/>
      <c r="V141" s="1" t="str">
        <f aca="false">IF($A141="","",IF(OR(D141="卖出",D141="分红"),IFERROR(INDEX($F$2:$F140,MATCH(2,1/($C$2:$C140=$C141))),""),""))</f>
        <v/>
      </c>
      <c r="W141" s="82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3" t="str">
        <f aca="false">IF($A141="","",IF(D141="买入",0,IFERROR(IF(W141&lt;&gt;0,(H141-IFERROR(INDEX($H$2:$H140,MATCH(2,1/($C$2:$C140=$C141))),0))/W141,0),0)))</f>
        <v/>
      </c>
      <c r="Y141" s="83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4" t="str">
        <f aca="false">IF($A141="","",MAX(0,(MAX($Y$2:Y141)-Y141)/MAX(1,MAX($Y$2:Y141))))</f>
        <v/>
      </c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17"/>
      <c r="G142" s="20"/>
      <c r="H142" s="18"/>
      <c r="I142" s="17"/>
      <c r="J142" s="20"/>
      <c r="K142" s="19"/>
      <c r="L142" s="17"/>
      <c r="M142" s="6"/>
      <c r="N142" s="13"/>
      <c r="O142" s="6"/>
      <c r="P142" s="13"/>
      <c r="Q142" s="6"/>
      <c r="R142" s="22"/>
      <c r="S142" s="13"/>
      <c r="T142" s="13"/>
      <c r="U142" s="6"/>
      <c r="V142" s="1" t="str">
        <f aca="false">IF($A142="","",IF(OR(D142="卖出",D142="分红"),IFERROR(INDEX($F$2:$F141,MATCH(2,1/($C$2:$C141=$C142))),""),""))</f>
        <v/>
      </c>
      <c r="W142" s="82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3" t="str">
        <f aca="false">IF($A142="","",IF(D142="买入",0,IFERROR(IF(W142&lt;&gt;0,(H142-IFERROR(INDEX($H$2:$H141,MATCH(2,1/($C$2:$C141=$C142))),0))/W142,0),0)))</f>
        <v/>
      </c>
      <c r="Y142" s="83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4" t="str">
        <f aca="false">IF($A142="","",MAX(0,(MAX($Y$2:Y142)-Y142)/MAX(1,MAX($Y$2:Y142))))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26"/>
      <c r="G143" s="27"/>
      <c r="H143" s="18"/>
      <c r="I143" s="26"/>
      <c r="J143" s="27"/>
      <c r="K143" s="19"/>
      <c r="L143" s="26"/>
      <c r="M143" s="9"/>
      <c r="N143" s="14"/>
      <c r="O143" s="9"/>
      <c r="P143" s="14"/>
      <c r="Q143" s="9"/>
      <c r="R143" s="28"/>
      <c r="S143" s="14"/>
      <c r="T143" s="14"/>
      <c r="U143" s="9"/>
      <c r="V143" s="1" t="str">
        <f aca="false">IF($A143="","",IF(OR(D143="卖出",D143="分红"),IFERROR(INDEX($F$2:$F142,MATCH(2,1/($C$2:$C142=$C143))),""),""))</f>
        <v/>
      </c>
      <c r="W143" s="82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3" t="str">
        <f aca="false">IF($A143="","",IF(D143="买入",0,IFERROR(IF(W143&lt;&gt;0,(H143-IFERROR(INDEX($H$2:$H142,MATCH(2,1/($C$2:$C142=$C143))),0))/W143,0),0)))</f>
        <v/>
      </c>
      <c r="Y143" s="83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4" t="str">
        <f aca="false">IF($A143="","",MAX(0,(MAX($Y$2:Y143)-Y143)/MAX(1,MAX($Y$2:Y143))))</f>
        <v/>
      </c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17"/>
      <c r="G144" s="20"/>
      <c r="H144" s="18"/>
      <c r="I144" s="17"/>
      <c r="J144" s="20"/>
      <c r="K144" s="19"/>
      <c r="L144" s="17"/>
      <c r="M144" s="6"/>
      <c r="N144" s="13"/>
      <c r="O144" s="6"/>
      <c r="P144" s="13"/>
      <c r="Q144" s="6"/>
      <c r="R144" s="22"/>
      <c r="S144" s="13"/>
      <c r="T144" s="13"/>
      <c r="U144" s="6"/>
      <c r="V144" s="1" t="str">
        <f aca="false">IF($A144="","",IF(OR(D144="卖出",D144="分红"),IFERROR(INDEX($F$2:$F143,MATCH(2,1/($C$2:$C143=$C144))),""),""))</f>
        <v/>
      </c>
      <c r="W144" s="82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3" t="str">
        <f aca="false">IF($A144="","",IF(D144="买入",0,IFERROR(IF(W144&lt;&gt;0,(H144-IFERROR(INDEX($H$2:$H143,MATCH(2,1/($C$2:$C143=$C144))),0))/W144,0),0)))</f>
        <v/>
      </c>
      <c r="Y144" s="83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4" t="str">
        <f aca="false">IF($A144="","",MAX(0,(MAX($Y$2:Y144)-Y144)/MAX(1,MAX($Y$2:Y144))))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26"/>
      <c r="G145" s="27"/>
      <c r="H145" s="18"/>
      <c r="I145" s="26"/>
      <c r="J145" s="27"/>
      <c r="K145" s="19"/>
      <c r="L145" s="26"/>
      <c r="M145" s="9"/>
      <c r="N145" s="14"/>
      <c r="O145" s="9"/>
      <c r="P145" s="14"/>
      <c r="Q145" s="9"/>
      <c r="R145" s="28"/>
      <c r="S145" s="14"/>
      <c r="T145" s="14"/>
      <c r="U145" s="9"/>
      <c r="V145" s="1" t="str">
        <f aca="false">IF($A145="","",IF(OR(D145="卖出",D145="分红"),IFERROR(INDEX($F$2:$F144,MATCH(2,1/($C$2:$C144=$C145))),""),""))</f>
        <v/>
      </c>
      <c r="W145" s="82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3" t="str">
        <f aca="false">IF($A145="","",IF(D145="买入",0,IFERROR(IF(W145&lt;&gt;0,(H145-IFERROR(INDEX($H$2:$H144,MATCH(2,1/($C$2:$C144=$C145))),0))/W145,0),0)))</f>
        <v/>
      </c>
      <c r="Y145" s="83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4" t="str">
        <f aca="false">IF($A145="","",MAX(0,(MAX($Y$2:Y145)-Y145)/MAX(1,MAX($Y$2:Y145))))</f>
        <v/>
      </c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17"/>
      <c r="G146" s="20"/>
      <c r="H146" s="18"/>
      <c r="I146" s="17"/>
      <c r="J146" s="20"/>
      <c r="K146" s="19"/>
      <c r="L146" s="17"/>
      <c r="M146" s="6"/>
      <c r="N146" s="13"/>
      <c r="O146" s="6"/>
      <c r="P146" s="13"/>
      <c r="Q146" s="6"/>
      <c r="R146" s="22"/>
      <c r="S146" s="13"/>
      <c r="T146" s="13"/>
      <c r="U146" s="6"/>
      <c r="V146" s="1" t="str">
        <f aca="false">IF($A146="","",IF(OR(D146="卖出",D146="分红"),IFERROR(INDEX($F$2:$F145,MATCH(2,1/($C$2:$C145=$C146))),""),""))</f>
        <v/>
      </c>
      <c r="W146" s="82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3" t="str">
        <f aca="false">IF($A146="","",IF(D146="买入",0,IFERROR(IF(W146&lt;&gt;0,(H146-IFERROR(INDEX($H$2:$H145,MATCH(2,1/($C$2:$C145=$C146))),0))/W146,0),0)))</f>
        <v/>
      </c>
      <c r="Y146" s="83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4" t="str">
        <f aca="false">IF($A146="","",MAX(0,(MAX($Y$2:Y146)-Y146)/MAX(1,MAX($Y$2:Y146))))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26"/>
      <c r="G147" s="27"/>
      <c r="H147" s="18"/>
      <c r="I147" s="26"/>
      <c r="J147" s="27"/>
      <c r="K147" s="19"/>
      <c r="L147" s="26"/>
      <c r="M147" s="9"/>
      <c r="N147" s="14"/>
      <c r="O147" s="9"/>
      <c r="P147" s="14"/>
      <c r="Q147" s="9"/>
      <c r="R147" s="28"/>
      <c r="S147" s="14"/>
      <c r="T147" s="14"/>
      <c r="U147" s="9"/>
      <c r="V147" s="1" t="str">
        <f aca="false">IF($A147="","",IF(OR(D147="卖出",D147="分红"),IFERROR(INDEX($F$2:$F146,MATCH(2,1/($C$2:$C146=$C147))),""),""))</f>
        <v/>
      </c>
      <c r="W147" s="82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3" t="str">
        <f aca="false">IF($A147="","",IF(D147="买入",0,IFERROR(IF(W147&lt;&gt;0,(H147-IFERROR(INDEX($H$2:$H146,MATCH(2,1/($C$2:$C146=$C147))),0))/W147,0),0)))</f>
        <v/>
      </c>
      <c r="Y147" s="83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4" t="str">
        <f aca="false">IF($A147="","",MAX(0,(MAX($Y$2:Y147)-Y147)/MAX(1,MAX($Y$2:Y147))))</f>
        <v/>
      </c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17"/>
      <c r="G148" s="20"/>
      <c r="H148" s="18"/>
      <c r="I148" s="17"/>
      <c r="J148" s="20"/>
      <c r="K148" s="19"/>
      <c r="L148" s="17"/>
      <c r="M148" s="6"/>
      <c r="N148" s="13"/>
      <c r="O148" s="6"/>
      <c r="P148" s="13"/>
      <c r="Q148" s="6"/>
      <c r="R148" s="22"/>
      <c r="S148" s="13"/>
      <c r="T148" s="13"/>
      <c r="U148" s="6"/>
      <c r="V148" s="1" t="str">
        <f aca="false">IF($A148="","",IF(OR(D148="卖出",D148="分红"),IFERROR(INDEX($F$2:$F147,MATCH(2,1/($C$2:$C147=$C148))),""),""))</f>
        <v/>
      </c>
      <c r="W148" s="82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3" t="str">
        <f aca="false">IF($A148="","",IF(D148="买入",0,IFERROR(IF(W148&lt;&gt;0,(H148-IFERROR(INDEX($H$2:$H147,MATCH(2,1/($C$2:$C147=$C148))),0))/W148,0),0)))</f>
        <v/>
      </c>
      <c r="Y148" s="83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4" t="str">
        <f aca="false">IF($A148="","",MAX(0,(MAX($Y$2:Y148)-Y148)/MAX(1,MAX($Y$2:Y148))))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26"/>
      <c r="G149" s="27"/>
      <c r="H149" s="18"/>
      <c r="I149" s="26"/>
      <c r="J149" s="27"/>
      <c r="K149" s="19"/>
      <c r="L149" s="26"/>
      <c r="M149" s="9"/>
      <c r="N149" s="14"/>
      <c r="O149" s="9"/>
      <c r="P149" s="14"/>
      <c r="Q149" s="9"/>
      <c r="R149" s="28"/>
      <c r="S149" s="14"/>
      <c r="T149" s="14"/>
      <c r="U149" s="9"/>
      <c r="V149" s="1" t="str">
        <f aca="false">IF($A149="","",IF(OR(D149="卖出",D149="分红"),IFERROR(INDEX($F$2:$F148,MATCH(2,1/($C$2:$C148=$C149))),""),""))</f>
        <v/>
      </c>
      <c r="W149" s="82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3" t="str">
        <f aca="false">IF($A149="","",IF(D149="买入",0,IFERROR(IF(W149&lt;&gt;0,(H149-IFERROR(INDEX($H$2:$H148,MATCH(2,1/($C$2:$C148=$C149))),0))/W149,0),0)))</f>
        <v/>
      </c>
      <c r="Y149" s="83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4" t="str">
        <f aca="false">IF($A149="","",MAX(0,(MAX($Y$2:Y149)-Y149)/MAX(1,MAX($Y$2:Y149))))</f>
        <v/>
      </c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17"/>
      <c r="G150" s="20"/>
      <c r="H150" s="18"/>
      <c r="I150" s="17"/>
      <c r="J150" s="20"/>
      <c r="K150" s="19"/>
      <c r="L150" s="17"/>
      <c r="M150" s="6"/>
      <c r="N150" s="13"/>
      <c r="O150" s="6"/>
      <c r="P150" s="13"/>
      <c r="Q150" s="6"/>
      <c r="R150" s="22"/>
      <c r="S150" s="13"/>
      <c r="T150" s="13"/>
      <c r="U150" s="6"/>
      <c r="V150" s="1" t="str">
        <f aca="false">IF($A150="","",IF(OR(D150="卖出",D150="分红"),IFERROR(INDEX($F$2:$F149,MATCH(2,1/($C$2:$C149=$C150))),""),""))</f>
        <v/>
      </c>
      <c r="W150" s="82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3" t="str">
        <f aca="false">IF($A150="","",IF(D150="买入",0,IFERROR(IF(W150&lt;&gt;0,(H150-IFERROR(INDEX($H$2:$H149,MATCH(2,1/($C$2:$C149=$C150))),0))/W150,0),0)))</f>
        <v/>
      </c>
      <c r="Y150" s="83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4" t="str">
        <f aca="false">IF($A150="","",MAX(0,(MAX($Y$2:Y150)-Y150)/MAX(1,MAX($Y$2:Y150))))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26"/>
      <c r="G151" s="27"/>
      <c r="H151" s="18"/>
      <c r="I151" s="26"/>
      <c r="J151" s="27"/>
      <c r="K151" s="19"/>
      <c r="L151" s="26"/>
      <c r="M151" s="9"/>
      <c r="N151" s="14"/>
      <c r="O151" s="9"/>
      <c r="P151" s="14"/>
      <c r="Q151" s="9"/>
      <c r="R151" s="28"/>
      <c r="S151" s="14"/>
      <c r="T151" s="14"/>
      <c r="U151" s="9"/>
      <c r="V151" s="1" t="str">
        <f aca="false">IF($A151="","",IF(OR(D151="卖出",D151="分红"),IFERROR(INDEX($F$2:$F150,MATCH(2,1/($C$2:$C150=$C151))),""),""))</f>
        <v/>
      </c>
      <c r="W151" s="82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3" t="str">
        <f aca="false">IF($A151="","",IF(D151="买入",0,IFERROR(IF(W151&lt;&gt;0,(H151-IFERROR(INDEX($H$2:$H150,MATCH(2,1/($C$2:$C150=$C151))),0))/W151,0),0)))</f>
        <v/>
      </c>
      <c r="Y151" s="83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4" t="str">
        <f aca="false">IF($A151="","",MAX(0,(MAX($Y$2:Y151)-Y151)/MAX(1,MAX($Y$2:Y151))))</f>
        <v/>
      </c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17"/>
      <c r="G152" s="20"/>
      <c r="H152" s="18"/>
      <c r="I152" s="17"/>
      <c r="J152" s="20"/>
      <c r="K152" s="19"/>
      <c r="L152" s="17"/>
      <c r="M152" s="6"/>
      <c r="N152" s="13"/>
      <c r="O152" s="6"/>
      <c r="P152" s="13"/>
      <c r="Q152" s="6"/>
      <c r="R152" s="22"/>
      <c r="S152" s="13"/>
      <c r="T152" s="13"/>
      <c r="U152" s="6"/>
      <c r="V152" s="1" t="str">
        <f aca="false">IF($A152="","",IF(OR(D152="卖出",D152="分红"),IFERROR(INDEX($F$2:$F151,MATCH(2,1/($C$2:$C151=$C152))),""),""))</f>
        <v/>
      </c>
      <c r="W152" s="82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3" t="str">
        <f aca="false">IF($A152="","",IF(D152="买入",0,IFERROR(IF(W152&lt;&gt;0,(H152-IFERROR(INDEX($H$2:$H151,MATCH(2,1/($C$2:$C151=$C152))),0))/W152,0),0)))</f>
        <v/>
      </c>
      <c r="Y152" s="83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4" t="str">
        <f aca="false">IF($A152="","",MAX(0,(MAX($Y$2:Y152)-Y152)/MAX(1,MAX($Y$2:Y152))))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26"/>
      <c r="G153" s="27"/>
      <c r="H153" s="18"/>
      <c r="I153" s="26"/>
      <c r="J153" s="27"/>
      <c r="K153" s="19"/>
      <c r="L153" s="26"/>
      <c r="M153" s="9"/>
      <c r="N153" s="14"/>
      <c r="O153" s="9"/>
      <c r="P153" s="14"/>
      <c r="Q153" s="9"/>
      <c r="R153" s="28"/>
      <c r="S153" s="14"/>
      <c r="T153" s="14"/>
      <c r="U153" s="9"/>
      <c r="V153" s="1" t="str">
        <f aca="false">IF($A153="","",IF(OR(D153="卖出",D153="分红"),IFERROR(INDEX($F$2:$F152,MATCH(2,1/($C$2:$C152=$C153))),""),""))</f>
        <v/>
      </c>
      <c r="W153" s="82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3" t="str">
        <f aca="false">IF($A153="","",IF(D153="买入",0,IFERROR(IF(W153&lt;&gt;0,(H153-IFERROR(INDEX($H$2:$H152,MATCH(2,1/($C$2:$C152=$C153))),0))/W153,0),0)))</f>
        <v/>
      </c>
      <c r="Y153" s="83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4" t="str">
        <f aca="false">IF($A153="","",MAX(0,(MAX($Y$2:Y153)-Y153)/MAX(1,MAX($Y$2:Y153))))</f>
        <v/>
      </c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17"/>
      <c r="G154" s="20"/>
      <c r="H154" s="18"/>
      <c r="I154" s="17"/>
      <c r="J154" s="20"/>
      <c r="K154" s="19"/>
      <c r="L154" s="17"/>
      <c r="M154" s="6"/>
      <c r="N154" s="13"/>
      <c r="O154" s="6"/>
      <c r="P154" s="13"/>
      <c r="Q154" s="6"/>
      <c r="R154" s="22"/>
      <c r="S154" s="13"/>
      <c r="T154" s="13"/>
      <c r="U154" s="6"/>
      <c r="V154" s="1" t="str">
        <f aca="false">IF($A154="","",IF(OR(D154="卖出",D154="分红"),IFERROR(INDEX($F$2:$F153,MATCH(2,1/($C$2:$C153=$C154))),""),""))</f>
        <v/>
      </c>
      <c r="W154" s="82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3" t="str">
        <f aca="false">IF($A154="","",IF(D154="买入",0,IFERROR(IF(W154&lt;&gt;0,(H154-IFERROR(INDEX($H$2:$H153,MATCH(2,1/($C$2:$C153=$C154))),0))/W154,0),0)))</f>
        <v/>
      </c>
      <c r="Y154" s="83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4" t="str">
        <f aca="false">IF($A154="","",MAX(0,(MAX($Y$2:Y154)-Y154)/MAX(1,MAX($Y$2:Y154))))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26"/>
      <c r="G155" s="27"/>
      <c r="H155" s="18"/>
      <c r="I155" s="26"/>
      <c r="J155" s="27"/>
      <c r="K155" s="19"/>
      <c r="L155" s="26"/>
      <c r="M155" s="9"/>
      <c r="N155" s="14"/>
      <c r="O155" s="9"/>
      <c r="P155" s="14"/>
      <c r="Q155" s="9"/>
      <c r="R155" s="28"/>
      <c r="S155" s="14"/>
      <c r="T155" s="14"/>
      <c r="U155" s="9"/>
      <c r="V155" s="1" t="str">
        <f aca="false">IF($A155="","",IF(OR(D155="卖出",D155="分红"),IFERROR(INDEX($F$2:$F154,MATCH(2,1/($C$2:$C154=$C155))),""),""))</f>
        <v/>
      </c>
      <c r="W155" s="82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3" t="str">
        <f aca="false">IF($A155="","",IF(D155="买入",0,IFERROR(IF(W155&lt;&gt;0,(H155-IFERROR(INDEX($H$2:$H154,MATCH(2,1/($C$2:$C154=$C155))),0))/W155,0),0)))</f>
        <v/>
      </c>
      <c r="Y155" s="83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4" t="str">
        <f aca="false">IF($A155="","",MAX(0,(MAX($Y$2:Y155)-Y155)/MAX(1,MAX($Y$2:Y155))))</f>
        <v/>
      </c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17"/>
      <c r="G156" s="20"/>
      <c r="H156" s="18"/>
      <c r="I156" s="17"/>
      <c r="J156" s="20"/>
      <c r="K156" s="19"/>
      <c r="L156" s="17"/>
      <c r="M156" s="6"/>
      <c r="N156" s="13"/>
      <c r="O156" s="6"/>
      <c r="P156" s="13"/>
      <c r="Q156" s="6"/>
      <c r="R156" s="22"/>
      <c r="S156" s="13"/>
      <c r="T156" s="13"/>
      <c r="U156" s="6"/>
      <c r="V156" s="1" t="str">
        <f aca="false">IF($A156="","",IF(OR(D156="卖出",D156="分红"),IFERROR(INDEX($F$2:$F155,MATCH(2,1/($C$2:$C155=$C156))),""),""))</f>
        <v/>
      </c>
      <c r="W156" s="82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3" t="str">
        <f aca="false">IF($A156="","",IF(D156="买入",0,IFERROR(IF(W156&lt;&gt;0,(H156-IFERROR(INDEX($H$2:$H155,MATCH(2,1/($C$2:$C155=$C156))),0))/W156,0),0)))</f>
        <v/>
      </c>
      <c r="Y156" s="83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4" t="str">
        <f aca="false">IF($A156="","",MAX(0,(MAX($Y$2:Y156)-Y156)/MAX(1,MAX($Y$2:Y156))))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26"/>
      <c r="G157" s="27"/>
      <c r="H157" s="18"/>
      <c r="I157" s="26"/>
      <c r="J157" s="27"/>
      <c r="K157" s="19"/>
      <c r="L157" s="26"/>
      <c r="M157" s="9"/>
      <c r="N157" s="14"/>
      <c r="O157" s="9"/>
      <c r="P157" s="14"/>
      <c r="Q157" s="9"/>
      <c r="R157" s="28"/>
      <c r="S157" s="14"/>
      <c r="T157" s="14"/>
      <c r="U157" s="9"/>
      <c r="V157" s="1" t="str">
        <f aca="false">IF($A157="","",IF(OR(D157="卖出",D157="分红"),IFERROR(INDEX($F$2:$F156,MATCH(2,1/($C$2:$C156=$C157))),""),""))</f>
        <v/>
      </c>
      <c r="W157" s="82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3" t="str">
        <f aca="false">IF($A157="","",IF(D157="买入",0,IFERROR(IF(W157&lt;&gt;0,(H157-IFERROR(INDEX($H$2:$H156,MATCH(2,1/($C$2:$C156=$C157))),0))/W157,0),0)))</f>
        <v/>
      </c>
      <c r="Y157" s="83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4" t="str">
        <f aca="false">IF($A157="","",MAX(0,(MAX($Y$2:Y157)-Y157)/MAX(1,MAX($Y$2:Y157))))</f>
        <v/>
      </c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17"/>
      <c r="G158" s="20"/>
      <c r="H158" s="18"/>
      <c r="I158" s="17"/>
      <c r="J158" s="20"/>
      <c r="K158" s="19"/>
      <c r="L158" s="17"/>
      <c r="M158" s="6"/>
      <c r="N158" s="13"/>
      <c r="O158" s="6"/>
      <c r="P158" s="13"/>
      <c r="Q158" s="6"/>
      <c r="R158" s="22"/>
      <c r="S158" s="13"/>
      <c r="T158" s="13"/>
      <c r="U158" s="6"/>
      <c r="V158" s="1" t="str">
        <f aca="false">IF($A158="","",IF(OR(D158="卖出",D158="分红"),IFERROR(INDEX($F$2:$F157,MATCH(2,1/($C$2:$C157=$C158))),""),""))</f>
        <v/>
      </c>
      <c r="W158" s="82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3" t="str">
        <f aca="false">IF($A158="","",IF(D158="买入",0,IFERROR(IF(W158&lt;&gt;0,(H158-IFERROR(INDEX($H$2:$H157,MATCH(2,1/($C$2:$C157=$C158))),0))/W158,0),0)))</f>
        <v/>
      </c>
      <c r="Y158" s="83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4" t="str">
        <f aca="false">IF($A158="","",MAX(0,(MAX($Y$2:Y158)-Y158)/MAX(1,MAX($Y$2:Y158))))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26"/>
      <c r="G159" s="27"/>
      <c r="H159" s="18"/>
      <c r="I159" s="26"/>
      <c r="J159" s="27"/>
      <c r="K159" s="19"/>
      <c r="L159" s="26"/>
      <c r="M159" s="9"/>
      <c r="N159" s="14"/>
      <c r="O159" s="9"/>
      <c r="P159" s="14"/>
      <c r="Q159" s="9"/>
      <c r="R159" s="28"/>
      <c r="S159" s="14"/>
      <c r="T159" s="14"/>
      <c r="U159" s="9"/>
      <c r="V159" s="1" t="str">
        <f aca="false">IF($A159="","",IF(OR(D159="卖出",D159="分红"),IFERROR(INDEX($F$2:$F158,MATCH(2,1/($C$2:$C158=$C159))),""),""))</f>
        <v/>
      </c>
      <c r="W159" s="82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3" t="str">
        <f aca="false">IF($A159="","",IF(D159="买入",0,IFERROR(IF(W159&lt;&gt;0,(H159-IFERROR(INDEX($H$2:$H158,MATCH(2,1/($C$2:$C158=$C159))),0))/W159,0),0)))</f>
        <v/>
      </c>
      <c r="Y159" s="83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4" t="str">
        <f aca="false">IF($A159="","",MAX(0,(MAX($Y$2:Y159)-Y159)/MAX(1,MAX($Y$2:Y159))))</f>
        <v/>
      </c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17"/>
      <c r="G160" s="20"/>
      <c r="H160" s="18"/>
      <c r="I160" s="17"/>
      <c r="J160" s="20"/>
      <c r="K160" s="19"/>
      <c r="L160" s="17"/>
      <c r="M160" s="6"/>
      <c r="N160" s="13"/>
      <c r="O160" s="6"/>
      <c r="P160" s="13"/>
      <c r="Q160" s="6"/>
      <c r="R160" s="22"/>
      <c r="S160" s="13"/>
      <c r="T160" s="13"/>
      <c r="U160" s="6"/>
      <c r="V160" s="1" t="str">
        <f aca="false">IF($A160="","",IF(OR(D160="卖出",D160="分红"),IFERROR(INDEX($F$2:$F159,MATCH(2,1/($C$2:$C159=$C160))),""),""))</f>
        <v/>
      </c>
      <c r="W160" s="82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3" t="str">
        <f aca="false">IF($A160="","",IF(D160="买入",0,IFERROR(IF(W160&lt;&gt;0,(H160-IFERROR(INDEX($H$2:$H159,MATCH(2,1/($C$2:$C159=$C160))),0))/W160,0),0)))</f>
        <v/>
      </c>
      <c r="Y160" s="83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4" t="str">
        <f aca="false">IF($A160="","",MAX(0,(MAX($Y$2:Y160)-Y160)/MAX(1,MAX($Y$2:Y160))))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26"/>
      <c r="G161" s="27"/>
      <c r="H161" s="18"/>
      <c r="I161" s="26"/>
      <c r="J161" s="27"/>
      <c r="K161" s="19"/>
      <c r="L161" s="26"/>
      <c r="M161" s="9"/>
      <c r="N161" s="14"/>
      <c r="O161" s="9"/>
      <c r="P161" s="14"/>
      <c r="Q161" s="9"/>
      <c r="R161" s="28"/>
      <c r="S161" s="14"/>
      <c r="T161" s="14"/>
      <c r="U161" s="9"/>
      <c r="V161" s="1" t="str">
        <f aca="false">IF($A161="","",IF(OR(D161="卖出",D161="分红"),IFERROR(INDEX($F$2:$F160,MATCH(2,1/($C$2:$C160=$C161))),""),""))</f>
        <v/>
      </c>
      <c r="W161" s="82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3" t="str">
        <f aca="false">IF($A161="","",IF(D161="买入",0,IFERROR(IF(W161&lt;&gt;0,(H161-IFERROR(INDEX($H$2:$H160,MATCH(2,1/($C$2:$C160=$C161))),0))/W161,0),0)))</f>
        <v/>
      </c>
      <c r="Y161" s="83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4" t="str">
        <f aca="false">IF($A161="","",MAX(0,(MAX($Y$2:Y161)-Y161)/MAX(1,MAX($Y$2:Y161))))</f>
        <v/>
      </c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17"/>
      <c r="G162" s="20"/>
      <c r="H162" s="18"/>
      <c r="I162" s="17"/>
      <c r="J162" s="20"/>
      <c r="K162" s="19"/>
      <c r="L162" s="17"/>
      <c r="M162" s="6"/>
      <c r="N162" s="13"/>
      <c r="O162" s="6"/>
      <c r="P162" s="13"/>
      <c r="Q162" s="6"/>
      <c r="R162" s="22"/>
      <c r="S162" s="13"/>
      <c r="T162" s="13"/>
      <c r="U162" s="6"/>
      <c r="V162" s="1" t="str">
        <f aca="false">IF($A162="","",IF(OR(D162="卖出",D162="分红"),IFERROR(INDEX($F$2:$F161,MATCH(2,1/($C$2:$C161=$C162))),""),""))</f>
        <v/>
      </c>
      <c r="W162" s="82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3" t="str">
        <f aca="false">IF($A162="","",IF(D162="买入",0,IFERROR(IF(W162&lt;&gt;0,(H162-IFERROR(INDEX($H$2:$H161,MATCH(2,1/($C$2:$C161=$C162))),0))/W162,0),0)))</f>
        <v/>
      </c>
      <c r="Y162" s="83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4" t="str">
        <f aca="false">IF($A162="","",MAX(0,(MAX($Y$2:Y162)-Y162)/MAX(1,MAX($Y$2:Y162))))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26"/>
      <c r="G163" s="27"/>
      <c r="H163" s="18"/>
      <c r="I163" s="26"/>
      <c r="J163" s="27"/>
      <c r="K163" s="19"/>
      <c r="L163" s="26"/>
      <c r="M163" s="9"/>
      <c r="N163" s="14"/>
      <c r="O163" s="9"/>
      <c r="P163" s="14"/>
      <c r="Q163" s="9"/>
      <c r="R163" s="28"/>
      <c r="S163" s="14"/>
      <c r="T163" s="14"/>
      <c r="U163" s="9"/>
      <c r="V163" s="1" t="str">
        <f aca="false">IF($A163="","",IF(OR(D163="卖出",D163="分红"),IFERROR(INDEX($F$2:$F162,MATCH(2,1/($C$2:$C162=$C163))),""),""))</f>
        <v/>
      </c>
      <c r="W163" s="82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3" t="str">
        <f aca="false">IF($A163="","",IF(D163="买入",0,IFERROR(IF(W163&lt;&gt;0,(H163-IFERROR(INDEX($H$2:$H162,MATCH(2,1/($C$2:$C162=$C163))),0))/W163,0),0)))</f>
        <v/>
      </c>
      <c r="Y163" s="83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4" t="str">
        <f aca="false">IF($A163="","",MAX(0,(MAX($Y$2:Y163)-Y163)/MAX(1,MAX($Y$2:Y163))))</f>
        <v/>
      </c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17"/>
      <c r="G164" s="20"/>
      <c r="H164" s="18"/>
      <c r="I164" s="17"/>
      <c r="J164" s="20"/>
      <c r="K164" s="19"/>
      <c r="L164" s="17"/>
      <c r="M164" s="6"/>
      <c r="N164" s="13"/>
      <c r="O164" s="6"/>
      <c r="P164" s="13"/>
      <c r="Q164" s="6"/>
      <c r="R164" s="22"/>
      <c r="S164" s="13"/>
      <c r="T164" s="13"/>
      <c r="U164" s="6"/>
      <c r="V164" s="1" t="str">
        <f aca="false">IF($A164="","",IF(OR(D164="卖出",D164="分红"),IFERROR(INDEX($F$2:$F163,MATCH(2,1/($C$2:$C163=$C164))),""),""))</f>
        <v/>
      </c>
      <c r="W164" s="82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3" t="str">
        <f aca="false">IF($A164="","",IF(D164="买入",0,IFERROR(IF(W164&lt;&gt;0,(H164-IFERROR(INDEX($H$2:$H163,MATCH(2,1/($C$2:$C163=$C164))),0))/W164,0),0)))</f>
        <v/>
      </c>
      <c r="Y164" s="83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4" t="str">
        <f aca="false">IF($A164="","",MAX(0,(MAX($Y$2:Y164)-Y164)/MAX(1,MAX($Y$2:Y164))))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26"/>
      <c r="G165" s="27"/>
      <c r="H165" s="18"/>
      <c r="I165" s="26"/>
      <c r="J165" s="27"/>
      <c r="K165" s="19"/>
      <c r="L165" s="26"/>
      <c r="M165" s="9"/>
      <c r="N165" s="14"/>
      <c r="O165" s="9"/>
      <c r="P165" s="14"/>
      <c r="Q165" s="9"/>
      <c r="R165" s="28"/>
      <c r="S165" s="14"/>
      <c r="T165" s="14"/>
      <c r="U165" s="9"/>
      <c r="V165" s="1" t="str">
        <f aca="false">IF($A165="","",IF(OR(D165="卖出",D165="分红"),IFERROR(INDEX($F$2:$F164,MATCH(2,1/($C$2:$C164=$C165))),""),""))</f>
        <v/>
      </c>
      <c r="W165" s="82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3" t="str">
        <f aca="false">IF($A165="","",IF(D165="买入",0,IFERROR(IF(W165&lt;&gt;0,(H165-IFERROR(INDEX($H$2:$H164,MATCH(2,1/($C$2:$C164=$C165))),0))/W165,0),0)))</f>
        <v/>
      </c>
      <c r="Y165" s="83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4" t="str">
        <f aca="false">IF($A165="","",MAX(0,(MAX($Y$2:Y165)-Y165)/MAX(1,MAX($Y$2:Y165))))</f>
        <v/>
      </c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17"/>
      <c r="G166" s="20"/>
      <c r="H166" s="18"/>
      <c r="I166" s="17"/>
      <c r="J166" s="20"/>
      <c r="K166" s="19"/>
      <c r="L166" s="17"/>
      <c r="M166" s="6"/>
      <c r="N166" s="13"/>
      <c r="O166" s="6"/>
      <c r="P166" s="13"/>
      <c r="Q166" s="6"/>
      <c r="R166" s="22"/>
      <c r="S166" s="13"/>
      <c r="T166" s="13"/>
      <c r="U166" s="6"/>
      <c r="V166" s="1" t="str">
        <f aca="false">IF($A166="","",IF(OR(D166="卖出",D166="分红"),IFERROR(INDEX($F$2:$F165,MATCH(2,1/($C$2:$C165=$C166))),""),""))</f>
        <v/>
      </c>
      <c r="W166" s="82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3" t="str">
        <f aca="false">IF($A166="","",IF(D166="买入",0,IFERROR(IF(W166&lt;&gt;0,(H166-IFERROR(INDEX($H$2:$H165,MATCH(2,1/($C$2:$C165=$C166))),0))/W166,0),0)))</f>
        <v/>
      </c>
      <c r="Y166" s="83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4" t="str">
        <f aca="false">IF($A166="","",MAX(0,(MAX($Y$2:Y166)-Y166)/MAX(1,MAX($Y$2:Y166))))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26"/>
      <c r="G167" s="27"/>
      <c r="H167" s="18"/>
      <c r="I167" s="26"/>
      <c r="J167" s="27"/>
      <c r="K167" s="19"/>
      <c r="L167" s="26"/>
      <c r="M167" s="9"/>
      <c r="N167" s="14"/>
      <c r="O167" s="9"/>
      <c r="P167" s="14"/>
      <c r="Q167" s="9"/>
      <c r="R167" s="28"/>
      <c r="S167" s="14"/>
      <c r="T167" s="14"/>
      <c r="U167" s="9"/>
      <c r="V167" s="1" t="str">
        <f aca="false">IF($A167="","",IF(OR(D167="卖出",D167="分红"),IFERROR(INDEX($F$2:$F166,MATCH(2,1/($C$2:$C166=$C167))),""),""))</f>
        <v/>
      </c>
      <c r="W167" s="82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3" t="str">
        <f aca="false">IF($A167="","",IF(D167="买入",0,IFERROR(IF(W167&lt;&gt;0,(H167-IFERROR(INDEX($H$2:$H166,MATCH(2,1/($C$2:$C166=$C167))),0))/W167,0),0)))</f>
        <v/>
      </c>
      <c r="Y167" s="83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4" t="str">
        <f aca="false">IF($A167="","",MAX(0,(MAX($Y$2:Y167)-Y167)/MAX(1,MAX($Y$2:Y167))))</f>
        <v/>
      </c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17"/>
      <c r="G168" s="20"/>
      <c r="H168" s="18"/>
      <c r="I168" s="17"/>
      <c r="J168" s="20"/>
      <c r="K168" s="19"/>
      <c r="L168" s="17"/>
      <c r="M168" s="6"/>
      <c r="N168" s="13"/>
      <c r="O168" s="6"/>
      <c r="P168" s="13"/>
      <c r="Q168" s="6"/>
      <c r="R168" s="22"/>
      <c r="S168" s="13"/>
      <c r="T168" s="13"/>
      <c r="U168" s="6"/>
      <c r="V168" s="1" t="str">
        <f aca="false">IF($A168="","",IF(OR(D168="卖出",D168="分红"),IFERROR(INDEX($F$2:$F167,MATCH(2,1/($C$2:$C167=$C168))),""),""))</f>
        <v/>
      </c>
      <c r="W168" s="82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3" t="str">
        <f aca="false">IF($A168="","",IF(D168="买入",0,IFERROR(IF(W168&lt;&gt;0,(H168-IFERROR(INDEX($H$2:$H167,MATCH(2,1/($C$2:$C167=$C168))),0))/W168,0),0)))</f>
        <v/>
      </c>
      <c r="Y168" s="83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4" t="str">
        <f aca="false">IF($A168="","",MAX(0,(MAX($Y$2:Y168)-Y168)/MAX(1,MAX($Y$2:Y168))))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26"/>
      <c r="G169" s="27"/>
      <c r="H169" s="18"/>
      <c r="I169" s="26"/>
      <c r="J169" s="27"/>
      <c r="K169" s="19"/>
      <c r="L169" s="26"/>
      <c r="M169" s="9"/>
      <c r="N169" s="14"/>
      <c r="O169" s="9"/>
      <c r="P169" s="14"/>
      <c r="Q169" s="9"/>
      <c r="R169" s="28"/>
      <c r="S169" s="14"/>
      <c r="T169" s="14"/>
      <c r="U169" s="9"/>
      <c r="V169" s="1" t="str">
        <f aca="false">IF($A169="","",IF(OR(D169="卖出",D169="分红"),IFERROR(INDEX($F$2:$F168,MATCH(2,1/($C$2:$C168=$C169))),""),""))</f>
        <v/>
      </c>
      <c r="W169" s="82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3" t="str">
        <f aca="false">IF($A169="","",IF(D169="买入",0,IFERROR(IF(W169&lt;&gt;0,(H169-IFERROR(INDEX($H$2:$H168,MATCH(2,1/($C$2:$C168=$C169))),0))/W169,0),0)))</f>
        <v/>
      </c>
      <c r="Y169" s="83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4" t="str">
        <f aca="false">IF($A169="","",MAX(0,(MAX($Y$2:Y169)-Y169)/MAX(1,MAX($Y$2:Y169))))</f>
        <v/>
      </c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17"/>
      <c r="G170" s="20"/>
      <c r="H170" s="18"/>
      <c r="I170" s="17"/>
      <c r="J170" s="20"/>
      <c r="K170" s="19"/>
      <c r="L170" s="17"/>
      <c r="M170" s="6"/>
      <c r="N170" s="13"/>
      <c r="O170" s="6"/>
      <c r="P170" s="13"/>
      <c r="Q170" s="6"/>
      <c r="R170" s="22"/>
      <c r="S170" s="13"/>
      <c r="T170" s="13"/>
      <c r="U170" s="6"/>
      <c r="V170" s="1" t="str">
        <f aca="false">IF($A170="","",IF(OR(D170="卖出",D170="分红"),IFERROR(INDEX($F$2:$F169,MATCH(2,1/($C$2:$C169=$C170))),""),""))</f>
        <v/>
      </c>
      <c r="W170" s="82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3" t="str">
        <f aca="false">IF($A170="","",IF(D170="买入",0,IFERROR(IF(W170&lt;&gt;0,(H170-IFERROR(INDEX($H$2:$H169,MATCH(2,1/($C$2:$C169=$C170))),0))/W170,0),0)))</f>
        <v/>
      </c>
      <c r="Y170" s="83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4" t="str">
        <f aca="false">IF($A170="","",MAX(0,(MAX($Y$2:Y170)-Y170)/MAX(1,MAX($Y$2:Y170))))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26"/>
      <c r="G171" s="27"/>
      <c r="H171" s="18"/>
      <c r="I171" s="26"/>
      <c r="J171" s="27"/>
      <c r="K171" s="19"/>
      <c r="L171" s="26"/>
      <c r="M171" s="9"/>
      <c r="N171" s="14"/>
      <c r="O171" s="9"/>
      <c r="P171" s="14"/>
      <c r="Q171" s="9"/>
      <c r="R171" s="28"/>
      <c r="S171" s="14"/>
      <c r="T171" s="14"/>
      <c r="U171" s="9"/>
      <c r="V171" s="1" t="str">
        <f aca="false">IF($A171="","",IF(OR(D171="卖出",D171="分红"),IFERROR(INDEX($F$2:$F170,MATCH(2,1/($C$2:$C170=$C171))),""),""))</f>
        <v/>
      </c>
      <c r="W171" s="82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3" t="str">
        <f aca="false">IF($A171="","",IF(D171="买入",0,IFERROR(IF(W171&lt;&gt;0,(H171-IFERROR(INDEX($H$2:$H170,MATCH(2,1/($C$2:$C170=$C171))),0))/W171,0),0)))</f>
        <v/>
      </c>
      <c r="Y171" s="83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4" t="str">
        <f aca="false">IF($A171="","",MAX(0,(MAX($Y$2:Y171)-Y171)/MAX(1,MAX($Y$2:Y171))))</f>
        <v/>
      </c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17"/>
      <c r="G172" s="20"/>
      <c r="H172" s="18"/>
      <c r="I172" s="17"/>
      <c r="J172" s="20"/>
      <c r="K172" s="19"/>
      <c r="L172" s="17"/>
      <c r="M172" s="6"/>
      <c r="N172" s="13"/>
      <c r="O172" s="6"/>
      <c r="P172" s="13"/>
      <c r="Q172" s="6"/>
      <c r="R172" s="22"/>
      <c r="S172" s="13"/>
      <c r="T172" s="13"/>
      <c r="U172" s="6"/>
      <c r="V172" s="1" t="str">
        <f aca="false">IF($A172="","",IF(OR(D172="卖出",D172="分红"),IFERROR(INDEX($F$2:$F171,MATCH(2,1/($C$2:$C171=$C172))),""),""))</f>
        <v/>
      </c>
      <c r="W172" s="82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3" t="str">
        <f aca="false">IF($A172="","",IF(D172="买入",0,IFERROR(IF(W172&lt;&gt;0,(H172-IFERROR(INDEX($H$2:$H171,MATCH(2,1/($C$2:$C171=$C172))),0))/W172,0),0)))</f>
        <v/>
      </c>
      <c r="Y172" s="83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4" t="str">
        <f aca="false">IF($A172="","",MAX(0,(MAX($Y$2:Y172)-Y172)/MAX(1,MAX($Y$2:Y172))))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26"/>
      <c r="G173" s="27"/>
      <c r="H173" s="18"/>
      <c r="I173" s="26"/>
      <c r="J173" s="27"/>
      <c r="K173" s="19"/>
      <c r="L173" s="26"/>
      <c r="M173" s="9"/>
      <c r="N173" s="14"/>
      <c r="O173" s="9"/>
      <c r="P173" s="14"/>
      <c r="Q173" s="9"/>
      <c r="R173" s="28"/>
      <c r="S173" s="14"/>
      <c r="T173" s="14"/>
      <c r="U173" s="9"/>
      <c r="V173" s="1" t="str">
        <f aca="false">IF($A173="","",IF(OR(D173="卖出",D173="分红"),IFERROR(INDEX($F$2:$F172,MATCH(2,1/($C$2:$C172=$C173))),""),""))</f>
        <v/>
      </c>
      <c r="W173" s="82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3" t="str">
        <f aca="false">IF($A173="","",IF(D173="买入",0,IFERROR(IF(W173&lt;&gt;0,(H173-IFERROR(INDEX($H$2:$H172,MATCH(2,1/($C$2:$C172=$C173))),0))/W173,0),0)))</f>
        <v/>
      </c>
      <c r="Y173" s="83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4" t="str">
        <f aca="false">IF($A173="","",MAX(0,(MAX($Y$2:Y173)-Y173)/MAX(1,MAX($Y$2:Y173))))</f>
        <v/>
      </c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17"/>
      <c r="G174" s="20"/>
      <c r="H174" s="18"/>
      <c r="I174" s="17"/>
      <c r="J174" s="20"/>
      <c r="K174" s="19"/>
      <c r="L174" s="17"/>
      <c r="M174" s="6"/>
      <c r="N174" s="13"/>
      <c r="O174" s="6"/>
      <c r="P174" s="13"/>
      <c r="Q174" s="6"/>
      <c r="R174" s="22"/>
      <c r="S174" s="13"/>
      <c r="T174" s="13"/>
      <c r="U174" s="6"/>
      <c r="V174" s="1" t="str">
        <f aca="false">IF($A174="","",IF(OR(D174="卖出",D174="分红"),IFERROR(INDEX($F$2:$F173,MATCH(2,1/($C$2:$C173=$C174))),""),""))</f>
        <v/>
      </c>
      <c r="W174" s="82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3" t="str">
        <f aca="false">IF($A174="","",IF(D174="买入",0,IFERROR(IF(W174&lt;&gt;0,(H174-IFERROR(INDEX($H$2:$H173,MATCH(2,1/($C$2:$C173=$C174))),0))/W174,0),0)))</f>
        <v/>
      </c>
      <c r="Y174" s="83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4" t="str">
        <f aca="false">IF($A174="","",MAX(0,(MAX($Y$2:Y174)-Y174)/MAX(1,MAX($Y$2:Y174))))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26"/>
      <c r="G175" s="27"/>
      <c r="H175" s="18"/>
      <c r="I175" s="26"/>
      <c r="J175" s="27"/>
      <c r="K175" s="19"/>
      <c r="L175" s="26"/>
      <c r="M175" s="9"/>
      <c r="N175" s="14"/>
      <c r="O175" s="9"/>
      <c r="P175" s="14"/>
      <c r="Q175" s="9"/>
      <c r="R175" s="28"/>
      <c r="S175" s="14"/>
      <c r="T175" s="14"/>
      <c r="U175" s="9"/>
      <c r="V175" s="1" t="str">
        <f aca="false">IF($A175="","",IF(OR(D175="卖出",D175="分红"),IFERROR(INDEX($F$2:$F174,MATCH(2,1/($C$2:$C174=$C175))),""),""))</f>
        <v/>
      </c>
      <c r="W175" s="82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3" t="str">
        <f aca="false">IF($A175="","",IF(D175="买入",0,IFERROR(IF(W175&lt;&gt;0,(H175-IFERROR(INDEX($H$2:$H174,MATCH(2,1/($C$2:$C174=$C175))),0))/W175,0),0)))</f>
        <v/>
      </c>
      <c r="Y175" s="83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4" t="str">
        <f aca="false">IF($A175="","",MAX(0,(MAX($Y$2:Y175)-Y175)/MAX(1,MAX($Y$2:Y175))))</f>
        <v/>
      </c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17"/>
      <c r="G176" s="20"/>
      <c r="H176" s="18"/>
      <c r="I176" s="17"/>
      <c r="J176" s="20"/>
      <c r="K176" s="19"/>
      <c r="L176" s="17"/>
      <c r="M176" s="6"/>
      <c r="N176" s="13"/>
      <c r="O176" s="6"/>
      <c r="P176" s="13"/>
      <c r="Q176" s="6"/>
      <c r="R176" s="22"/>
      <c r="S176" s="13"/>
      <c r="T176" s="13"/>
      <c r="U176" s="6"/>
      <c r="V176" s="1" t="str">
        <f aca="false">IF($A176="","",IF(OR(D176="卖出",D176="分红"),IFERROR(INDEX($F$2:$F175,MATCH(2,1/($C$2:$C175=$C176))),""),""))</f>
        <v/>
      </c>
      <c r="W176" s="82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3" t="str">
        <f aca="false">IF($A176="","",IF(D176="买入",0,IFERROR(IF(W176&lt;&gt;0,(H176-IFERROR(INDEX($H$2:$H175,MATCH(2,1/($C$2:$C175=$C176))),0))/W176,0),0)))</f>
        <v/>
      </c>
      <c r="Y176" s="83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4" t="str">
        <f aca="false">IF($A176="","",MAX(0,(MAX($Y$2:Y176)-Y176)/MAX(1,MAX($Y$2:Y176))))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26"/>
      <c r="G177" s="27"/>
      <c r="H177" s="18"/>
      <c r="I177" s="26"/>
      <c r="J177" s="27"/>
      <c r="K177" s="19"/>
      <c r="L177" s="26"/>
      <c r="M177" s="9"/>
      <c r="N177" s="14"/>
      <c r="O177" s="9"/>
      <c r="P177" s="14"/>
      <c r="Q177" s="9"/>
      <c r="R177" s="28"/>
      <c r="S177" s="14"/>
      <c r="T177" s="14"/>
      <c r="U177" s="9"/>
      <c r="V177" s="1" t="str">
        <f aca="false">IF($A177="","",IF(OR(D177="卖出",D177="分红"),IFERROR(INDEX($F$2:$F176,MATCH(2,1/($C$2:$C176=$C177))),""),""))</f>
        <v/>
      </c>
      <c r="W177" s="82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3" t="str">
        <f aca="false">IF($A177="","",IF(D177="买入",0,IFERROR(IF(W177&lt;&gt;0,(H177-IFERROR(INDEX($H$2:$H176,MATCH(2,1/($C$2:$C176=$C177))),0))/W177,0),0)))</f>
        <v/>
      </c>
      <c r="Y177" s="83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4" t="str">
        <f aca="false">IF($A177="","",MAX(0,(MAX($Y$2:Y177)-Y177)/MAX(1,MAX($Y$2:Y177))))</f>
        <v/>
      </c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17"/>
      <c r="G178" s="20"/>
      <c r="H178" s="18"/>
      <c r="I178" s="17"/>
      <c r="J178" s="20"/>
      <c r="K178" s="19"/>
      <c r="L178" s="17"/>
      <c r="M178" s="6"/>
      <c r="N178" s="13"/>
      <c r="O178" s="6"/>
      <c r="P178" s="13"/>
      <c r="Q178" s="6"/>
      <c r="R178" s="22"/>
      <c r="S178" s="13"/>
      <c r="T178" s="13"/>
      <c r="U178" s="6"/>
      <c r="V178" s="1" t="str">
        <f aca="false">IF($A178="","",IF(OR(D178="卖出",D178="分红"),IFERROR(INDEX($F$2:$F177,MATCH(2,1/($C$2:$C177=$C178))),""),""))</f>
        <v/>
      </c>
      <c r="W178" s="82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3" t="str">
        <f aca="false">IF($A178="","",IF(D178="买入",0,IFERROR(IF(W178&lt;&gt;0,(H178-IFERROR(INDEX($H$2:$H177,MATCH(2,1/($C$2:$C177=$C178))),0))/W178,0),0)))</f>
        <v/>
      </c>
      <c r="Y178" s="83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4" t="str">
        <f aca="false">IF($A178="","",MAX(0,(MAX($Y$2:Y178)-Y178)/MAX(1,MAX($Y$2:Y178))))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26"/>
      <c r="G179" s="27"/>
      <c r="H179" s="18"/>
      <c r="I179" s="26"/>
      <c r="J179" s="27"/>
      <c r="K179" s="19"/>
      <c r="L179" s="26"/>
      <c r="M179" s="9"/>
      <c r="N179" s="14"/>
      <c r="O179" s="9"/>
      <c r="P179" s="14"/>
      <c r="Q179" s="9"/>
      <c r="R179" s="28"/>
      <c r="S179" s="14"/>
      <c r="T179" s="14"/>
      <c r="U179" s="9"/>
      <c r="V179" s="1" t="str">
        <f aca="false">IF($A179="","",IF(OR(D179="卖出",D179="分红"),IFERROR(INDEX($F$2:$F178,MATCH(2,1/($C$2:$C178=$C179))),""),""))</f>
        <v/>
      </c>
      <c r="W179" s="82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3" t="str">
        <f aca="false">IF($A179="","",IF(D179="买入",0,IFERROR(IF(W179&lt;&gt;0,(H179-IFERROR(INDEX($H$2:$H178,MATCH(2,1/($C$2:$C178=$C179))),0))/W179,0),0)))</f>
        <v/>
      </c>
      <c r="Y179" s="83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4" t="str">
        <f aca="false">IF($A179="","",MAX(0,(MAX($Y$2:Y179)-Y179)/MAX(1,MAX($Y$2:Y179))))</f>
        <v/>
      </c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17"/>
      <c r="G180" s="20"/>
      <c r="H180" s="18"/>
      <c r="I180" s="17"/>
      <c r="J180" s="20"/>
      <c r="K180" s="19"/>
      <c r="L180" s="17"/>
      <c r="M180" s="6"/>
      <c r="N180" s="13"/>
      <c r="O180" s="6"/>
      <c r="P180" s="13"/>
      <c r="Q180" s="6"/>
      <c r="R180" s="22"/>
      <c r="S180" s="13"/>
      <c r="T180" s="13"/>
      <c r="U180" s="6"/>
      <c r="V180" s="1" t="str">
        <f aca="false">IF($A180="","",IF(OR(D180="卖出",D180="分红"),IFERROR(INDEX($F$2:$F179,MATCH(2,1/($C$2:$C179=$C180))),""),""))</f>
        <v/>
      </c>
      <c r="W180" s="82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3" t="str">
        <f aca="false">IF($A180="","",IF(D180="买入",0,IFERROR(IF(W180&lt;&gt;0,(H180-IFERROR(INDEX($H$2:$H179,MATCH(2,1/($C$2:$C179=$C180))),0))/W180,0),0)))</f>
        <v/>
      </c>
      <c r="Y180" s="83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4" t="str">
        <f aca="false">IF($A180="","",MAX(0,(MAX($Y$2:Y180)-Y180)/MAX(1,MAX($Y$2:Y180))))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26"/>
      <c r="G181" s="27"/>
      <c r="H181" s="18"/>
      <c r="I181" s="26"/>
      <c r="J181" s="27"/>
      <c r="K181" s="19"/>
      <c r="L181" s="26"/>
      <c r="M181" s="9"/>
      <c r="N181" s="14"/>
      <c r="O181" s="9"/>
      <c r="P181" s="14"/>
      <c r="Q181" s="9"/>
      <c r="R181" s="28"/>
      <c r="S181" s="14"/>
      <c r="T181" s="14"/>
      <c r="U181" s="9"/>
      <c r="V181" s="1" t="str">
        <f aca="false">IF($A181="","",IF(OR(D181="卖出",D181="分红"),IFERROR(INDEX($F$2:$F180,MATCH(2,1/($C$2:$C180=$C181))),""),""))</f>
        <v/>
      </c>
      <c r="W181" s="82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3" t="str">
        <f aca="false">IF($A181="","",IF(D181="买入",0,IFERROR(IF(W181&lt;&gt;0,(H181-IFERROR(INDEX($H$2:$H180,MATCH(2,1/($C$2:$C180=$C181))),0))/W181,0),0)))</f>
        <v/>
      </c>
      <c r="Y181" s="83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4" t="str">
        <f aca="false">IF($A181="","",MAX(0,(MAX($Y$2:Y181)-Y181)/MAX(1,MAX($Y$2:Y181))))</f>
        <v/>
      </c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17"/>
      <c r="G182" s="20"/>
      <c r="H182" s="18"/>
      <c r="I182" s="17"/>
      <c r="J182" s="20"/>
      <c r="K182" s="19"/>
      <c r="L182" s="17"/>
      <c r="M182" s="6"/>
      <c r="N182" s="13"/>
      <c r="O182" s="6"/>
      <c r="P182" s="13"/>
      <c r="Q182" s="6"/>
      <c r="R182" s="22"/>
      <c r="S182" s="13"/>
      <c r="T182" s="13"/>
      <c r="U182" s="6"/>
      <c r="V182" s="1" t="str">
        <f aca="false">IF($A182="","",IF(OR(D182="卖出",D182="分红"),IFERROR(INDEX($F$2:$F181,MATCH(2,1/($C$2:$C181=$C182))),""),""))</f>
        <v/>
      </c>
      <c r="W182" s="82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3" t="str">
        <f aca="false">IF($A182="","",IF(D182="买入",0,IFERROR(IF(W182&lt;&gt;0,(H182-IFERROR(INDEX($H$2:$H181,MATCH(2,1/($C$2:$C181=$C182))),0))/W182,0),0)))</f>
        <v/>
      </c>
      <c r="Y182" s="83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4" t="str">
        <f aca="false">IF($A182="","",MAX(0,(MAX($Y$2:Y182)-Y182)/MAX(1,MAX($Y$2:Y182))))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26"/>
      <c r="G183" s="27"/>
      <c r="H183" s="18"/>
      <c r="I183" s="26"/>
      <c r="J183" s="27"/>
      <c r="K183" s="19"/>
      <c r="L183" s="26"/>
      <c r="M183" s="9"/>
      <c r="N183" s="14"/>
      <c r="O183" s="9"/>
      <c r="P183" s="14"/>
      <c r="Q183" s="9"/>
      <c r="R183" s="28"/>
      <c r="S183" s="14"/>
      <c r="T183" s="14"/>
      <c r="U183" s="9"/>
      <c r="V183" s="1" t="str">
        <f aca="false">IF($A183="","",IF(OR(D183="卖出",D183="分红"),IFERROR(INDEX($F$2:$F182,MATCH(2,1/($C$2:$C182=$C183))),""),""))</f>
        <v/>
      </c>
      <c r="W183" s="82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3" t="str">
        <f aca="false">IF($A183="","",IF(D183="买入",0,IFERROR(IF(W183&lt;&gt;0,(H183-IFERROR(INDEX($H$2:$H182,MATCH(2,1/($C$2:$C182=$C183))),0))/W183,0),0)))</f>
        <v/>
      </c>
      <c r="Y183" s="83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4" t="str">
        <f aca="false">IF($A183="","",MAX(0,(MAX($Y$2:Y183)-Y183)/MAX(1,MAX($Y$2:Y183))))</f>
        <v/>
      </c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17"/>
      <c r="G184" s="20"/>
      <c r="H184" s="18"/>
      <c r="I184" s="17"/>
      <c r="J184" s="20"/>
      <c r="K184" s="19"/>
      <c r="L184" s="17"/>
      <c r="M184" s="6"/>
      <c r="N184" s="13"/>
      <c r="O184" s="6"/>
      <c r="P184" s="13"/>
      <c r="Q184" s="6"/>
      <c r="R184" s="22"/>
      <c r="S184" s="13"/>
      <c r="T184" s="13"/>
      <c r="U184" s="6"/>
      <c r="V184" s="1" t="str">
        <f aca="false">IF($A184="","",IF(OR(D184="卖出",D184="分红"),IFERROR(INDEX($F$2:$F183,MATCH(2,1/($C$2:$C183=$C184))),""),""))</f>
        <v/>
      </c>
      <c r="W184" s="82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3" t="str">
        <f aca="false">IF($A184="","",IF(D184="买入",0,IFERROR(IF(W184&lt;&gt;0,(H184-IFERROR(INDEX($H$2:$H183,MATCH(2,1/($C$2:$C183=$C184))),0))/W184,0),0)))</f>
        <v/>
      </c>
      <c r="Y184" s="83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4" t="str">
        <f aca="false">IF($A184="","",MAX(0,(MAX($Y$2:Y184)-Y184)/MAX(1,MAX($Y$2:Y184))))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26"/>
      <c r="G185" s="27"/>
      <c r="H185" s="18"/>
      <c r="I185" s="26"/>
      <c r="J185" s="27"/>
      <c r="K185" s="19"/>
      <c r="L185" s="26"/>
      <c r="M185" s="9"/>
      <c r="N185" s="14"/>
      <c r="O185" s="9"/>
      <c r="P185" s="14"/>
      <c r="Q185" s="9"/>
      <c r="R185" s="28"/>
      <c r="S185" s="14"/>
      <c r="T185" s="14"/>
      <c r="U185" s="9"/>
      <c r="V185" s="1" t="str">
        <f aca="false">IF($A185="","",IF(OR(D185="卖出",D185="分红"),IFERROR(INDEX($F$2:$F184,MATCH(2,1/($C$2:$C184=$C185))),""),""))</f>
        <v/>
      </c>
      <c r="W185" s="82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3" t="str">
        <f aca="false">IF($A185="","",IF(D185="买入",0,IFERROR(IF(W185&lt;&gt;0,(H185-IFERROR(INDEX($H$2:$H184,MATCH(2,1/($C$2:$C184=$C185))),0))/W185,0),0)))</f>
        <v/>
      </c>
      <c r="Y185" s="83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4" t="str">
        <f aca="false">IF($A185="","",MAX(0,(MAX($Y$2:Y185)-Y185)/MAX(1,MAX($Y$2:Y185))))</f>
        <v/>
      </c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17"/>
      <c r="G186" s="20"/>
      <c r="H186" s="18"/>
      <c r="I186" s="17"/>
      <c r="J186" s="20"/>
      <c r="K186" s="19"/>
      <c r="L186" s="17"/>
      <c r="M186" s="6"/>
      <c r="N186" s="13"/>
      <c r="O186" s="6"/>
      <c r="P186" s="13"/>
      <c r="Q186" s="6"/>
      <c r="R186" s="22"/>
      <c r="S186" s="13"/>
      <c r="T186" s="13"/>
      <c r="U186" s="6"/>
      <c r="V186" s="1" t="str">
        <f aca="false">IF($A186="","",IF(OR(D186="卖出",D186="分红"),IFERROR(INDEX($F$2:$F185,MATCH(2,1/($C$2:$C185=$C186))),""),""))</f>
        <v/>
      </c>
      <c r="W186" s="82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3" t="str">
        <f aca="false">IF($A186="","",IF(D186="买入",0,IFERROR(IF(W186&lt;&gt;0,(H186-IFERROR(INDEX($H$2:$H185,MATCH(2,1/($C$2:$C185=$C186))),0))/W186,0),0)))</f>
        <v/>
      </c>
      <c r="Y186" s="83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4" t="str">
        <f aca="false">IF($A186="","",MAX(0,(MAX($Y$2:Y186)-Y186)/MAX(1,MAX($Y$2:Y186))))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26"/>
      <c r="G187" s="27"/>
      <c r="H187" s="18"/>
      <c r="I187" s="26"/>
      <c r="J187" s="27"/>
      <c r="K187" s="19"/>
      <c r="L187" s="26"/>
      <c r="M187" s="9"/>
      <c r="N187" s="14"/>
      <c r="O187" s="9"/>
      <c r="P187" s="14"/>
      <c r="Q187" s="9"/>
      <c r="R187" s="28"/>
      <c r="S187" s="14"/>
      <c r="T187" s="14"/>
      <c r="U187" s="9"/>
      <c r="V187" s="1" t="str">
        <f aca="false">IF($A187="","",IF(OR(D187="卖出",D187="分红"),IFERROR(INDEX($F$2:$F186,MATCH(2,1/($C$2:$C186=$C187))),""),""))</f>
        <v/>
      </c>
      <c r="W187" s="82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3" t="str">
        <f aca="false">IF($A187="","",IF(D187="买入",0,IFERROR(IF(W187&lt;&gt;0,(H187-IFERROR(INDEX($H$2:$H186,MATCH(2,1/($C$2:$C186=$C187))),0))/W187,0),0)))</f>
        <v/>
      </c>
      <c r="Y187" s="83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4" t="str">
        <f aca="false">IF($A187="","",MAX(0,(MAX($Y$2:Y187)-Y187)/MAX(1,MAX($Y$2:Y187))))</f>
        <v/>
      </c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17"/>
      <c r="G188" s="20"/>
      <c r="H188" s="18"/>
      <c r="I188" s="17"/>
      <c r="J188" s="20"/>
      <c r="K188" s="19"/>
      <c r="L188" s="17"/>
      <c r="M188" s="6"/>
      <c r="N188" s="13"/>
      <c r="O188" s="6"/>
      <c r="P188" s="13"/>
      <c r="Q188" s="6"/>
      <c r="R188" s="22"/>
      <c r="S188" s="13"/>
      <c r="T188" s="13"/>
      <c r="U188" s="6"/>
      <c r="V188" s="1" t="str">
        <f aca="false">IF($A188="","",IF(OR(D188="卖出",D188="分红"),IFERROR(INDEX($F$2:$F187,MATCH(2,1/($C$2:$C187=$C188))),""),""))</f>
        <v/>
      </c>
      <c r="W188" s="82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3" t="str">
        <f aca="false">IF($A188="","",IF(D188="买入",0,IFERROR(IF(W188&lt;&gt;0,(H188-IFERROR(INDEX($H$2:$H187,MATCH(2,1/($C$2:$C187=$C188))),0))/W188,0),0)))</f>
        <v/>
      </c>
      <c r="Y188" s="83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4" t="str">
        <f aca="false">IF($A188="","",MAX(0,(MAX($Y$2:Y188)-Y188)/MAX(1,MAX($Y$2:Y188))))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26"/>
      <c r="G189" s="27"/>
      <c r="H189" s="18"/>
      <c r="I189" s="26"/>
      <c r="J189" s="27"/>
      <c r="K189" s="19"/>
      <c r="L189" s="26"/>
      <c r="M189" s="9"/>
      <c r="N189" s="14"/>
      <c r="O189" s="9"/>
      <c r="P189" s="14"/>
      <c r="Q189" s="9"/>
      <c r="R189" s="28"/>
      <c r="S189" s="14"/>
      <c r="T189" s="14"/>
      <c r="U189" s="9"/>
      <c r="V189" s="1" t="str">
        <f aca="false">IF($A189="","",IF(OR(D189="卖出",D189="分红"),IFERROR(INDEX($F$2:$F188,MATCH(2,1/($C$2:$C188=$C189))),""),""))</f>
        <v/>
      </c>
      <c r="W189" s="82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3" t="str">
        <f aca="false">IF($A189="","",IF(D189="买入",0,IFERROR(IF(W189&lt;&gt;0,(H189-IFERROR(INDEX($H$2:$H188,MATCH(2,1/($C$2:$C188=$C189))),0))/W189,0),0)))</f>
        <v/>
      </c>
      <c r="Y189" s="83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4" t="str">
        <f aca="false">IF($A189="","",MAX(0,(MAX($Y$2:Y189)-Y189)/MAX(1,MAX($Y$2:Y189))))</f>
        <v/>
      </c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17"/>
      <c r="G190" s="20"/>
      <c r="H190" s="18"/>
      <c r="I190" s="17"/>
      <c r="J190" s="20"/>
      <c r="K190" s="19"/>
      <c r="L190" s="17"/>
      <c r="M190" s="6"/>
      <c r="N190" s="13"/>
      <c r="O190" s="6"/>
      <c r="P190" s="13"/>
      <c r="Q190" s="6"/>
      <c r="R190" s="22"/>
      <c r="S190" s="13"/>
      <c r="T190" s="13"/>
      <c r="U190" s="6"/>
      <c r="V190" s="1" t="str">
        <f aca="false">IF($A190="","",IF(OR(D190="卖出",D190="分红"),IFERROR(INDEX($F$2:$F189,MATCH(2,1/($C$2:$C189=$C190))),""),""))</f>
        <v/>
      </c>
      <c r="W190" s="82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3" t="str">
        <f aca="false">IF($A190="","",IF(D190="买入",0,IFERROR(IF(W190&lt;&gt;0,(H190-IFERROR(INDEX($H$2:$H189,MATCH(2,1/($C$2:$C189=$C190))),0))/W190,0),0)))</f>
        <v/>
      </c>
      <c r="Y190" s="83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4" t="str">
        <f aca="false">IF($A190="","",MAX(0,(MAX($Y$2:Y190)-Y190)/MAX(1,MAX($Y$2:Y190))))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26"/>
      <c r="G191" s="27"/>
      <c r="H191" s="18"/>
      <c r="I191" s="26"/>
      <c r="J191" s="27"/>
      <c r="K191" s="19"/>
      <c r="L191" s="26"/>
      <c r="M191" s="9"/>
      <c r="N191" s="14"/>
      <c r="O191" s="9"/>
      <c r="P191" s="14"/>
      <c r="Q191" s="9"/>
      <c r="R191" s="28"/>
      <c r="S191" s="14"/>
      <c r="T191" s="14"/>
      <c r="U191" s="9"/>
      <c r="V191" s="1" t="str">
        <f aca="false">IF($A191="","",IF(OR(D191="卖出",D191="分红"),IFERROR(INDEX($F$2:$F190,MATCH(2,1/($C$2:$C190=$C191))),""),""))</f>
        <v/>
      </c>
      <c r="W191" s="82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3" t="str">
        <f aca="false">IF($A191="","",IF(D191="买入",0,IFERROR(IF(W191&lt;&gt;0,(H191-IFERROR(INDEX($H$2:$H190,MATCH(2,1/($C$2:$C190=$C191))),0))/W191,0),0)))</f>
        <v/>
      </c>
      <c r="Y191" s="83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4" t="str">
        <f aca="false">IF($A191="","",MAX(0,(MAX($Y$2:Y191)-Y191)/MAX(1,MAX($Y$2:Y191))))</f>
        <v/>
      </c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17"/>
      <c r="G192" s="20"/>
      <c r="H192" s="18"/>
      <c r="I192" s="17"/>
      <c r="J192" s="20"/>
      <c r="K192" s="19"/>
      <c r="L192" s="17"/>
      <c r="M192" s="6"/>
      <c r="N192" s="13"/>
      <c r="O192" s="6"/>
      <c r="P192" s="13"/>
      <c r="Q192" s="6"/>
      <c r="R192" s="22"/>
      <c r="S192" s="13"/>
      <c r="T192" s="13"/>
      <c r="U192" s="6"/>
      <c r="V192" s="1" t="str">
        <f aca="false">IF($A192="","",IF(OR(D192="卖出",D192="分红"),IFERROR(INDEX($F$2:$F191,MATCH(2,1/($C$2:$C191=$C192))),""),""))</f>
        <v/>
      </c>
      <c r="W192" s="82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3" t="str">
        <f aca="false">IF($A192="","",IF(D192="买入",0,IFERROR(IF(W192&lt;&gt;0,(H192-IFERROR(INDEX($H$2:$H191,MATCH(2,1/($C$2:$C191=$C192))),0))/W192,0),0)))</f>
        <v/>
      </c>
      <c r="Y192" s="83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4" t="str">
        <f aca="false">IF($A192="","",MAX(0,(MAX($Y$2:Y192)-Y192)/MAX(1,MAX($Y$2:Y192))))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26"/>
      <c r="G193" s="27"/>
      <c r="H193" s="18"/>
      <c r="I193" s="26"/>
      <c r="J193" s="27"/>
      <c r="K193" s="19"/>
      <c r="L193" s="26"/>
      <c r="M193" s="9"/>
      <c r="N193" s="14"/>
      <c r="O193" s="9"/>
      <c r="P193" s="14"/>
      <c r="Q193" s="9"/>
      <c r="R193" s="28"/>
      <c r="S193" s="14"/>
      <c r="T193" s="14"/>
      <c r="U193" s="9"/>
      <c r="V193" s="1" t="str">
        <f aca="false">IF($A193="","",IF(OR(D193="卖出",D193="分红"),IFERROR(INDEX($F$2:$F192,MATCH(2,1/($C$2:$C192=$C193))),""),""))</f>
        <v/>
      </c>
      <c r="W193" s="82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3" t="str">
        <f aca="false">IF($A193="","",IF(D193="买入",0,IFERROR(IF(W193&lt;&gt;0,(H193-IFERROR(INDEX($H$2:$H192,MATCH(2,1/($C$2:$C192=$C193))),0))/W193,0),0)))</f>
        <v/>
      </c>
      <c r="Y193" s="83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4" t="str">
        <f aca="false">IF($A193="","",MAX(0,(MAX($Y$2:Y193)-Y193)/MAX(1,MAX($Y$2:Y193))))</f>
        <v/>
      </c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17"/>
      <c r="G194" s="20"/>
      <c r="H194" s="18"/>
      <c r="I194" s="17"/>
      <c r="J194" s="20"/>
      <c r="K194" s="19"/>
      <c r="L194" s="17"/>
      <c r="M194" s="6"/>
      <c r="N194" s="13"/>
      <c r="O194" s="6"/>
      <c r="P194" s="13"/>
      <c r="Q194" s="6"/>
      <c r="R194" s="22"/>
      <c r="S194" s="13"/>
      <c r="T194" s="13"/>
      <c r="U194" s="6"/>
      <c r="V194" s="1" t="str">
        <f aca="false">IF($A194="","",IF(OR(D194="卖出",D194="分红"),IFERROR(INDEX($F$2:$F193,MATCH(2,1/($C$2:$C193=$C194))),""),""))</f>
        <v/>
      </c>
      <c r="W194" s="82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3" t="str">
        <f aca="false">IF($A194="","",IF(D194="买入",0,IFERROR(IF(W194&lt;&gt;0,(H194-IFERROR(INDEX($H$2:$H193,MATCH(2,1/($C$2:$C193=$C194))),0))/W194,0),0)))</f>
        <v/>
      </c>
      <c r="Y194" s="83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4" t="str">
        <f aca="false">IF($A194="","",MAX(0,(MAX($Y$2:Y194)-Y194)/MAX(1,MAX($Y$2:Y194))))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26"/>
      <c r="G195" s="27"/>
      <c r="H195" s="18"/>
      <c r="I195" s="26"/>
      <c r="J195" s="27"/>
      <c r="K195" s="19"/>
      <c r="L195" s="26"/>
      <c r="M195" s="9"/>
      <c r="N195" s="14"/>
      <c r="O195" s="9"/>
      <c r="P195" s="14"/>
      <c r="Q195" s="9"/>
      <c r="R195" s="28"/>
      <c r="S195" s="14"/>
      <c r="T195" s="14"/>
      <c r="U195" s="9"/>
      <c r="V195" s="1" t="str">
        <f aca="false">IF($A195="","",IF(OR(D195="卖出",D195="分红"),IFERROR(INDEX($F$2:$F194,MATCH(2,1/($C$2:$C194=$C195))),""),""))</f>
        <v/>
      </c>
      <c r="W195" s="82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3" t="str">
        <f aca="false">IF($A195="","",IF(D195="买入",0,IFERROR(IF(W195&lt;&gt;0,(H195-IFERROR(INDEX($H$2:$H194,MATCH(2,1/($C$2:$C194=$C195))),0))/W195,0),0)))</f>
        <v/>
      </c>
      <c r="Y195" s="83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4" t="str">
        <f aca="false">IF($A195="","",MAX(0,(MAX($Y$2:Y195)-Y195)/MAX(1,MAX($Y$2:Y195))))</f>
        <v/>
      </c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17"/>
      <c r="G196" s="20"/>
      <c r="H196" s="18"/>
      <c r="I196" s="17"/>
      <c r="J196" s="20"/>
      <c r="K196" s="19"/>
      <c r="L196" s="17"/>
      <c r="M196" s="6"/>
      <c r="N196" s="13"/>
      <c r="O196" s="6"/>
      <c r="P196" s="13"/>
      <c r="Q196" s="6"/>
      <c r="R196" s="22"/>
      <c r="S196" s="13"/>
      <c r="T196" s="13"/>
      <c r="U196" s="6"/>
      <c r="V196" s="1" t="str">
        <f aca="false">IF($A196="","",IF(OR(D196="卖出",D196="分红"),IFERROR(INDEX($F$2:$F195,MATCH(2,1/($C$2:$C195=$C196))),""),""))</f>
        <v/>
      </c>
      <c r="W196" s="82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3" t="str">
        <f aca="false">IF($A196="","",IF(D196="买入",0,IFERROR(IF(W196&lt;&gt;0,(H196-IFERROR(INDEX($H$2:$H195,MATCH(2,1/($C$2:$C195=$C196))),0))/W196,0),0)))</f>
        <v/>
      </c>
      <c r="Y196" s="83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4" t="str">
        <f aca="false">IF($A196="","",MAX(0,(MAX($Y$2:Y196)-Y196)/MAX(1,MAX($Y$2:Y196))))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26"/>
      <c r="G197" s="27"/>
      <c r="H197" s="18"/>
      <c r="I197" s="26"/>
      <c r="J197" s="27"/>
      <c r="K197" s="19"/>
      <c r="L197" s="26"/>
      <c r="M197" s="9"/>
      <c r="N197" s="14"/>
      <c r="O197" s="9"/>
      <c r="P197" s="14"/>
      <c r="Q197" s="9"/>
      <c r="R197" s="28"/>
      <c r="S197" s="14"/>
      <c r="T197" s="14"/>
      <c r="U197" s="9"/>
      <c r="V197" s="1" t="str">
        <f aca="false">IF($A197="","",IF(OR(D197="卖出",D197="分红"),IFERROR(INDEX($F$2:$F196,MATCH(2,1/($C$2:$C196=$C197))),""),""))</f>
        <v/>
      </c>
      <c r="W197" s="82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3" t="str">
        <f aca="false">IF($A197="","",IF(D197="买入",0,IFERROR(IF(W197&lt;&gt;0,(H197-IFERROR(INDEX($H$2:$H196,MATCH(2,1/($C$2:$C196=$C197))),0))/W197,0),0)))</f>
        <v/>
      </c>
      <c r="Y197" s="83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4" t="str">
        <f aca="false">IF($A197="","",MAX(0,(MAX($Y$2:Y197)-Y197)/MAX(1,MAX($Y$2:Y197))))</f>
        <v/>
      </c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17"/>
      <c r="G198" s="20"/>
      <c r="H198" s="18"/>
      <c r="I198" s="17"/>
      <c r="J198" s="20"/>
      <c r="K198" s="19"/>
      <c r="L198" s="17"/>
      <c r="M198" s="6"/>
      <c r="N198" s="13"/>
      <c r="O198" s="6"/>
      <c r="P198" s="13"/>
      <c r="Q198" s="6"/>
      <c r="R198" s="22"/>
      <c r="S198" s="13"/>
      <c r="T198" s="13"/>
      <c r="U198" s="6"/>
      <c r="V198" s="1" t="str">
        <f aca="false">IF($A198="","",IF(OR(D198="卖出",D198="分红"),IFERROR(INDEX($F$2:$F197,MATCH(2,1/($C$2:$C197=$C198))),""),""))</f>
        <v/>
      </c>
      <c r="W198" s="82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3" t="str">
        <f aca="false">IF($A198="","",IF(D198="买入",0,IFERROR(IF(W198&lt;&gt;0,(H198-IFERROR(INDEX($H$2:$H197,MATCH(2,1/($C$2:$C197=$C198))),0))/W198,0),0)))</f>
        <v/>
      </c>
      <c r="Y198" s="83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4" t="str">
        <f aca="false">IF($A198="","",MAX(0,(MAX($Y$2:Y198)-Y198)/MAX(1,MAX($Y$2:Y198))))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26"/>
      <c r="G199" s="27"/>
      <c r="H199" s="18"/>
      <c r="I199" s="26"/>
      <c r="J199" s="27"/>
      <c r="K199" s="19"/>
      <c r="L199" s="26"/>
      <c r="M199" s="9"/>
      <c r="N199" s="14"/>
      <c r="O199" s="9"/>
      <c r="P199" s="14"/>
      <c r="Q199" s="9"/>
      <c r="R199" s="28"/>
      <c r="S199" s="14"/>
      <c r="T199" s="14"/>
      <c r="U199" s="9"/>
      <c r="V199" s="1" t="str">
        <f aca="false">IF($A199="","",IF(OR(D199="卖出",D199="分红"),IFERROR(INDEX($F$2:$F198,MATCH(2,1/($C$2:$C198=$C199))),""),""))</f>
        <v/>
      </c>
      <c r="W199" s="82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3" t="str">
        <f aca="false">IF($A199="","",IF(D199="买入",0,IFERROR(IF(W199&lt;&gt;0,(H199-IFERROR(INDEX($H$2:$H198,MATCH(2,1/($C$2:$C198=$C199))),0))/W199,0),0)))</f>
        <v/>
      </c>
      <c r="Y199" s="83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4" t="str">
        <f aca="false">IF($A199="","",MAX(0,(MAX($Y$2:Y199)-Y199)/MAX(1,MAX($Y$2:Y199))))</f>
        <v/>
      </c>
    </row>
    <row r="200" customFormat="false" ht="15" hidden="false" customHeight="true" outlineLevel="0" collapsed="false">
      <c r="A200" s="6"/>
      <c r="B200" s="6"/>
      <c r="C200" s="6"/>
      <c r="D200" s="6"/>
      <c r="E200" s="6"/>
      <c r="F200" s="17"/>
      <c r="G200" s="20"/>
      <c r="H200" s="18"/>
      <c r="I200" s="17"/>
      <c r="J200" s="20"/>
      <c r="K200" s="19"/>
      <c r="L200" s="17"/>
      <c r="M200" s="6"/>
      <c r="N200" s="13"/>
      <c r="O200" s="6"/>
      <c r="P200" s="13"/>
      <c r="Q200" s="6"/>
      <c r="R200" s="22"/>
      <c r="S200" s="13"/>
      <c r="T200" s="13"/>
      <c r="U200" s="6"/>
      <c r="V200" s="1" t="str">
        <f aca="false">IF($A200="","",IF(OR(D200="卖出",D200="分红"),IFERROR(INDEX($F$2:$F199,MATCH(2,1/($C$2:$C199=$C200))),""),""))</f>
        <v/>
      </c>
      <c r="W200" s="82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3" t="str">
        <f aca="false">IF($A200="","",IF(D200="买入",0,IFERROR(IF(W200&lt;&gt;0,(H200-IFERROR(INDEX($H$2:$H199,MATCH(2,1/($C$2:$C199=$C200))),0))/W200,0),0)))</f>
        <v/>
      </c>
      <c r="Y200" s="83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4" t="str">
        <f aca="false">IF($A200="","",MAX(0,(MAX($Y$2:Y200)-Y200)/MAX(1,MAX($Y$2:Y200))))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26"/>
      <c r="G201" s="27"/>
      <c r="H201" s="18"/>
      <c r="I201" s="26"/>
      <c r="J201" s="27"/>
      <c r="K201" s="19"/>
      <c r="L201" s="26"/>
      <c r="M201" s="9"/>
      <c r="N201" s="14"/>
      <c r="O201" s="9"/>
      <c r="P201" s="14"/>
      <c r="Q201" s="9"/>
      <c r="R201" s="28"/>
      <c r="S201" s="14"/>
      <c r="T201" s="14"/>
      <c r="U201" s="9"/>
      <c r="V201" s="1" t="str">
        <f aca="false">IF($A201="","",IF(OR(D201="卖出",D201="分红"),IFERROR(INDEX($F$2:$F200,MATCH(2,1/($C$2:$C200=$C201))),""),""))</f>
        <v/>
      </c>
      <c r="W201" s="82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3" t="str">
        <f aca="false">IF($A201="","",IF(D201="买入",0,IFERROR(IF(W201&lt;&gt;0,(H201-IFERROR(INDEX($H$2:$H200,MATCH(2,1/($C$2:$C200=$C201))),0))/W201,0),0)))</f>
        <v/>
      </c>
      <c r="Y201" s="83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4" t="str">
        <f aca="false">IF($A201="","",MAX(0,(MAX($Y$2:Y201)-Y201)/MAX(1,MAX($Y$2:Y201))))</f>
        <v/>
      </c>
    </row>
    <row r="203" customFormat="false" ht="15" hidden="false" customHeight="true" outlineLevel="0" collapsed="false">
      <c r="A203" s="85" t="s">
        <v>530</v>
      </c>
    </row>
    <row r="204" customFormat="false" ht="15" hidden="false" customHeight="true" outlineLevel="0" collapsed="false">
      <c r="A204" s="86" t="s">
        <v>531</v>
      </c>
      <c r="B204" s="87" t="n">
        <f aca="false">COUNTIFS(A2:A200,"&lt;&gt;",D2:D200,"&lt;&gt;")</f>
        <v>18</v>
      </c>
      <c r="C204" s="87"/>
    </row>
    <row r="205" customFormat="false" ht="15" hidden="false" customHeight="true" outlineLevel="0" collapsed="false">
      <c r="A205" s="86" t="s">
        <v>532</v>
      </c>
      <c r="B205" s="87" t="n">
        <f aca="false">COUNTIF(D2:D200,"卖出")</f>
        <v>7</v>
      </c>
      <c r="C205" s="87"/>
    </row>
    <row r="206" customFormat="false" ht="15" hidden="false" customHeight="true" outlineLevel="0" collapsed="false">
      <c r="A206" s="86" t="s">
        <v>533</v>
      </c>
      <c r="B206" s="87" t="n">
        <f aca="false">COUNTIFS(X2:X200,"&gt;0")</f>
        <v>5</v>
      </c>
      <c r="C206" s="87"/>
    </row>
    <row r="207" customFormat="false" ht="15" hidden="false" customHeight="true" outlineLevel="0" collapsed="false">
      <c r="A207" s="86" t="s">
        <v>534</v>
      </c>
      <c r="B207" s="87" t="n">
        <f aca="false">COUNTIFS(X2:X200,"&lt;0")</f>
        <v>2</v>
      </c>
      <c r="C207" s="87"/>
    </row>
    <row r="208" customFormat="false" ht="15" hidden="false" customHeight="true" outlineLevel="0" collapsed="false">
      <c r="A208" s="86" t="s">
        <v>535</v>
      </c>
      <c r="B208" s="87" t="n">
        <f aca="false">IFERROR(B206/B205,0)</f>
        <v>0.714285714285714</v>
      </c>
      <c r="C208" s="87"/>
    </row>
    <row r="209" customFormat="false" ht="15" hidden="false" customHeight="true" outlineLevel="0" collapsed="false">
      <c r="A209" s="86" t="s">
        <v>536</v>
      </c>
      <c r="B209" s="87" t="n">
        <v>2.143248</v>
      </c>
      <c r="C209" s="87"/>
    </row>
    <row r="210" customFormat="false" ht="15" hidden="false" customHeight="true" outlineLevel="0" collapsed="false">
      <c r="A210" s="86" t="s">
        <v>537</v>
      </c>
      <c r="B210" s="88" t="n">
        <v>15.002733</v>
      </c>
      <c r="C210" s="87"/>
    </row>
    <row r="211" customFormat="false" ht="15" hidden="false" customHeight="true" outlineLevel="0" collapsed="false">
      <c r="A211" s="86" t="s">
        <v>538</v>
      </c>
      <c r="B211" s="87" t="n">
        <v>9.082391</v>
      </c>
      <c r="C211" s="87"/>
    </row>
    <row r="212" customFormat="false" ht="15" hidden="false" customHeight="true" outlineLevel="0" collapsed="false">
      <c r="A212" s="86" t="s">
        <v>539</v>
      </c>
      <c r="B212" s="87" t="n">
        <v>-0.401727</v>
      </c>
      <c r="C212" s="87"/>
    </row>
    <row r="213" customFormat="false" ht="15" hidden="false" customHeight="true" outlineLevel="0" collapsed="false">
      <c r="A213" s="86" t="s">
        <v>540</v>
      </c>
      <c r="B213" s="87" t="s">
        <v>541</v>
      </c>
      <c r="C213" s="87"/>
    </row>
    <row r="214" customFormat="false" ht="15" hidden="false" customHeight="true" outlineLevel="0" collapsed="false">
      <c r="A214" s="86" t="s">
        <v>542</v>
      </c>
      <c r="B214" s="87" t="s">
        <v>541</v>
      </c>
      <c r="C214" s="87"/>
    </row>
    <row r="215" customFormat="false" ht="15" hidden="false" customHeight="true" outlineLevel="0" collapsed="false">
      <c r="A215" s="86" t="s">
        <v>543</v>
      </c>
      <c r="B215" s="89" t="n">
        <v>0</v>
      </c>
      <c r="C215" s="87"/>
    </row>
    <row r="216" customFormat="false" ht="15" hidden="false" customHeight="true" outlineLevel="0" collapsed="false">
      <c r="A216" s="86" t="s">
        <v>544</v>
      </c>
      <c r="B216" s="87" t="n">
        <v>8.379487</v>
      </c>
      <c r="C216" s="87"/>
    </row>
    <row r="217" customFormat="false" ht="15" hidden="false" customHeight="true" outlineLevel="0" collapsed="false">
      <c r="A217" s="90" t="s">
        <v>545</v>
      </c>
      <c r="B217" s="90" t="s">
        <v>546</v>
      </c>
      <c r="C217" s="87"/>
    </row>
    <row r="218" customFormat="false" ht="15" hidden="false" customHeight="true" outlineLevel="0" collapsed="false">
      <c r="A218" s="91"/>
      <c r="B218" s="15"/>
      <c r="D218" s="15"/>
      <c r="E218" s="15"/>
    </row>
    <row r="219" customFormat="false" ht="15" hidden="false" customHeight="true" outlineLevel="0" collapsed="false">
      <c r="A219" s="91" t="n">
        <v>46227</v>
      </c>
      <c r="B219" s="15" t="s">
        <v>520</v>
      </c>
      <c r="C219" s="1" t="s">
        <v>521</v>
      </c>
      <c r="D219" s="15" t="s">
        <v>493</v>
      </c>
      <c r="E219" s="15" t="s">
        <v>547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15" t="s">
        <v>548</v>
      </c>
      <c r="O219" s="1" t="s">
        <v>549</v>
      </c>
      <c r="P219" s="15" t="s">
        <v>550</v>
      </c>
    </row>
    <row r="220" customFormat="false" ht="15" hidden="false" customHeight="true" outlineLevel="0" collapsed="false">
      <c r="A220" s="91" t="n">
        <v>46227</v>
      </c>
      <c r="B220" s="15" t="s">
        <v>357</v>
      </c>
      <c r="C220" s="1" t="s">
        <v>358</v>
      </c>
      <c r="D220" s="15" t="s">
        <v>487</v>
      </c>
      <c r="E220" s="15" t="s">
        <v>551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15" t="s">
        <v>552</v>
      </c>
      <c r="N220" s="15" t="s">
        <v>548</v>
      </c>
      <c r="O220" s="15" t="s">
        <v>553</v>
      </c>
      <c r="P220" s="15" t="s">
        <v>554</v>
      </c>
    </row>
    <row r="221" customFormat="false" ht="15" hidden="false" customHeight="true" outlineLevel="0" collapsed="false">
      <c r="A221" s="91" t="n">
        <v>46227</v>
      </c>
      <c r="B221" s="15" t="s">
        <v>359</v>
      </c>
      <c r="C221" s="1" t="s">
        <v>360</v>
      </c>
      <c r="D221" s="15" t="s">
        <v>487</v>
      </c>
      <c r="E221" s="15" t="s">
        <v>551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15" t="s">
        <v>552</v>
      </c>
      <c r="N221" s="15" t="s">
        <v>548</v>
      </c>
      <c r="O221" s="15" t="s">
        <v>555</v>
      </c>
      <c r="P221" s="15" t="s">
        <v>554</v>
      </c>
    </row>
    <row r="222" customFormat="false" ht="15" hidden="false" customHeight="true" outlineLevel="0" collapsed="false">
      <c r="A222" s="91" t="n">
        <v>46227</v>
      </c>
      <c r="B222" s="15" t="s">
        <v>361</v>
      </c>
      <c r="C222" s="1" t="s">
        <v>362</v>
      </c>
      <c r="D222" s="15" t="s">
        <v>487</v>
      </c>
      <c r="E222" s="15" t="s">
        <v>551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15" t="s">
        <v>552</v>
      </c>
      <c r="N222" s="15" t="s">
        <v>556</v>
      </c>
      <c r="O222" s="15" t="s">
        <v>557</v>
      </c>
      <c r="P222" s="15" t="s">
        <v>554</v>
      </c>
    </row>
    <row r="223" customFormat="false" ht="15" hidden="false" customHeight="true" outlineLevel="0" collapsed="false">
      <c r="A223" s="91" t="n">
        <v>46227</v>
      </c>
      <c r="B223" s="15" t="s">
        <v>353</v>
      </c>
      <c r="C223" s="1" t="s">
        <v>354</v>
      </c>
      <c r="D223" s="15" t="s">
        <v>487</v>
      </c>
      <c r="E223" s="15" t="s">
        <v>551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15" t="s">
        <v>552</v>
      </c>
      <c r="N223" s="15" t="s">
        <v>548</v>
      </c>
      <c r="O223" s="15" t="s">
        <v>558</v>
      </c>
      <c r="P223" s="15" t="s">
        <v>554</v>
      </c>
    </row>
    <row r="224" customFormat="false" ht="15" hidden="false" customHeight="true" outlineLevel="0" collapsed="false">
      <c r="A224" s="91" t="n">
        <v>46227</v>
      </c>
      <c r="B224" s="15" t="s">
        <v>355</v>
      </c>
      <c r="C224" s="1" t="s">
        <v>356</v>
      </c>
      <c r="D224" s="15" t="s">
        <v>487</v>
      </c>
      <c r="E224" s="15" t="s">
        <v>551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15" t="s">
        <v>552</v>
      </c>
      <c r="N224" s="15" t="s">
        <v>548</v>
      </c>
      <c r="O224" s="15" t="s">
        <v>559</v>
      </c>
      <c r="P224" s="15" t="s">
        <v>554</v>
      </c>
    </row>
    <row r="225" customFormat="false" ht="15" hidden="false" customHeight="true" outlineLevel="0" collapsed="false">
      <c r="A225" s="92" t="n">
        <v>46225</v>
      </c>
      <c r="B225" s="15" t="s">
        <v>520</v>
      </c>
      <c r="C225" s="1" t="s">
        <v>521</v>
      </c>
      <c r="D225" s="15" t="s">
        <v>493</v>
      </c>
      <c r="E225" s="15" t="s">
        <v>494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92" t="n">
        <v>46225</v>
      </c>
      <c r="B226" s="15" t="s">
        <v>351</v>
      </c>
      <c r="C226" s="1" t="s">
        <v>352</v>
      </c>
      <c r="D226" s="15" t="s">
        <v>493</v>
      </c>
      <c r="E226" s="15" t="s">
        <v>494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92" t="n">
        <v>46227</v>
      </c>
      <c r="B227" s="15" t="s">
        <v>353</v>
      </c>
      <c r="C227" s="1" t="s">
        <v>354</v>
      </c>
      <c r="D227" s="15" t="s">
        <v>487</v>
      </c>
      <c r="E227" s="15" t="s">
        <v>400</v>
      </c>
      <c r="F227" s="1" t="n">
        <v>8.021</v>
      </c>
      <c r="G227" s="1" t="n">
        <v>100</v>
      </c>
      <c r="H227" s="1" t="n">
        <v>802.1</v>
      </c>
      <c r="I227" s="1" t="n">
        <v>0</v>
      </c>
      <c r="J227" s="1" t="n">
        <v>100</v>
      </c>
      <c r="K227" s="1" t="n">
        <v>0.039</v>
      </c>
    </row>
    <row r="228" customFormat="false" ht="15" hidden="false" customHeight="true" outlineLevel="0" collapsed="false">
      <c r="A228" s="92" t="n">
        <v>46227</v>
      </c>
      <c r="B228" s="15" t="s">
        <v>355</v>
      </c>
      <c r="C228" s="1" t="s">
        <v>356</v>
      </c>
      <c r="D228" s="15" t="s">
        <v>487</v>
      </c>
      <c r="E228" s="15" t="s">
        <v>400</v>
      </c>
      <c r="F228" s="1" t="n">
        <v>4.804</v>
      </c>
      <c r="G228" s="1" t="n">
        <v>300</v>
      </c>
      <c r="H228" s="1" t="n">
        <v>1441.2</v>
      </c>
      <c r="I228" s="1" t="n">
        <v>0</v>
      </c>
      <c r="J228" s="1" t="n">
        <v>300</v>
      </c>
      <c r="K228" s="1" t="n">
        <v>0.068</v>
      </c>
    </row>
    <row r="229" customFormat="false" ht="15" hidden="false" customHeight="true" outlineLevel="0" collapsed="false">
      <c r="A229" s="92" t="n">
        <v>46227</v>
      </c>
      <c r="B229" s="15" t="s">
        <v>357</v>
      </c>
      <c r="C229" s="1" t="s">
        <v>358</v>
      </c>
      <c r="D229" s="15" t="s">
        <v>487</v>
      </c>
      <c r="E229" s="15" t="s">
        <v>400</v>
      </c>
      <c r="F229" s="1" t="n">
        <v>9.271</v>
      </c>
      <c r="G229" s="1" t="n">
        <v>100</v>
      </c>
      <c r="H229" s="1" t="n">
        <v>927.1</v>
      </c>
      <c r="I229" s="1" t="n">
        <v>0</v>
      </c>
      <c r="J229" s="1" t="n">
        <v>100</v>
      </c>
      <c r="K229" s="1" t="n">
        <v>0.043</v>
      </c>
    </row>
    <row r="230" customFormat="false" ht="15" hidden="false" customHeight="true" outlineLevel="0" collapsed="false">
      <c r="A230" s="92" t="n">
        <v>46227</v>
      </c>
      <c r="B230" s="15" t="s">
        <v>359</v>
      </c>
      <c r="C230" s="1" t="s">
        <v>360</v>
      </c>
      <c r="D230" s="15" t="s">
        <v>487</v>
      </c>
      <c r="E230" s="15" t="s">
        <v>400</v>
      </c>
      <c r="F230" s="1" t="n">
        <v>3.966</v>
      </c>
      <c r="G230" s="1" t="n">
        <v>200</v>
      </c>
      <c r="H230" s="1" t="n">
        <v>793.2</v>
      </c>
      <c r="I230" s="1" t="n">
        <v>0</v>
      </c>
      <c r="J230" s="1" t="n">
        <v>200</v>
      </c>
      <c r="K230" s="1" t="n">
        <v>0.039</v>
      </c>
    </row>
    <row r="231" customFormat="false" ht="15" hidden="false" customHeight="true" outlineLevel="0" collapsed="false">
      <c r="A231" s="92" t="n">
        <v>46227</v>
      </c>
      <c r="B231" s="15" t="s">
        <v>361</v>
      </c>
      <c r="C231" s="1" t="s">
        <v>362</v>
      </c>
      <c r="D231" s="15" t="s">
        <v>487</v>
      </c>
      <c r="E231" s="15" t="s">
        <v>400</v>
      </c>
      <c r="F231" s="1" t="n">
        <v>3.142</v>
      </c>
      <c r="G231" s="1" t="n">
        <v>500</v>
      </c>
      <c r="H231" s="1" t="n">
        <v>1571</v>
      </c>
      <c r="I231" s="1" t="n">
        <v>0</v>
      </c>
      <c r="J231" s="1" t="n">
        <v>500</v>
      </c>
      <c r="K231" s="1" t="n">
        <v>0.074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6">
      <formula>N2="是"</formula>
    </cfRule>
    <cfRule type="expression" priority="3" aboveAverage="0" equalAverage="0" bottom="0" percent="0" rank="0" text="" dxfId="7">
      <formula>N2="否"</formula>
    </cfRule>
  </conditionalFormatting>
  <conditionalFormatting sqref="S2:S201">
    <cfRule type="expression" priority="4" aboveAverage="0" equalAverage="0" bottom="0" percent="0" rank="0" text="" dxfId="7">
      <formula>S2="是"</formula>
    </cfRule>
  </conditionalFormatting>
  <conditionalFormatting sqref="T2:T201">
    <cfRule type="expression" priority="5" aboveAverage="0" equalAverage="0" bottom="0" percent="0" rank="0" text="" dxfId="7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248</v>
      </c>
      <c r="B1" s="93" t="s">
        <v>560</v>
      </c>
      <c r="C1" s="93" t="s">
        <v>561</v>
      </c>
      <c r="D1" s="93" t="s">
        <v>562</v>
      </c>
      <c r="E1" s="93" t="s">
        <v>563</v>
      </c>
      <c r="F1" s="93" t="s">
        <v>564</v>
      </c>
      <c r="G1" s="93" t="s">
        <v>565</v>
      </c>
      <c r="H1" s="93" t="s">
        <v>566</v>
      </c>
      <c r="I1" s="93" t="s">
        <v>567</v>
      </c>
      <c r="J1" s="93" t="s">
        <v>568</v>
      </c>
      <c r="K1" s="93" t="s">
        <v>223</v>
      </c>
      <c r="L1" s="93" t="s">
        <v>229</v>
      </c>
      <c r="M1" s="93" t="s">
        <v>569</v>
      </c>
      <c r="N1" s="93" t="s">
        <v>570</v>
      </c>
      <c r="O1" s="93" t="s">
        <v>236</v>
      </c>
      <c r="P1" s="93" t="s">
        <v>571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572</v>
      </c>
      <c r="I2" s="95"/>
      <c r="J2" s="95"/>
      <c r="K2" s="97" t="n">
        <v>70</v>
      </c>
      <c r="L2" s="98" t="s">
        <v>573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IF($A2="","",IF(L2="达标",IF(ROW()=2,1,IF(O1="",1,O1+1)),0))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572</v>
      </c>
      <c r="I3" s="102"/>
      <c r="J3" s="102"/>
      <c r="K3" s="97" t="n">
        <v>70</v>
      </c>
      <c r="L3" s="98" t="s">
        <v>573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IF($A3="","",IF(L3="达标",IF(ROW()=2,1,IF(O2="",1,O2+1)),0))</f>
        <v>0</v>
      </c>
      <c r="P3" s="98" t="str">
        <f aca="false">IF($A3="","",IF(ROW()&lt;=8,"基准周",IF(K3&gt;k-4,"改善",IF(K3&lt;k-4,"恶化","持平"))))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572</v>
      </c>
      <c r="I4" s="96" t="s">
        <v>574</v>
      </c>
      <c r="J4" s="96" t="s">
        <v>575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IF($A4="","",IF(L4="达标",IF(ROW()=2,1,IF(O3="",1,O3+1)),0))</f>
        <v>0</v>
      </c>
      <c r="P4" s="98" t="str">
        <f aca="false">IF($A4="","",IF(ROW()&lt;=8,"基准周",IF(K4&gt;k-3,"改善",IF(K4&lt;k-3,"恶化","持平"))))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IF($A5="","",IF(ROW()&lt;=8,"基准周",IF(K5&gt;k-2,"改善",IF(K5&lt;k-2,"恶化","持平"))))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IF($A6="","",IF(ROW()&lt;=8,"基准周",IF(K6&gt;k-1,"改善",IF(K6&lt;k-1,"恶化","持平"))))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IF($A7="","",IF(ROW()&lt;=8,"基准周",IF(K7&gt;k0,"改善",IF(K7&lt;k0,"恶化","持平"))))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IF($A8="","",IF(ROW()&lt;=8,"基准周",IF(K8&gt;K1,"改善",IF(K8&lt;K1,"恶化","持平"))))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IF($A9="","",IF(ROW()&lt;=8,"基准周",IF(K9&gt;K2,"改善",IF(K9&lt;K2,"恶化","持平"))))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IF($A10="","",IF(ROW()&lt;=8,"基准周",IF(K10&gt;K3,"改善",IF(K10&lt;K3,"恶化","持平"))))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IF($A11="","",IF(ROW()&lt;=8,"基准周",IF(K11&gt;K4,"改善",IF(K11&lt;K4,"恶化","持平"))))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IF($A12="","",IF(ROW()&lt;=8,"基准周",IF(K12&gt;K5,"改善",IF(K12&lt;K5,"恶化","持平"))))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IF($A13="","",IF(ROW()&lt;=8,"基准周",IF(K13&gt;K6,"改善",IF(K13&lt;K6,"恶化","持平"))))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IF($A14="","",IF(ROW()&lt;=8,"基准周",IF(K14&gt;K7,"改善",IF(K14&lt;K7,"恶化","持平"))))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IF($A15="","",IF(ROW()&lt;=8,"基准周",IF(K15&gt;K8,"改善",IF(K15&lt;K8,"恶化","持平"))))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IF($A16="","",IF(ROW()&lt;=8,"基准周",IF(K16&gt;K9,"改善",IF(K16&lt;K9,"恶化","持平"))))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IF($A17="","",IF(ROW()&lt;=8,"基准周",IF(K17&gt;K10,"改善",IF(K17&lt;K10,"恶化","持平"))))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IF($A18="","",IF(ROW()&lt;=8,"基准周",IF(K18&gt;K11,"改善",IF(K18&lt;K11,"恶化","持平"))))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IF($A19="","",IF(ROW()&lt;=8,"基准周",IF(K19&gt;K12,"改善",IF(K19&lt;K12,"恶化","持平"))))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IF($A20="","",IF(ROW()&lt;=8,"基准周",IF(K20&gt;K13,"改善",IF(K20&lt;K13,"恶化","持平"))))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IF($A21="","",IF(ROW()&lt;=8,"基准周",IF(K21&gt;K14,"改善",IF(K21&lt;K14,"恶化","持平"))))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IF($A22="","",IF(ROW()&lt;=8,"基准周",IF(K22&gt;K15,"改善",IF(K22&lt;K15,"恶化","持平"))))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IF($A23="","",IF(ROW()&lt;=8,"基准周",IF(K23&gt;K16,"改善",IF(K23&lt;K16,"恶化","持平"))))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IF($A24="","",IF(ROW()&lt;=8,"基准周",IF(K24&gt;K17,"改善",IF(K24&lt;K17,"恶化","持平"))))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IF($A25="","",IF(ROW()&lt;=8,"基准周",IF(K25&gt;K18,"改善",IF(K25&lt;K18,"恶化","持平"))))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IF($A26="","",IF(ROW()&lt;=8,"基准周",IF(K26&gt;K19,"改善",IF(K26&lt;K19,"恶化","持平"))))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IF($A27="","",IF(ROW()&lt;=8,"基准周",IF(K27&gt;K20,"改善",IF(K27&lt;K20,"恶化","持平"))))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IF($A28="","",IF(ROW()&lt;=8,"基准周",IF(K28&gt;K21,"改善",IF(K28&lt;K21,"恶化","持平"))))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IF($A29="","",IF(ROW()&lt;=8,"基准周",IF(K29&gt;K22,"改善",IF(K29&lt;K22,"恶化","持平"))))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IF($A30="","",IF(ROW()&lt;=8,"基准周",IF(K30&gt;K23,"改善",IF(K30&lt;K23,"恶化","持平"))))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IF($A31="","",IF(ROW()&lt;=8,"基准周",IF(K31&gt;K24,"改善",IF(K31&lt;K24,"恶化","持平"))))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IF($A32="","",IF(ROW()&lt;=8,"基准周",IF(K32&gt;K25,"改善",IF(K32&lt;K25,"恶化","持平"))))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IF($A33="","",IF(ROW()&lt;=8,"基准周",IF(K33&gt;K26,"改善",IF(K33&lt;K26,"恶化","持平"))))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IF($A34="","",IF(ROW()&lt;=8,"基准周",IF(K34&gt;K27,"改善",IF(K34&lt;K27,"恶化","持平"))))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IF($A35="","",IF(ROW()&lt;=8,"基准周",IF(K35&gt;K28,"改善",IF(K35&lt;K28,"恶化","持平"))))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IF($A36="","",IF(ROW()&lt;=8,"基准周",IF(K36&gt;K29,"改善",IF(K36&lt;K29,"恶化","持平"))))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IF($A37="","",IF(ROW()&lt;=8,"基准周",IF(K37&gt;K30,"改善",IF(K37&lt;K30,"恶化","持平"))))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IF($A38="","",IF(ROW()&lt;=8,"基准周",IF(K38&gt;K31,"改善",IF(K38&lt;K31,"恶化","持平"))))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IF($A39="","",IF(ROW()&lt;=8,"基准周",IF(K39&gt;K32,"改善",IF(K39&lt;K32,"恶化","持平"))))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IF($A40="","",IF(ROW()&lt;=8,"基准周",IF(K40&gt;K33,"改善",IF(K40&lt;K33,"恶化","持平"))))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IF($A41="","",IF(ROW()&lt;=8,"基准周",IF(K41&gt;K34,"改善",IF(K41&lt;K34,"恶化","持平"))))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IF($A42="","",IF(ROW()&lt;=8,"基准周",IF(K42&gt;K35,"改善",IF(K42&lt;K35,"恶化","持平"))))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IF($A43="","",IF(ROW()&lt;=8,"基准周",IF(K43&gt;K36,"改善",IF(K43&lt;K36,"恶化","持平"))))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IF($A44="","",IF(ROW()&lt;=8,"基准周",IF(K44&gt;K37,"改善",IF(K44&lt;K37,"恶化","持平"))))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IF($A45="","",IF(ROW()&lt;=8,"基准周",IF(K45&gt;K38,"改善",IF(K45&lt;K38,"恶化","持平"))))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IF($A46="","",IF(ROW()&lt;=8,"基准周",IF(K46&gt;K39,"改善",IF(K46&lt;K39,"恶化","持平"))))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IF($A47="","",IF(ROW()&lt;=8,"基准周",IF(K47&gt;K40,"改善",IF(K47&lt;K40,"恶化","持平"))))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IF($A48="","",IF(ROW()&lt;=8,"基准周",IF(K48&gt;K41,"改善",IF(K48&lt;K41,"恶化","持平"))))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IF($A49="","",IF(ROW()&lt;=8,"基准周",IF(K49&gt;K42,"改善",IF(K49&lt;K42,"恶化","持平"))))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IF($A50="","",IF(ROW()&lt;=8,"基准周",IF(K50&gt;K43,"改善",IF(K50&lt;K43,"恶化","持平"))))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IF($A51="","",IF(ROW()&lt;=8,"基准周",IF(K51&gt;K44,"改善",IF(K51&lt;K44,"恶化","持平"))))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IF($A52="","",IF(ROW()&lt;=8,"基准周",IF(K52&gt;K45,"改善",IF(K52&lt;K45,"恶化","持平"))))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IF($A53="","",IF(ROW()&lt;=8,"基准周",IF(K53&gt;K46,"改善",IF(K53&lt;K46,"恶化","持平"))))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IF($A54="","",IF(ROW()&lt;=8,"基准周",IF(K54&gt;K47,"改善",IF(K54&lt;K47,"恶化","持平"))))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IF($A55="","",IF(ROW()&lt;=8,"基准周",IF(K55&gt;K48,"改善",IF(K55&lt;K48,"恶化","持平"))))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IF($A56="","",IF(ROW()&lt;=8,"基准周",IF(K56&gt;K49,"改善",IF(K56&lt;K49,"恶化","持平"))))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IF($A57="","",IF(ROW()&lt;=8,"基准周",IF(K57&gt;K50,"改善",IF(K57&lt;K50,"恶化","持平"))))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IF($A58="","",IF(ROW()&lt;=8,"基准周",IF(K58&gt;K51,"改善",IF(K58&lt;K51,"恶化","持平"))))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IF($A59="","",IF(ROW()&lt;=8,"基准周",IF(K59&gt;K52,"改善",IF(K59&lt;K52,"恶化","持平"))))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IF($A61="","",IF(ROW()&lt;=8,"基准周",IF(K61&gt;K54,"改善",IF(K61&lt;K54,"恶化","持平"))))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IF($A62="","",IF(ROW()&lt;=8,"基准周",IF(K62&gt;K55,"改善",IF(K62&lt;K55,"恶化","持平"))))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IF($A63="","",IF(ROW()&lt;=8,"基准周",IF(K63&gt;K56,"改善",IF(K63&lt;K56,"恶化","持平"))))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IF($A64="","",IF(ROW()&lt;=8,"基准周",IF(K64&gt;K57,"改善",IF(K64&lt;K57,"恶化","持平"))))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IF($A65="","",IF(ROW()&lt;=8,"基准周",IF(K65&gt;K58,"改善",IF(K65&lt;K58,"恶化","持平"))))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IF($A66="","",IF(ROW()&lt;=8,"基准周",IF(K66&gt;K59,"改善",IF(K66&lt;K59,"恶化","持平"))))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IF($A68="","",IF(ROW()&lt;=8,"基准周",IF(K68&gt;K61,"改善",IF(K68&lt;K61,"恶化","持平"))))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IF($A69="","",IF(ROW()&lt;=8,"基准周",IF(K69&gt;K62,"改善",IF(K69&lt;K62,"恶化","持平"))))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IF($A70="","",IF(ROW()&lt;=8,"基准周",IF(K70&gt;K63,"改善",IF(K70&lt;K63,"恶化","持平"))))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IF($A71="","",IF(ROW()&lt;=8,"基准周",IF(K71&gt;K64,"改善",IF(K71&lt;K64,"恶化","持平"))))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IF($A72="","",IF(ROW()&lt;=8,"基准周",IF(K72&gt;K65,"改善",IF(K72&lt;K65,"恶化","持平"))))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IF($A73="","",IF(ROW()&lt;=8,"基准周",IF(K73&gt;K66,"改善",IF(K73&lt;K66,"恶化","持平"))))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IF($A74="","",IF(ROW()&lt;=8,"基准周",IF(K74&gt;K67,"改善",IF(K74&lt;K67,"恶化","持平"))))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IF($A76="","",IF(ROW()&lt;=8,"基准周",IF(K76&gt;K69,"改善",IF(K76&lt;K69,"恶化","持平"))))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IF($A77="","",IF(ROW()&lt;=8,"基准周",IF(K77&gt;K70,"改善",IF(K77&lt;K70,"恶化","持平"))))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IF($A78="","",IF(ROW()&lt;=8,"基准周",IF(K78&gt;K71,"改善",IF(K78&lt;K71,"恶化","持平"))))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IF($A79="","",IF(ROW()&lt;=8,"基准周",IF(K79&gt;K72,"改善",IF(K79&lt;K72,"恶化","持平"))))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IF($A80="","",IF(ROW()&lt;=8,"基准周",IF(K80&gt;K73,"改善",IF(K80&lt;K73,"恶化","持平"))))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IF($A81="","",IF(ROW()&lt;=8,"基准周",IF(K81&gt;K74,"改善",IF(K81&lt;K74,"恶化","持平"))))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IF($A83="","",IF(ROW()&lt;=8,"基准周",IF(K83&gt;K76,"改善",IF(K83&lt;K76,"恶化","持平"))))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IF($A84="","",IF(ROW()&lt;=8,"基准周",IF(K84&gt;K77,"改善",IF(K84&lt;K77,"恶化","持平"))))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IF($A85="","",IF(ROW()&lt;=8,"基准周",IF(K85&gt;K78,"改善",IF(K85&lt;K78,"恶化","持平"))))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IF($A86="","",IF(ROW()&lt;=8,"基准周",IF(K86&gt;K79,"改善",IF(K86&lt;K79,"恶化","持平"))))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IF($A87="","",IF(ROW()&lt;=8,"基准周",IF(K87&gt;K80,"改善",IF(K87&lt;K80,"恶化","持平"))))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IF($A88="","",IF(ROW()&lt;=8,"基准周",IF(K88&gt;K81,"改善",IF(K88&lt;K81,"恶化","持平"))))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IF($A89="","",IF(ROW()&lt;=8,"基准周",IF(K89&gt;K82,"改善",IF(K89&lt;K82,"恶化","持平"))))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IF($A90="","",IF(ROW()&lt;=8,"基准周",IF(K90&gt;K83,"改善",IF(K90&lt;K83,"恶化","持平"))))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IF($A91="","",IF(ROW()&lt;=8,"基准周",IF(K91&gt;K84,"改善",IF(K91&lt;K84,"恶化","持平"))))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IF($A92="","",IF(ROW()&lt;=8,"基准周",IF(K92&gt;K85,"改善",IF(K92&lt;K85,"恶化","持平"))))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IF($A93="","",IF(ROW()&lt;=8,"基准周",IF(K93&gt;K86,"改善",IF(K93&lt;K86,"恶化","持平"))))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IF($A94="","",IF(ROW()&lt;=8,"基准周",IF(K94&gt;K87,"改善",IF(K94&lt;K87,"恶化","持平"))))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IF($A95="","",IF(ROW()&lt;=8,"基准周",IF(K95&gt;K88,"改善",IF(K95&lt;K88,"恶化","持平"))))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IF($A96="","",IF(ROW()&lt;=8,"基准周",IF(K96&gt;K89,"改善",IF(K96&lt;K89,"恶化","持平"))))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IF($A97="","",IF(ROW()&lt;=8,"基准周",IF(K97&gt;K90,"改善",IF(K97&lt;K90,"恶化","持平"))))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IF($A98="","",IF(ROW()&lt;=8,"基准周",IF(K98&gt;K91,"改善",IF(K98&lt;K91,"恶化","持平"))))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IF($A99="","",IF(ROW()&lt;=8,"基准周",IF(K99&gt;K92,"改善",IF(K99&lt;K92,"恶化","持平"))))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IF($A100="","",IF(ROW()&lt;=8,"基准周",IF(K100&gt;K93,"改善",IF(K100&lt;K93,"恶化","持平"))))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IF($A101="","",IF(ROW()&lt;=8,"基准周",IF(K101&gt;K94,"改善",IF(K101&lt;K94,"恶化","持平"))))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IF($A102="","",IF(ROW()&lt;=8,"基准周",IF(K102&gt;K95,"改善",IF(K102&lt;K95,"恶化","持平"))))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IF($A103="","",IF(ROW()&lt;=8,"基准周",IF(K103&gt;K96,"改善",IF(K103&lt;K96,"恶化","持平"))))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IF($A104="","",IF(ROW()&lt;=8,"基准周",IF(K104&gt;K97,"改善",IF(K104&lt;K97,"恶化","持平"))))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IF($A105="","",IF(ROW()&lt;=8,"基准周",IF(K105&gt;K98,"改善",IF(K105&lt;K98,"恶化","持平"))))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IF($A106="","",IF(ROW()&lt;=8,"基准周",IF(K106&gt;K99,"改善",IF(K106&lt;K99,"恶化","持平"))))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IF($A107="","",IF(ROW()&lt;=8,"基准周",IF(K107&gt;K100,"改善",IF(K107&lt;K100,"恶化","持平"))))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IF($A108="","",IF(ROW()&lt;=8,"基准周",IF(K108&gt;K101,"改善",IF(K108&lt;K101,"恶化","持平"))))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IF($A109="","",IF(ROW()&lt;=8,"基准周",IF(K109&gt;K102,"改善",IF(K109&lt;K102,"恶化","持平"))))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IF($A110="","",IF(ROW()&lt;=8,"基准周",IF(K110&gt;K103,"改善",IF(K110&lt;K103,"恶化","持平"))))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IF($A111="","",IF(ROW()&lt;=8,"基准周",IF(K111&gt;K104,"改善",IF(K111&lt;K104,"恶化","持平"))))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IF($A112="","",IF(ROW()&lt;=8,"基准周",IF(K112&gt;K105,"改善",IF(K112&lt;K105,"恶化","持平"))))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IF($A113="","",IF(ROW()&lt;=8,"基准周",IF(K113&gt;K106,"改善",IF(K113&lt;K106,"恶化","持平"))))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IF($A114="","",IF(ROW()&lt;=8,"基准周",IF(K114&gt;K107,"改善",IF(K114&lt;K107,"恶化","持平"))))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IF($A115="","",IF(ROW()&lt;=8,"基准周",IF(K115&gt;K108,"改善",IF(K115&lt;K108,"恶化","持平"))))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IF($A116="","",IF(ROW()&lt;=8,"基准周",IF(K116&gt;K109,"改善",IF(K116&lt;K109,"恶化","持平"))))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IF($A117="","",IF(ROW()&lt;=8,"基准周",IF(K117&gt;K110,"改善",IF(K117&lt;K110,"恶化","持平"))))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IF($A118="","",IF(ROW()&lt;=8,"基准周",IF(K118&gt;K111,"改善",IF(K118&lt;K111,"恶化","持平"))))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IF($A119="","",IF(ROW()&lt;=8,"基准周",IF(K119&gt;K112,"改善",IF(K119&lt;K112,"恶化","持平"))))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IF($A120="","",IF(ROW()&lt;=8,"基准周",IF(K120&gt;K113,"改善",IF(K120&lt;K113,"恶化","持平"))))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IF($A121="","",IF(ROW()&lt;=8,"基准周",IF(K121&gt;K114,"改善",IF(K121&lt;K114,"恶化","持平"))))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IF($A122="","",IF(ROW()&lt;=8,"基准周",IF(K122&gt;K115,"改善",IF(K122&lt;K115,"恶化","持平"))))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IF($A123="","",IF(ROW()&lt;=8,"基准周",IF(K123&gt;K116,"改善",IF(K123&lt;K116,"恶化","持平"))))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IF($A124="","",IF(ROW()&lt;=8,"基准周",IF(K124&gt;K117,"改善",IF(K124&lt;K117,"恶化","持平"))))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IF($A125="","",IF(ROW()&lt;=8,"基准周",IF(K125&gt;K118,"改善",IF(K125&lt;K118,"恶化","持平"))))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IF($A126="","",IF(ROW()&lt;=8,"基准周",IF(K126&gt;K119,"改善",IF(K126&lt;K119,"恶化","持平"))))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IF($A127="","",IF(ROW()&lt;=8,"基准周",IF(K127&gt;K120,"改善",IF(K127&lt;K120,"恶化","持平"))))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IF($A128="","",IF(ROW()&lt;=8,"基准周",IF(K128&gt;K121,"改善",IF(K128&lt;K121,"恶化","持平"))))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IF($A129="","",IF(ROW()&lt;=8,"基准周",IF(K129&gt;K122,"改善",IF(K129&lt;K122,"恶化","持平"))))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IF($A130="","",IF(ROW()&lt;=8,"基准周",IF(K130&gt;K123,"改善",IF(K130&lt;K123,"恶化","持平"))))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IF($A131="","",IF(ROW()&lt;=8,"基准周",IF(K131&gt;K124,"改善",IF(K131&lt;K124,"恶化","持平"))))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IF($A132="","",IF(ROW()&lt;=8,"基准周",IF(K132&gt;K125,"改善",IF(K132&lt;K125,"恶化","持平"))))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IF($A133="","",IF(ROW()&lt;=8,"基准周",IF(K133&gt;K126,"改善",IF(K133&lt;K126,"恶化","持平"))))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IF($A134="","",IF(ROW()&lt;=8,"基准周",IF(K134&gt;K127,"改善",IF(K134&lt;K127,"恶化","持平"))))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IF($A135="","",IF(ROW()&lt;=8,"基准周",IF(K135&gt;K128,"改善",IF(K135&lt;K128,"恶化","持平"))))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IF($A136="","",IF(ROW()&lt;=8,"基准周",IF(K136&gt;K129,"改善",IF(K136&lt;K129,"恶化","持平"))))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IF($A137="","",IF(ROW()&lt;=8,"基准周",IF(K137&gt;K130,"改善",IF(K137&lt;K130,"恶化","持平"))))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IF($A138="","",IF(ROW()&lt;=8,"基准周",IF(K138&gt;K131,"改善",IF(K138&lt;K131,"恶化","持平"))))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IF($A139="","",IF(ROW()&lt;=8,"基准周",IF(K139&gt;K132,"改善",IF(K139&lt;K132,"恶化","持平"))))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IF($A140="","",IF(ROW()&lt;=8,"基准周",IF(K140&gt;K133,"改善",IF(K140&lt;K133,"恶化","持平"))))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IF($A141="","",IF(ROW()&lt;=8,"基准周",IF(K141&gt;K134,"改善",IF(K141&lt;K134,"恶化","持平"))))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IF($A142="","",IF(ROW()&lt;=8,"基准周",IF(K142&gt;K135,"改善",IF(K142&lt;K135,"恶化","持平"))))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IF($A143="","",IF(ROW()&lt;=8,"基准周",IF(K143&gt;K136,"改善",IF(K143&lt;K136,"恶化","持平"))))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IF($A144="","",IF(ROW()&lt;=8,"基准周",IF(K144&gt;K137,"改善",IF(K144&lt;K137,"恶化","持平"))))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IF($A145="","",IF(ROW()&lt;=8,"基准周",IF(K145&gt;K138,"改善",IF(K145&lt;K138,"恶化","持平"))))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IF($A146="","",IF(ROW()&lt;=8,"基准周",IF(K146&gt;K139,"改善",IF(K146&lt;K139,"恶化","持平"))))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IF($A147="","",IF(ROW()&lt;=8,"基准周",IF(K147&gt;K140,"改善",IF(K147&lt;K140,"恶化","持平"))))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IF($A148="","",IF(ROW()&lt;=8,"基准周",IF(K148&gt;K141,"改善",IF(K148&lt;K141,"恶化","持平"))))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IF($A149="","",IF(ROW()&lt;=8,"基准周",IF(K149&gt;K142,"改善",IF(K149&lt;K142,"恶化","持平"))))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IF($A150="","",IF(ROW()&lt;=8,"基准周",IF(K150&gt;K143,"改善",IF(K150&lt;K143,"恶化","持平"))))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IF($A151="","",IF(ROW()&lt;=8,"基准周",IF(K151&gt;K144,"改善",IF(K151&lt;K144,"恶化","持平"))))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IF($A152="","",IF(ROW()&lt;=8,"基准周",IF(K152&gt;K145,"改善",IF(K152&lt;K145,"恶化","持平"))))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IF($A153="","",IF(ROW()&lt;=8,"基准周",IF(K153&gt;K146,"改善",IF(K153&lt;K146,"恶化","持平"))))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IF($A154="","",IF(ROW()&lt;=8,"基准周",IF(K154&gt;K147,"改善",IF(K154&lt;K147,"恶化","持平"))))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IF($A155="","",IF(ROW()&lt;=8,"基准周",IF(K155&gt;K148,"改善",IF(K155&lt;K148,"恶化","持平"))))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IF($A156="","",IF(ROW()&lt;=8,"基准周",IF(K156&gt;K149,"改善",IF(K156&lt;K149,"恶化","持平"))))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IF($A157="","",IF(ROW()&lt;=8,"基准周",IF(K157&gt;K150,"改善",IF(K157&lt;K150,"恶化","持平"))))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IF($A158="","",IF(ROW()&lt;=8,"基准周",IF(K158&gt;K151,"改善",IF(K158&lt;K151,"恶化","持平"))))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IF($A159="","",IF(ROW()&lt;=8,"基准周",IF(K159&gt;K152,"改善",IF(K159&lt;K152,"恶化","持平"))))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IF($A161="","",IF(ROW()&lt;=8,"基准周",IF(K161&gt;K154,"改善",IF(K161&lt;K154,"恶化","持平"))))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IF($A162="","",IF(ROW()&lt;=8,"基准周",IF(K162&gt;K155,"改善",IF(K162&lt;K155,"恶化","持平"))))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IF($A163="","",IF(ROW()&lt;=8,"基准周",IF(K163&gt;K156,"改善",IF(K163&lt;K156,"恶化","持平"))))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IF($A164="","",IF(ROW()&lt;=8,"基准周",IF(K164&gt;K157,"改善",IF(K164&lt;K157,"恶化","持平"))))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IF($A165="","",IF(ROW()&lt;=8,"基准周",IF(K165&gt;K158,"改善",IF(K165&lt;K158,"恶化","持平"))))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IF($A166="","",IF(ROW()&lt;=8,"基准周",IF(K166&gt;K159,"改善",IF(K166&lt;K159,"恶化","持平"))))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IF($A168="","",IF(ROW()&lt;=8,"基准周",IF(K168&gt;K161,"改善",IF(K168&lt;K161,"恶化","持平"))))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IF($A169="","",IF(ROW()&lt;=8,"基准周",IF(K169&gt;K162,"改善",IF(K169&lt;K162,"恶化","持平"))))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IF($A170="","",IF(ROW()&lt;=8,"基准周",IF(K170&gt;K163,"改善",IF(K170&lt;K163,"恶化","持平"))))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IF($A171="","",IF(ROW()&lt;=8,"基准周",IF(K171&gt;K164,"改善",IF(K171&lt;K164,"恶化","持平"))))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IF($A172="","",IF(ROW()&lt;=8,"基准周",IF(K172&gt;K165,"改善",IF(K172&lt;K165,"恶化","持平"))))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IF($A173="","",IF(ROW()&lt;=8,"基准周",IF(K173&gt;K166,"改善",IF(K173&lt;K166,"恶化","持平"))))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IF($A174="","",IF(ROW()&lt;=8,"基准周",IF(K174&gt;K167,"改善",IF(K174&lt;K167,"恶化","持平"))))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IF($A176="","",IF(ROW()&lt;=8,"基准周",IF(K176&gt;K169,"改善",IF(K176&lt;K169,"恶化","持平"))))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IF($A177="","",IF(ROW()&lt;=8,"基准周",IF(K177&gt;K170,"改善",IF(K177&lt;K170,"恶化","持平"))))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IF($A178="","",IF(ROW()&lt;=8,"基准周",IF(K178&gt;K171,"改善",IF(K178&lt;K171,"恶化","持平"))))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IF($A179="","",IF(ROW()&lt;=8,"基准周",IF(K179&gt;K172,"改善",IF(K179&lt;K172,"恶化","持平"))))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IF($A180="","",IF(ROW()&lt;=8,"基准周",IF(K180&gt;K173,"改善",IF(K180&lt;K173,"恶化","持平"))))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IF($A181="","",IF(ROW()&lt;=8,"基准周",IF(K181&gt;K174,"改善",IF(K181&lt;K174,"恶化","持平"))))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IF($A183="","",IF(ROW()&lt;=8,"基准周",IF(K183&gt;K176,"改善",IF(K183&lt;K176,"恶化","持平"))))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IF($A184="","",IF(ROW()&lt;=8,"基准周",IF(K184&gt;K177,"改善",IF(K184&lt;K177,"恶化","持平"))))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IF($A185="","",IF(ROW()&lt;=8,"基准周",IF(K185&gt;K178,"改善",IF(K185&lt;K178,"恶化","持平"))))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IF($A186="","",IF(ROW()&lt;=8,"基准周",IF(K186&gt;K179,"改善",IF(K186&lt;K179,"恶化","持平"))))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IF($A187="","",IF(ROW()&lt;=8,"基准周",IF(K187&gt;K180,"改善",IF(K187&lt;K180,"恶化","持平"))))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IF($A188="","",IF(ROW()&lt;=8,"基准周",IF(K188&gt;K181,"改善",IF(K188&lt;K181,"恶化","持平"))))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IF($A189="","",IF(ROW()&lt;=8,"基准周",IF(K189&gt;K182,"改善",IF(K189&lt;K182,"恶化","持平"))))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IF($A190="","",IF(ROW()&lt;=8,"基准周",IF(K190&gt;K183,"改善",IF(K190&lt;K183,"恶化","持平"))))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IF($A191="","",IF(ROW()&lt;=8,"基准周",IF(K191&gt;K184,"改善",IF(K191&lt;K184,"恶化","持平"))))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IF($A192="","",IF(ROW()&lt;=8,"基准周",IF(K192&gt;K185,"改善",IF(K192&lt;K185,"恶化","持平"))))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IF($A193="","",IF(ROW()&lt;=8,"基准周",IF(K193&gt;K186,"改善",IF(K193&lt;K186,"恶化","持平"))))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IF($A194="","",IF(ROW()&lt;=8,"基准周",IF(K194&gt;K187,"改善",IF(K194&lt;K187,"恶化","持平"))))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IF($A195="","",IF(ROW()&lt;=8,"基准周",IF(K195&gt;K188,"改善",IF(K195&lt;K188,"恶化","持平"))))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IF($A196="","",IF(ROW()&lt;=8,"基准周",IF(K196&gt;K189,"改善",IF(K196&lt;K189,"恶化","持平"))))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IF($A197="","",IF(ROW()&lt;=8,"基准周",IF(K197&gt;K190,"改善",IF(K197&lt;K190,"恶化","持平"))))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IF($A198="","",IF(ROW()&lt;=8,"基准周",IF(K198&gt;K191,"改善",IF(K198&lt;K191,"恶化","持平"))))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IF($A199="","",IF(ROW()&lt;=8,"基准周",IF(K199&gt;K192,"改善",IF(K199&lt;K192,"恶化","持平"))))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IF($A200="","",IF(ROW()&lt;=8,"基准周",IF(K200&gt;K193,"改善",IF(K200&lt;K193,"恶化","持平"))))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IF($A201="","",IF(ROW()&lt;=8,"基准周",IF(K201&gt;K194,"改善",IF(K201&lt;K194,"恶化","持平"))))</f>
        <v/>
      </c>
    </row>
    <row r="203" customFormat="false" ht="15" hidden="false" customHeight="true" outlineLevel="0" collapsed="false">
      <c r="A203" s="85" t="s">
        <v>576</v>
      </c>
    </row>
    <row r="204" customFormat="false" ht="15" hidden="false" customHeight="true" outlineLevel="0" collapsed="false">
      <c r="A204" s="86" t="s">
        <v>577</v>
      </c>
      <c r="B204" s="87" t="n">
        <f aca="false">COUNTA(A2:A200)</f>
        <v>3</v>
      </c>
      <c r="C204" s="87"/>
    </row>
    <row r="205" customFormat="false" ht="15" hidden="false" customHeight="true" outlineLevel="0" collapsed="false">
      <c r="A205" s="86" t="s">
        <v>578</v>
      </c>
      <c r="B205" s="87" t="n">
        <f aca="false">COUNTIF(L2:L200,"达标")</f>
        <v>0</v>
      </c>
      <c r="C205" s="87"/>
    </row>
    <row r="206" customFormat="false" ht="15" hidden="false" customHeight="true" outlineLevel="0" collapsed="false">
      <c r="A206" s="86" t="s">
        <v>579</v>
      </c>
      <c r="B206" s="87" t="n">
        <f aca="false">IFERROR(B205/B204,0)</f>
        <v>0</v>
      </c>
      <c r="C206" s="87"/>
    </row>
    <row r="207" customFormat="false" ht="15" hidden="false" customHeight="true" outlineLevel="0" collapsed="false">
      <c r="A207" s="86" t="s">
        <v>580</v>
      </c>
      <c r="B207" s="87" t="n">
        <f aca="false">IFERROR(AVERAGE(K2:K200),0)</f>
        <v>50</v>
      </c>
      <c r="C207" s="87"/>
    </row>
    <row r="208" customFormat="false" ht="15" hidden="false" customHeight="true" outlineLevel="0" collapsed="false">
      <c r="A208" s="86" t="s">
        <v>581</v>
      </c>
      <c r="B208" s="87" t="n">
        <f aca="false">IFERROR(MAX(K2:K200),0)</f>
        <v>70</v>
      </c>
      <c r="C208" s="87"/>
    </row>
    <row r="209" customFormat="false" ht="15" hidden="false" customHeight="true" outlineLevel="0" collapsed="false">
      <c r="A209" s="86" t="s">
        <v>582</v>
      </c>
      <c r="B209" s="87" t="n">
        <f aca="false">IFERROR(MIN(K2:K200),0)</f>
        <v>10</v>
      </c>
      <c r="C209" s="87"/>
    </row>
    <row r="210" customFormat="false" ht="15" hidden="false" customHeight="true" outlineLevel="0" collapsed="false">
      <c r="A210" s="86" t="s">
        <v>583</v>
      </c>
      <c r="B210" s="87" t="str">
        <f aca="false">IFERROR(O200,0)</f>
        <v/>
      </c>
      <c r="C210" s="87"/>
    </row>
    <row r="211" customFormat="false" ht="15" hidden="false" customHeight="true" outlineLevel="0" collapsed="false">
      <c r="A211" s="86" t="s">
        <v>584</v>
      </c>
      <c r="B211" s="87" t="n">
        <f aca="false">IFERROR(MAX(O2:O200),0)</f>
        <v>0</v>
      </c>
      <c r="C211" s="87"/>
    </row>
    <row r="212" customFormat="false" ht="15" hidden="false" customHeight="true" outlineLevel="0" collapsed="false">
      <c r="A212" s="86" t="s">
        <v>585</v>
      </c>
      <c r="B212" s="87" t="n">
        <f aca="false">IFERROR(AVERAGE(B2:B200),0)</f>
        <v>4</v>
      </c>
      <c r="C212" s="87"/>
    </row>
    <row r="213" customFormat="false" ht="15" hidden="false" customHeight="true" outlineLevel="0" collapsed="false">
      <c r="A213" s="86" t="s">
        <v>586</v>
      </c>
      <c r="B213" s="87" t="n">
        <f aca="false">COUNTIF(C2:C200,"是")</f>
        <v>0</v>
      </c>
      <c r="C213" s="87"/>
    </row>
    <row r="214" customFormat="false" ht="15" hidden="false" customHeight="true" outlineLevel="0" collapsed="false">
      <c r="A214" s="86" t="s">
        <v>587</v>
      </c>
      <c r="B214" s="87" t="n">
        <f aca="false">COUNTIF(D2:D200,"否")</f>
        <v>0</v>
      </c>
      <c r="C214" s="87"/>
    </row>
    <row r="215" customFormat="false" ht="15" hidden="false" customHeight="true" outlineLevel="0" collapsed="false">
      <c r="A215" s="86" t="s">
        <v>588</v>
      </c>
      <c r="B215" s="87" t="n">
        <f aca="false">COUNTIF(F2:F200,"是")</f>
        <v>0</v>
      </c>
      <c r="C215" s="87"/>
    </row>
    <row r="216" customFormat="false" ht="15" hidden="false" customHeight="true" outlineLevel="0" collapsed="false">
      <c r="A216" s="86" t="s">
        <v>589</v>
      </c>
      <c r="B216" s="87" t="n">
        <f aca="false">IFERROR(AVERAGE(E2:E200),0)</f>
        <v>3</v>
      </c>
      <c r="C216" s="87"/>
    </row>
    <row r="217" customFormat="false" ht="15" hidden="false" customHeight="true" outlineLevel="0" collapsed="false">
      <c r="A217" s="90" t="s">
        <v>590</v>
      </c>
      <c r="B217" s="90" t="str">
        <f aca="false">IF(B207&gt;=80,"轻态 ✅",IF(B207&gt;=60,"改善中 ⚠️","需调整 ❌"))</f>
        <v>需调整 ❌</v>
      </c>
      <c r="C217" s="87"/>
    </row>
    <row r="220" customFormat="false" ht="15" hidden="false" customHeight="true" outlineLevel="0" collapsed="false">
      <c r="A220" s="104" t="s">
        <v>591</v>
      </c>
    </row>
    <row r="221" customFormat="false" ht="15" hidden="false" customHeight="true" outlineLevel="0" collapsed="false">
      <c r="A221" s="105" t="s">
        <v>592</v>
      </c>
    </row>
    <row r="222" customFormat="false" ht="15" hidden="false" customHeight="true" outlineLevel="0" collapsed="false">
      <c r="A222" s="105" t="s">
        <v>593</v>
      </c>
    </row>
    <row r="223" customFormat="false" ht="15" hidden="false" customHeight="true" outlineLevel="0" collapsed="false">
      <c r="A223" s="105" t="s">
        <v>594</v>
      </c>
    </row>
    <row r="224" customFormat="false" ht="15" hidden="false" customHeight="true" outlineLevel="0" collapsed="false">
      <c r="A224" s="105" t="s">
        <v>595</v>
      </c>
    </row>
    <row r="225" customFormat="false" ht="15" hidden="false" customHeight="true" outlineLevel="0" collapsed="false">
      <c r="A225" s="105" t="s">
        <v>596</v>
      </c>
    </row>
    <row r="226" customFormat="false" ht="15" hidden="false" customHeight="true" outlineLevel="0" collapsed="false">
      <c r="A226" s="106" t="s">
        <v>597</v>
      </c>
    </row>
  </sheetData>
  <autoFilter ref="A1:P201"/>
  <conditionalFormatting sqref="L2:L201">
    <cfRule type="expression" priority="2" aboveAverage="0" equalAverage="0" bottom="0" percent="0" rank="0" text="" dxfId="6">
      <formula>$L2="达标"</formula>
    </cfRule>
    <cfRule type="expression" priority="3" aboveAverage="0" equalAverage="0" bottom="0" percent="0" rank="0" text="" dxfId="7">
      <formula>$L2="未达标"</formula>
    </cfRule>
  </conditionalFormatting>
  <conditionalFormatting sqref="K2:K201">
    <cfRule type="cellIs" priority="4" operator="greaterThanOrEqual" aboveAverage="0" equalAverage="0" bottom="0" percent="0" rank="0" text="" dxfId="21">
      <formula>80</formula>
    </cfRule>
    <cfRule type="cellIs" priority="5" operator="lessThan" aboveAverage="0" equalAverage="0" bottom="0" percent="0" rank="0" text="" dxfId="22">
      <formula>40</formula>
    </cfRule>
  </conditionalFormatting>
  <conditionalFormatting sqref="P2:P201">
    <cfRule type="expression" priority="6" aboveAverage="0" equalAverage="0" bottom="0" percent="0" rank="0" text="" dxfId="11">
      <formula>$P2="改善"</formula>
    </cfRule>
    <cfRule type="expression" priority="7" aboveAverage="0" equalAverage="0" bottom="0" percent="0" rank="0" text="" dxfId="7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2" t="s">
        <v>598</v>
      </c>
      <c r="B1" s="2" t="s">
        <v>599</v>
      </c>
      <c r="C1" s="2" t="s">
        <v>600</v>
      </c>
      <c r="D1" s="2" t="s">
        <v>601</v>
      </c>
      <c r="E1" s="2" t="s">
        <v>602</v>
      </c>
      <c r="F1" s="2" t="s">
        <v>603</v>
      </c>
      <c r="G1" s="2" t="s">
        <v>604</v>
      </c>
      <c r="H1" s="2" t="s">
        <v>605</v>
      </c>
      <c r="I1" s="2" t="s">
        <v>606</v>
      </c>
      <c r="J1" s="2" t="s">
        <v>607</v>
      </c>
      <c r="K1" s="2" t="s">
        <v>608</v>
      </c>
      <c r="L1" s="2" t="s">
        <v>609</v>
      </c>
      <c r="M1" s="2" t="s">
        <v>610</v>
      </c>
      <c r="N1" s="2" t="s">
        <v>611</v>
      </c>
      <c r="O1" s="2" t="s">
        <v>612</v>
      </c>
      <c r="P1" s="2" t="s">
        <v>613</v>
      </c>
      <c r="Q1" s="2" t="s">
        <v>614</v>
      </c>
      <c r="R1" s="2" t="s">
        <v>615</v>
      </c>
      <c r="S1" s="2" t="s">
        <v>616</v>
      </c>
      <c r="T1" s="2" t="s">
        <v>617</v>
      </c>
      <c r="U1" s="2" t="s">
        <v>618</v>
      </c>
      <c r="V1" s="2" t="s">
        <v>6</v>
      </c>
      <c r="W1" s="107" t="s">
        <v>619</v>
      </c>
      <c r="X1" s="107" t="s">
        <v>620</v>
      </c>
      <c r="Y1" s="107" t="s">
        <v>621</v>
      </c>
      <c r="Z1" s="107" t="s">
        <v>622</v>
      </c>
      <c r="AA1" s="107" t="s">
        <v>623</v>
      </c>
      <c r="AB1" s="107" t="s">
        <v>624</v>
      </c>
      <c r="AC1" s="107" t="s">
        <v>625</v>
      </c>
      <c r="AD1" s="107" t="s">
        <v>626</v>
      </c>
      <c r="AE1" s="107" t="s">
        <v>627</v>
      </c>
      <c r="AF1" s="107" t="s">
        <v>628</v>
      </c>
      <c r="AG1" s="107" t="s">
        <v>629</v>
      </c>
      <c r="AH1" s="107" t="s">
        <v>630</v>
      </c>
    </row>
    <row r="2" customFormat="false" ht="15" hidden="false" customHeight="true" outlineLevel="0" collapsed="false">
      <c r="A2" s="13" t="s">
        <v>631</v>
      </c>
      <c r="B2" s="17" t="n">
        <v>20326.12</v>
      </c>
      <c r="C2" s="17" t="n">
        <v>20842.32</v>
      </c>
      <c r="D2" s="19" t="n">
        <v>0.0253958945435725</v>
      </c>
      <c r="E2" s="17" t="n">
        <v>21004.83</v>
      </c>
      <c r="F2" s="17" t="n">
        <v>20326.12</v>
      </c>
      <c r="G2" s="19" t="n">
        <v>0.00773679196641925</v>
      </c>
      <c r="H2" s="20" t="n">
        <v>7</v>
      </c>
      <c r="I2" s="20" t="n">
        <v>2</v>
      </c>
      <c r="J2" s="20" t="n">
        <v>0</v>
      </c>
      <c r="K2" s="6" t="s">
        <v>632</v>
      </c>
      <c r="L2" s="20" t="n">
        <v>0</v>
      </c>
      <c r="M2" s="20" t="n">
        <v>2.9</v>
      </c>
      <c r="N2" s="20" t="n">
        <v>2</v>
      </c>
      <c r="O2" s="6" t="s">
        <v>633</v>
      </c>
      <c r="P2" s="6" t="s">
        <v>634</v>
      </c>
      <c r="Q2" s="6" t="s">
        <v>635</v>
      </c>
      <c r="R2" s="5" t="s">
        <v>301</v>
      </c>
      <c r="S2" s="22" t="s">
        <v>213</v>
      </c>
      <c r="T2" s="5" t="s">
        <v>301</v>
      </c>
      <c r="U2" s="6" t="s">
        <v>636</v>
      </c>
      <c r="V2" s="6" t="s">
        <v>637</v>
      </c>
      <c r="W2" s="108" t="s">
        <v>638</v>
      </c>
      <c r="X2" s="108" t="s">
        <v>639</v>
      </c>
      <c r="Y2" s="108" t="s">
        <v>640</v>
      </c>
      <c r="Z2" s="109" t="s">
        <v>641</v>
      </c>
      <c r="AA2" s="110" t="s">
        <v>642</v>
      </c>
      <c r="AB2" s="110" t="n">
        <v>8.38</v>
      </c>
      <c r="AC2" s="110" t="s">
        <v>643</v>
      </c>
      <c r="AD2" s="109" t="s">
        <v>644</v>
      </c>
      <c r="AE2" s="110" t="s">
        <v>645</v>
      </c>
      <c r="AF2" s="109" t="s">
        <v>646</v>
      </c>
      <c r="AG2" s="109" t="s">
        <v>647</v>
      </c>
      <c r="AH2" s="109" t="s">
        <v>648</v>
      </c>
    </row>
    <row r="3" customFormat="false" ht="15" hidden="false" customHeight="true" outlineLevel="0" collapsed="false">
      <c r="A3" s="9"/>
      <c r="B3" s="26"/>
      <c r="C3" s="26"/>
      <c r="D3" s="19"/>
      <c r="E3" s="26"/>
      <c r="F3" s="26"/>
      <c r="G3" s="19"/>
      <c r="H3" s="27"/>
      <c r="I3" s="27"/>
      <c r="J3" s="27"/>
      <c r="K3" s="9"/>
      <c r="L3" s="27"/>
      <c r="M3" s="27"/>
      <c r="N3" s="27"/>
      <c r="O3" s="14"/>
      <c r="P3" s="9"/>
      <c r="Q3" s="9"/>
      <c r="R3" s="5"/>
      <c r="S3" s="28"/>
      <c r="T3" s="5"/>
      <c r="U3" s="9"/>
      <c r="V3" s="9"/>
    </row>
    <row r="4" customFormat="false" ht="15" hidden="false" customHeight="true" outlineLevel="0" collapsed="false">
      <c r="A4" s="6"/>
      <c r="B4" s="17"/>
      <c r="C4" s="17"/>
      <c r="D4" s="19"/>
      <c r="E4" s="17"/>
      <c r="F4" s="17"/>
      <c r="G4" s="19"/>
      <c r="H4" s="20"/>
      <c r="I4" s="20"/>
      <c r="J4" s="20"/>
      <c r="K4" s="6"/>
      <c r="L4" s="20"/>
      <c r="M4" s="20"/>
      <c r="N4" s="20"/>
      <c r="O4" s="6"/>
      <c r="P4" s="6"/>
      <c r="Q4" s="6"/>
      <c r="R4" s="5"/>
      <c r="S4" s="22"/>
      <c r="T4" s="5"/>
      <c r="U4" s="6"/>
      <c r="V4" s="6"/>
    </row>
    <row r="5" customFormat="false" ht="15" hidden="false" customHeight="true" outlineLevel="0" collapsed="false">
      <c r="A5" s="9"/>
      <c r="B5" s="26"/>
      <c r="C5" s="26"/>
      <c r="D5" s="19"/>
      <c r="E5" s="26"/>
      <c r="F5" s="26"/>
      <c r="G5" s="19"/>
      <c r="H5" s="27"/>
      <c r="I5" s="27"/>
      <c r="J5" s="27"/>
      <c r="K5" s="9"/>
      <c r="L5" s="27"/>
      <c r="M5" s="27"/>
      <c r="N5" s="27"/>
      <c r="O5" s="14"/>
      <c r="P5" s="9"/>
      <c r="Q5" s="9"/>
      <c r="R5" s="5"/>
      <c r="S5" s="28"/>
      <c r="T5" s="5"/>
      <c r="U5" s="9"/>
      <c r="V5" s="9"/>
    </row>
    <row r="6" customFormat="false" ht="15" hidden="false" customHeight="true" outlineLevel="0" collapsed="false">
      <c r="A6" s="6"/>
      <c r="B6" s="17"/>
      <c r="C6" s="17"/>
      <c r="D6" s="19"/>
      <c r="E6" s="17"/>
      <c r="F6" s="17"/>
      <c r="G6" s="19"/>
      <c r="H6" s="20"/>
      <c r="I6" s="20"/>
      <c r="J6" s="20"/>
      <c r="K6" s="6"/>
      <c r="L6" s="20"/>
      <c r="M6" s="20"/>
      <c r="N6" s="20"/>
      <c r="O6" s="6"/>
      <c r="P6" s="6"/>
      <c r="Q6" s="6"/>
      <c r="R6" s="5"/>
      <c r="S6" s="22"/>
      <c r="T6" s="5"/>
      <c r="U6" s="6"/>
      <c r="V6" s="6"/>
    </row>
    <row r="7" customFormat="false" ht="15" hidden="false" customHeight="true" outlineLevel="0" collapsed="false">
      <c r="A7" s="9"/>
      <c r="B7" s="26"/>
      <c r="C7" s="26"/>
      <c r="D7" s="19"/>
      <c r="E7" s="26"/>
      <c r="F7" s="26"/>
      <c r="G7" s="19"/>
      <c r="H7" s="27"/>
      <c r="I7" s="27"/>
      <c r="J7" s="27"/>
      <c r="K7" s="9"/>
      <c r="L7" s="27"/>
      <c r="M7" s="27"/>
      <c r="N7" s="27"/>
      <c r="O7" s="14"/>
      <c r="P7" s="9"/>
      <c r="Q7" s="9"/>
      <c r="R7" s="5"/>
      <c r="S7" s="28"/>
      <c r="T7" s="5"/>
      <c r="U7" s="9"/>
      <c r="V7" s="9"/>
    </row>
    <row r="8" customFormat="false" ht="15" hidden="false" customHeight="true" outlineLevel="0" collapsed="false">
      <c r="A8" s="6"/>
      <c r="B8" s="17"/>
      <c r="C8" s="17"/>
      <c r="D8" s="19"/>
      <c r="E8" s="17"/>
      <c r="F8" s="17"/>
      <c r="G8" s="19"/>
      <c r="H8" s="20"/>
      <c r="I8" s="20"/>
      <c r="J8" s="20"/>
      <c r="K8" s="6"/>
      <c r="L8" s="20"/>
      <c r="M8" s="20"/>
      <c r="N8" s="20"/>
      <c r="O8" s="6"/>
      <c r="P8" s="6"/>
      <c r="Q8" s="6"/>
      <c r="R8" s="5"/>
      <c r="S8" s="22"/>
      <c r="T8" s="5"/>
      <c r="U8" s="6"/>
      <c r="V8" s="6"/>
    </row>
    <row r="9" customFormat="false" ht="15" hidden="false" customHeight="true" outlineLevel="0" collapsed="false">
      <c r="A9" s="9"/>
      <c r="B9" s="26"/>
      <c r="C9" s="26"/>
      <c r="D9" s="19"/>
      <c r="E9" s="26"/>
      <c r="F9" s="26"/>
      <c r="G9" s="19"/>
      <c r="H9" s="27"/>
      <c r="I9" s="27"/>
      <c r="J9" s="27"/>
      <c r="K9" s="9"/>
      <c r="L9" s="27"/>
      <c r="M9" s="27"/>
      <c r="N9" s="27"/>
      <c r="O9" s="14"/>
      <c r="P9" s="9"/>
      <c r="Q9" s="9"/>
      <c r="R9" s="5"/>
      <c r="S9" s="28"/>
      <c r="T9" s="5"/>
      <c r="U9" s="9"/>
      <c r="V9" s="9"/>
    </row>
    <row r="10" customFormat="false" ht="15" hidden="false" customHeight="true" outlineLevel="0" collapsed="false">
      <c r="A10" s="6"/>
      <c r="B10" s="17"/>
      <c r="C10" s="17"/>
      <c r="D10" s="19"/>
      <c r="E10" s="17"/>
      <c r="F10" s="17"/>
      <c r="G10" s="19"/>
      <c r="H10" s="20"/>
      <c r="I10" s="20"/>
      <c r="J10" s="20"/>
      <c r="K10" s="6"/>
      <c r="L10" s="20"/>
      <c r="M10" s="20"/>
      <c r="N10" s="20"/>
      <c r="O10" s="6"/>
      <c r="P10" s="6"/>
      <c r="Q10" s="6"/>
      <c r="R10" s="5"/>
      <c r="S10" s="22"/>
      <c r="T10" s="5"/>
      <c r="U10" s="6"/>
      <c r="V10" s="6"/>
    </row>
    <row r="11" customFormat="false" ht="15" hidden="false" customHeight="true" outlineLevel="0" collapsed="false">
      <c r="A11" s="9"/>
      <c r="B11" s="26"/>
      <c r="C11" s="26"/>
      <c r="D11" s="19"/>
      <c r="E11" s="26"/>
      <c r="F11" s="26"/>
      <c r="G11" s="19"/>
      <c r="H11" s="27"/>
      <c r="I11" s="27"/>
      <c r="J11" s="27"/>
      <c r="K11" s="9"/>
      <c r="L11" s="27"/>
      <c r="M11" s="27"/>
      <c r="N11" s="27"/>
      <c r="O11" s="14"/>
      <c r="P11" s="9"/>
      <c r="Q11" s="9"/>
      <c r="R11" s="5"/>
      <c r="S11" s="28"/>
      <c r="T11" s="5"/>
      <c r="U11" s="9"/>
      <c r="V11" s="9"/>
    </row>
    <row r="12" customFormat="false" ht="15" hidden="false" customHeight="true" outlineLevel="0" collapsed="false">
      <c r="A12" s="6"/>
      <c r="B12" s="17"/>
      <c r="C12" s="17"/>
      <c r="D12" s="19"/>
      <c r="E12" s="17"/>
      <c r="F12" s="17"/>
      <c r="G12" s="19"/>
      <c r="H12" s="20"/>
      <c r="I12" s="20"/>
      <c r="J12" s="20"/>
      <c r="K12" s="6"/>
      <c r="L12" s="20"/>
      <c r="M12" s="20"/>
      <c r="N12" s="20"/>
      <c r="O12" s="6"/>
      <c r="P12" s="6"/>
      <c r="Q12" s="6"/>
      <c r="R12" s="5"/>
      <c r="S12" s="22"/>
      <c r="T12" s="5"/>
      <c r="U12" s="6"/>
      <c r="V12" s="6"/>
    </row>
    <row r="13" customFormat="false" ht="15" hidden="false" customHeight="true" outlineLevel="0" collapsed="false">
      <c r="A13" s="9"/>
      <c r="B13" s="26"/>
      <c r="C13" s="26"/>
      <c r="D13" s="19"/>
      <c r="E13" s="26"/>
      <c r="F13" s="26"/>
      <c r="G13" s="19"/>
      <c r="H13" s="27"/>
      <c r="I13" s="27"/>
      <c r="J13" s="27"/>
      <c r="K13" s="9"/>
      <c r="L13" s="27"/>
      <c r="M13" s="27"/>
      <c r="N13" s="27"/>
      <c r="O13" s="14"/>
      <c r="P13" s="9"/>
      <c r="Q13" s="9"/>
      <c r="R13" s="5"/>
      <c r="S13" s="28"/>
      <c r="T13" s="5"/>
      <c r="U13" s="9"/>
      <c r="V13" s="9"/>
    </row>
    <row r="14" customFormat="false" ht="15" hidden="false" customHeight="true" outlineLevel="0" collapsed="false">
      <c r="A14" s="6"/>
      <c r="B14" s="17"/>
      <c r="C14" s="17"/>
      <c r="D14" s="19"/>
      <c r="E14" s="17"/>
      <c r="F14" s="17"/>
      <c r="G14" s="19"/>
      <c r="H14" s="20"/>
      <c r="I14" s="20"/>
      <c r="J14" s="20"/>
      <c r="K14" s="6"/>
      <c r="L14" s="20"/>
      <c r="M14" s="20"/>
      <c r="N14" s="20"/>
      <c r="O14" s="6"/>
      <c r="P14" s="6"/>
      <c r="Q14" s="6"/>
      <c r="R14" s="5"/>
      <c r="S14" s="22"/>
      <c r="T14" s="5"/>
      <c r="U14" s="6"/>
      <c r="V14" s="6"/>
    </row>
    <row r="15" customFormat="false" ht="15" hidden="false" customHeight="true" outlineLevel="0" collapsed="false">
      <c r="A15" s="9"/>
      <c r="B15" s="26"/>
      <c r="C15" s="26"/>
      <c r="D15" s="19"/>
      <c r="E15" s="26"/>
      <c r="F15" s="26"/>
      <c r="G15" s="19"/>
      <c r="H15" s="27"/>
      <c r="I15" s="27"/>
      <c r="J15" s="27"/>
      <c r="K15" s="9"/>
      <c r="L15" s="27"/>
      <c r="M15" s="27"/>
      <c r="N15" s="27"/>
      <c r="O15" s="14"/>
      <c r="P15" s="9"/>
      <c r="Q15" s="9"/>
      <c r="R15" s="5"/>
      <c r="S15" s="28"/>
      <c r="T15" s="5"/>
      <c r="U15" s="9"/>
      <c r="V15" s="9"/>
    </row>
    <row r="16" customFormat="false" ht="15" hidden="false" customHeight="true" outlineLevel="0" collapsed="false">
      <c r="A16" s="6"/>
      <c r="B16" s="17"/>
      <c r="C16" s="17"/>
      <c r="D16" s="19"/>
      <c r="E16" s="17"/>
      <c r="F16" s="17"/>
      <c r="G16" s="19"/>
      <c r="H16" s="20"/>
      <c r="I16" s="20"/>
      <c r="J16" s="20"/>
      <c r="K16" s="6"/>
      <c r="L16" s="20"/>
      <c r="M16" s="20"/>
      <c r="N16" s="20"/>
      <c r="O16" s="6"/>
      <c r="P16" s="6"/>
      <c r="Q16" s="6"/>
      <c r="R16" s="5"/>
      <c r="S16" s="22"/>
      <c r="T16" s="5"/>
      <c r="U16" s="6"/>
      <c r="V16" s="6"/>
    </row>
    <row r="17" customFormat="false" ht="15" hidden="false" customHeight="true" outlineLevel="0" collapsed="false">
      <c r="A17" s="9"/>
      <c r="B17" s="26"/>
      <c r="C17" s="26"/>
      <c r="D17" s="19"/>
      <c r="E17" s="26"/>
      <c r="F17" s="26"/>
      <c r="G17" s="19"/>
      <c r="H17" s="27"/>
      <c r="I17" s="27"/>
      <c r="J17" s="27"/>
      <c r="K17" s="9"/>
      <c r="L17" s="27"/>
      <c r="M17" s="27"/>
      <c r="N17" s="27"/>
      <c r="O17" s="14"/>
      <c r="P17" s="9"/>
      <c r="Q17" s="9"/>
      <c r="R17" s="5"/>
      <c r="S17" s="28"/>
      <c r="T17" s="5"/>
      <c r="U17" s="9"/>
      <c r="V17" s="9"/>
    </row>
    <row r="18" customFormat="false" ht="15" hidden="false" customHeight="true" outlineLevel="0" collapsed="false">
      <c r="A18" s="6"/>
      <c r="B18" s="17"/>
      <c r="C18" s="17"/>
      <c r="D18" s="19"/>
      <c r="E18" s="17"/>
      <c r="F18" s="17"/>
      <c r="G18" s="19"/>
      <c r="H18" s="20"/>
      <c r="I18" s="20"/>
      <c r="J18" s="20"/>
      <c r="K18" s="6"/>
      <c r="L18" s="20"/>
      <c r="M18" s="20"/>
      <c r="N18" s="20"/>
      <c r="O18" s="6"/>
      <c r="P18" s="6"/>
      <c r="Q18" s="6"/>
      <c r="R18" s="5"/>
      <c r="S18" s="22"/>
      <c r="T18" s="5"/>
      <c r="U18" s="6"/>
      <c r="V18" s="6"/>
    </row>
    <row r="19" customFormat="false" ht="15" hidden="false" customHeight="true" outlineLevel="0" collapsed="false">
      <c r="A19" s="9"/>
      <c r="B19" s="26"/>
      <c r="C19" s="26"/>
      <c r="D19" s="19"/>
      <c r="E19" s="26"/>
      <c r="F19" s="26"/>
      <c r="G19" s="19"/>
      <c r="H19" s="27"/>
      <c r="I19" s="27"/>
      <c r="J19" s="27"/>
      <c r="K19" s="9"/>
      <c r="L19" s="27"/>
      <c r="M19" s="27"/>
      <c r="N19" s="27"/>
      <c r="O19" s="14"/>
      <c r="P19" s="9"/>
      <c r="Q19" s="9"/>
      <c r="R19" s="5"/>
      <c r="S19" s="28"/>
      <c r="T19" s="5"/>
      <c r="U19" s="9"/>
      <c r="V19" s="9"/>
    </row>
    <row r="20" customFormat="false" ht="15" hidden="false" customHeight="true" outlineLevel="0" collapsed="false">
      <c r="A20" s="6"/>
      <c r="B20" s="17"/>
      <c r="C20" s="17"/>
      <c r="D20" s="19"/>
      <c r="E20" s="17"/>
      <c r="F20" s="17"/>
      <c r="G20" s="19"/>
      <c r="H20" s="20"/>
      <c r="I20" s="20"/>
      <c r="J20" s="20"/>
      <c r="K20" s="6"/>
      <c r="L20" s="20"/>
      <c r="M20" s="20"/>
      <c r="N20" s="20"/>
      <c r="O20" s="6"/>
      <c r="P20" s="6"/>
      <c r="Q20" s="6"/>
      <c r="R20" s="5"/>
      <c r="S20" s="22"/>
      <c r="T20" s="5"/>
      <c r="U20" s="6"/>
      <c r="V20" s="6"/>
    </row>
    <row r="21" customFormat="false" ht="15" hidden="false" customHeight="true" outlineLevel="0" collapsed="false">
      <c r="A21" s="9"/>
      <c r="B21" s="26"/>
      <c r="C21" s="26"/>
      <c r="D21" s="19"/>
      <c r="E21" s="26"/>
      <c r="F21" s="26"/>
      <c r="G21" s="19"/>
      <c r="H21" s="27"/>
      <c r="I21" s="27"/>
      <c r="J21" s="27"/>
      <c r="K21" s="9"/>
      <c r="L21" s="27"/>
      <c r="M21" s="27"/>
      <c r="N21" s="27"/>
      <c r="O21" s="14"/>
      <c r="P21" s="9"/>
      <c r="Q21" s="9"/>
      <c r="R21" s="5"/>
      <c r="S21" s="28"/>
      <c r="T21" s="5"/>
      <c r="U21" s="9"/>
      <c r="V21" s="9"/>
    </row>
    <row r="22" customFormat="false" ht="15" hidden="false" customHeight="true" outlineLevel="0" collapsed="false">
      <c r="A22" s="6"/>
      <c r="B22" s="17"/>
      <c r="C22" s="17"/>
      <c r="D22" s="19"/>
      <c r="E22" s="17"/>
      <c r="F22" s="17"/>
      <c r="G22" s="19"/>
      <c r="H22" s="20"/>
      <c r="I22" s="20"/>
      <c r="J22" s="20"/>
      <c r="K22" s="6"/>
      <c r="L22" s="20"/>
      <c r="M22" s="20"/>
      <c r="N22" s="20"/>
      <c r="O22" s="6"/>
      <c r="P22" s="6"/>
      <c r="Q22" s="6"/>
      <c r="R22" s="5"/>
      <c r="S22" s="22"/>
      <c r="T22" s="5"/>
      <c r="U22" s="6"/>
      <c r="V22" s="6"/>
    </row>
    <row r="23" customFormat="false" ht="15" hidden="false" customHeight="true" outlineLevel="0" collapsed="false">
      <c r="A23" s="9"/>
      <c r="B23" s="26"/>
      <c r="C23" s="26"/>
      <c r="D23" s="19"/>
      <c r="E23" s="26"/>
      <c r="F23" s="26"/>
      <c r="G23" s="19"/>
      <c r="H23" s="27"/>
      <c r="I23" s="27"/>
      <c r="J23" s="27"/>
      <c r="K23" s="9"/>
      <c r="L23" s="27"/>
      <c r="M23" s="27"/>
      <c r="N23" s="27"/>
      <c r="O23" s="14"/>
      <c r="P23" s="9"/>
      <c r="Q23" s="9"/>
      <c r="R23" s="5"/>
      <c r="S23" s="28"/>
      <c r="T23" s="5"/>
      <c r="U23" s="9"/>
      <c r="V23" s="9"/>
    </row>
    <row r="24" customFormat="false" ht="15" hidden="false" customHeight="true" outlineLevel="0" collapsed="false">
      <c r="A24" s="6"/>
      <c r="B24" s="17"/>
      <c r="C24" s="17"/>
      <c r="D24" s="19"/>
      <c r="E24" s="17"/>
      <c r="F24" s="17"/>
      <c r="G24" s="19"/>
      <c r="H24" s="20"/>
      <c r="I24" s="20"/>
      <c r="J24" s="20"/>
      <c r="K24" s="6"/>
      <c r="L24" s="20"/>
      <c r="M24" s="20"/>
      <c r="N24" s="20"/>
      <c r="O24" s="6"/>
      <c r="P24" s="6"/>
      <c r="Q24" s="6"/>
      <c r="R24" s="5"/>
      <c r="S24" s="22"/>
      <c r="T24" s="5"/>
      <c r="U24" s="6"/>
      <c r="V24" s="6"/>
    </row>
    <row r="25" customFormat="false" ht="15" hidden="false" customHeight="true" outlineLevel="0" collapsed="false">
      <c r="A25" s="9"/>
      <c r="B25" s="26"/>
      <c r="C25" s="26"/>
      <c r="D25" s="19"/>
      <c r="E25" s="26"/>
      <c r="F25" s="26"/>
      <c r="G25" s="19"/>
      <c r="H25" s="27"/>
      <c r="I25" s="27"/>
      <c r="J25" s="27"/>
      <c r="K25" s="9"/>
      <c r="L25" s="27"/>
      <c r="M25" s="27"/>
      <c r="N25" s="27"/>
      <c r="O25" s="14"/>
      <c r="P25" s="9"/>
      <c r="Q25" s="9"/>
      <c r="R25" s="5"/>
      <c r="S25" s="28"/>
      <c r="T25" s="5"/>
      <c r="U25" s="9"/>
      <c r="V25" s="9"/>
    </row>
    <row r="26" customFormat="false" ht="15" hidden="false" customHeight="true" outlineLevel="0" collapsed="false">
      <c r="A26" s="6"/>
      <c r="B26" s="17"/>
      <c r="C26" s="17"/>
      <c r="D26" s="19"/>
      <c r="E26" s="17"/>
      <c r="F26" s="17"/>
      <c r="G26" s="19"/>
      <c r="H26" s="20"/>
      <c r="I26" s="20"/>
      <c r="J26" s="20"/>
      <c r="K26" s="6"/>
      <c r="L26" s="20"/>
      <c r="M26" s="20"/>
      <c r="N26" s="20"/>
      <c r="O26" s="6"/>
      <c r="P26" s="6"/>
      <c r="Q26" s="6"/>
      <c r="R26" s="5"/>
      <c r="S26" s="22"/>
      <c r="T26" s="5"/>
      <c r="U26" s="6"/>
      <c r="V26" s="6"/>
    </row>
    <row r="27" customFormat="false" ht="15" hidden="false" customHeight="true" outlineLevel="0" collapsed="false">
      <c r="A27" s="9"/>
      <c r="B27" s="26"/>
      <c r="C27" s="26"/>
      <c r="D27" s="19"/>
      <c r="E27" s="26"/>
      <c r="F27" s="26"/>
      <c r="G27" s="19"/>
      <c r="H27" s="27"/>
      <c r="I27" s="27"/>
      <c r="J27" s="27"/>
      <c r="K27" s="9"/>
      <c r="L27" s="27"/>
      <c r="M27" s="27"/>
      <c r="N27" s="27"/>
      <c r="O27" s="14"/>
      <c r="P27" s="9"/>
      <c r="Q27" s="9"/>
      <c r="R27" s="5"/>
      <c r="S27" s="28"/>
      <c r="T27" s="5"/>
      <c r="U27" s="9"/>
      <c r="V27" s="9"/>
    </row>
    <row r="28" customFormat="false" ht="15" hidden="false" customHeight="true" outlineLevel="0" collapsed="false">
      <c r="A28" s="6"/>
      <c r="B28" s="17"/>
      <c r="C28" s="17"/>
      <c r="D28" s="19"/>
      <c r="E28" s="17"/>
      <c r="F28" s="17"/>
      <c r="G28" s="19"/>
      <c r="H28" s="20"/>
      <c r="I28" s="20"/>
      <c r="J28" s="20"/>
      <c r="K28" s="6"/>
      <c r="L28" s="20"/>
      <c r="M28" s="20"/>
      <c r="N28" s="20"/>
      <c r="O28" s="6"/>
      <c r="P28" s="6"/>
      <c r="Q28" s="6"/>
      <c r="R28" s="5"/>
      <c r="S28" s="22"/>
      <c r="T28" s="5"/>
      <c r="U28" s="6"/>
      <c r="V28" s="6"/>
    </row>
    <row r="29" customFormat="false" ht="15" hidden="false" customHeight="true" outlineLevel="0" collapsed="false">
      <c r="A29" s="9"/>
      <c r="B29" s="26"/>
      <c r="C29" s="26"/>
      <c r="D29" s="19"/>
      <c r="E29" s="26"/>
      <c r="F29" s="26"/>
      <c r="G29" s="19"/>
      <c r="H29" s="27"/>
      <c r="I29" s="27"/>
      <c r="J29" s="27"/>
      <c r="K29" s="9"/>
      <c r="L29" s="27"/>
      <c r="M29" s="27"/>
      <c r="N29" s="27"/>
      <c r="O29" s="14"/>
      <c r="P29" s="9"/>
      <c r="Q29" s="9"/>
      <c r="R29" s="5"/>
      <c r="S29" s="28"/>
      <c r="T29" s="5"/>
      <c r="U29" s="9"/>
      <c r="V29" s="9"/>
    </row>
    <row r="30" customFormat="false" ht="15" hidden="false" customHeight="true" outlineLevel="0" collapsed="false">
      <c r="A30" s="6"/>
      <c r="B30" s="17"/>
      <c r="C30" s="17"/>
      <c r="D30" s="19"/>
      <c r="E30" s="17"/>
      <c r="F30" s="17"/>
      <c r="G30" s="19"/>
      <c r="H30" s="20"/>
      <c r="I30" s="20"/>
      <c r="J30" s="20"/>
      <c r="K30" s="6"/>
      <c r="L30" s="20"/>
      <c r="M30" s="20"/>
      <c r="N30" s="20"/>
      <c r="O30" s="6"/>
      <c r="P30" s="6"/>
      <c r="Q30" s="6"/>
      <c r="R30" s="5"/>
      <c r="S30" s="22"/>
      <c r="T30" s="5"/>
      <c r="U30" s="6"/>
      <c r="V30" s="6"/>
    </row>
    <row r="31" customFormat="false" ht="15" hidden="false" customHeight="true" outlineLevel="0" collapsed="false">
      <c r="A31" s="9"/>
      <c r="B31" s="26"/>
      <c r="C31" s="26"/>
      <c r="D31" s="19"/>
      <c r="E31" s="26"/>
      <c r="F31" s="26"/>
      <c r="G31" s="19"/>
      <c r="H31" s="27"/>
      <c r="I31" s="27"/>
      <c r="J31" s="27"/>
      <c r="K31" s="9"/>
      <c r="L31" s="27"/>
      <c r="M31" s="27"/>
      <c r="N31" s="27"/>
      <c r="O31" s="14"/>
      <c r="P31" s="9"/>
      <c r="Q31" s="9"/>
      <c r="R31" s="5"/>
      <c r="S31" s="28"/>
      <c r="T31" s="5"/>
      <c r="U31" s="9"/>
      <c r="V31" s="9"/>
    </row>
    <row r="32" customFormat="false" ht="15" hidden="false" customHeight="true" outlineLevel="0" collapsed="false">
      <c r="A32" s="6"/>
      <c r="B32" s="17"/>
      <c r="C32" s="17"/>
      <c r="D32" s="19"/>
      <c r="E32" s="17"/>
      <c r="F32" s="17"/>
      <c r="G32" s="19"/>
      <c r="H32" s="20"/>
      <c r="I32" s="20"/>
      <c r="J32" s="20"/>
      <c r="K32" s="6"/>
      <c r="L32" s="20"/>
      <c r="M32" s="20"/>
      <c r="N32" s="20"/>
      <c r="O32" s="6"/>
      <c r="P32" s="6"/>
      <c r="Q32" s="6"/>
      <c r="R32" s="5"/>
      <c r="S32" s="22"/>
      <c r="T32" s="5"/>
      <c r="U32" s="6"/>
      <c r="V32" s="6"/>
    </row>
    <row r="33" customFormat="false" ht="15" hidden="false" customHeight="true" outlineLevel="0" collapsed="false">
      <c r="A33" s="9"/>
      <c r="B33" s="26"/>
      <c r="C33" s="26"/>
      <c r="D33" s="19"/>
      <c r="E33" s="26"/>
      <c r="F33" s="26"/>
      <c r="G33" s="19"/>
      <c r="H33" s="27"/>
      <c r="I33" s="27"/>
      <c r="J33" s="27"/>
      <c r="K33" s="9"/>
      <c r="L33" s="27"/>
      <c r="M33" s="27"/>
      <c r="N33" s="27"/>
      <c r="O33" s="14"/>
      <c r="P33" s="9"/>
      <c r="Q33" s="9"/>
      <c r="R33" s="5"/>
      <c r="S33" s="28"/>
      <c r="T33" s="5"/>
      <c r="U33" s="9"/>
      <c r="V33" s="9"/>
    </row>
    <row r="34" customFormat="false" ht="15" hidden="false" customHeight="true" outlineLevel="0" collapsed="false">
      <c r="A34" s="6"/>
      <c r="B34" s="17"/>
      <c r="C34" s="17"/>
      <c r="D34" s="19"/>
      <c r="E34" s="17"/>
      <c r="F34" s="17"/>
      <c r="G34" s="19"/>
      <c r="H34" s="20"/>
      <c r="I34" s="20"/>
      <c r="J34" s="20"/>
      <c r="K34" s="6"/>
      <c r="L34" s="20"/>
      <c r="M34" s="20"/>
      <c r="N34" s="20"/>
      <c r="O34" s="6"/>
      <c r="P34" s="6"/>
      <c r="Q34" s="6"/>
      <c r="R34" s="5"/>
      <c r="S34" s="22"/>
      <c r="T34" s="5"/>
      <c r="U34" s="6"/>
      <c r="V34" s="6"/>
    </row>
    <row r="35" customFormat="false" ht="15" hidden="false" customHeight="true" outlineLevel="0" collapsed="false">
      <c r="A35" s="9"/>
      <c r="B35" s="26"/>
      <c r="C35" s="26"/>
      <c r="D35" s="19"/>
      <c r="E35" s="26"/>
      <c r="F35" s="26"/>
      <c r="G35" s="19"/>
      <c r="H35" s="27"/>
      <c r="I35" s="27"/>
      <c r="J35" s="27"/>
      <c r="K35" s="9"/>
      <c r="L35" s="27"/>
      <c r="M35" s="27"/>
      <c r="N35" s="27"/>
      <c r="O35" s="14"/>
      <c r="P35" s="9"/>
      <c r="Q35" s="9"/>
      <c r="R35" s="5"/>
      <c r="S35" s="28"/>
      <c r="T35" s="5"/>
      <c r="U35" s="9"/>
      <c r="V35" s="9"/>
    </row>
    <row r="36" customFormat="false" ht="15" hidden="false" customHeight="true" outlineLevel="0" collapsed="false">
      <c r="A36" s="6"/>
      <c r="B36" s="17"/>
      <c r="C36" s="17"/>
      <c r="D36" s="19"/>
      <c r="E36" s="17"/>
      <c r="F36" s="17"/>
      <c r="G36" s="19"/>
      <c r="H36" s="20"/>
      <c r="I36" s="20"/>
      <c r="J36" s="20"/>
      <c r="K36" s="6"/>
      <c r="L36" s="20"/>
      <c r="M36" s="20"/>
      <c r="N36" s="20"/>
      <c r="O36" s="6"/>
      <c r="P36" s="6"/>
      <c r="Q36" s="6"/>
      <c r="R36" s="5"/>
      <c r="S36" s="22"/>
      <c r="T36" s="5"/>
      <c r="U36" s="6"/>
      <c r="V36" s="6"/>
    </row>
    <row r="37" customFormat="false" ht="15" hidden="false" customHeight="true" outlineLevel="0" collapsed="false">
      <c r="A37" s="9"/>
      <c r="B37" s="26"/>
      <c r="C37" s="26"/>
      <c r="D37" s="19"/>
      <c r="E37" s="26"/>
      <c r="F37" s="26"/>
      <c r="G37" s="19"/>
      <c r="H37" s="27"/>
      <c r="I37" s="27"/>
      <c r="J37" s="27"/>
      <c r="K37" s="9"/>
      <c r="L37" s="27"/>
      <c r="M37" s="27"/>
      <c r="N37" s="27"/>
      <c r="O37" s="14"/>
      <c r="P37" s="9"/>
      <c r="Q37" s="9"/>
      <c r="R37" s="5"/>
      <c r="S37" s="28"/>
      <c r="T37" s="5"/>
      <c r="U37" s="9"/>
      <c r="V37" s="9"/>
    </row>
    <row r="38" customFormat="false" ht="15" hidden="false" customHeight="true" outlineLevel="0" collapsed="false">
      <c r="A38" s="6"/>
      <c r="B38" s="17"/>
      <c r="C38" s="17"/>
      <c r="D38" s="19"/>
      <c r="E38" s="17"/>
      <c r="F38" s="17"/>
      <c r="G38" s="19"/>
      <c r="H38" s="20"/>
      <c r="I38" s="20"/>
      <c r="J38" s="20"/>
      <c r="K38" s="6"/>
      <c r="L38" s="20"/>
      <c r="M38" s="20"/>
      <c r="N38" s="20"/>
      <c r="O38" s="6"/>
      <c r="P38" s="6"/>
      <c r="Q38" s="6"/>
      <c r="R38" s="5"/>
      <c r="S38" s="22"/>
      <c r="T38" s="5"/>
      <c r="U38" s="6"/>
      <c r="V38" s="6"/>
    </row>
    <row r="39" customFormat="false" ht="15" hidden="false" customHeight="true" outlineLevel="0" collapsed="false">
      <c r="A39" s="9"/>
      <c r="B39" s="26"/>
      <c r="C39" s="26"/>
      <c r="D39" s="19"/>
      <c r="E39" s="26"/>
      <c r="F39" s="26"/>
      <c r="G39" s="19"/>
      <c r="H39" s="27"/>
      <c r="I39" s="27"/>
      <c r="J39" s="27"/>
      <c r="K39" s="9"/>
      <c r="L39" s="27"/>
      <c r="M39" s="27"/>
      <c r="N39" s="27"/>
      <c r="O39" s="14"/>
      <c r="P39" s="9"/>
      <c r="Q39" s="9"/>
      <c r="R39" s="5"/>
      <c r="S39" s="28"/>
      <c r="T39" s="5"/>
      <c r="U39" s="9"/>
      <c r="V39" s="9"/>
    </row>
    <row r="40" customFormat="false" ht="15" hidden="false" customHeight="true" outlineLevel="0" collapsed="false">
      <c r="A40" s="6"/>
      <c r="B40" s="17"/>
      <c r="C40" s="17"/>
      <c r="D40" s="19"/>
      <c r="E40" s="17"/>
      <c r="F40" s="17"/>
      <c r="G40" s="19"/>
      <c r="H40" s="20"/>
      <c r="I40" s="20"/>
      <c r="J40" s="20"/>
      <c r="K40" s="6"/>
      <c r="L40" s="20"/>
      <c r="M40" s="20"/>
      <c r="N40" s="20"/>
      <c r="O40" s="6"/>
      <c r="P40" s="6"/>
      <c r="Q40" s="6"/>
      <c r="R40" s="5"/>
      <c r="S40" s="22"/>
      <c r="T40" s="5"/>
      <c r="U40" s="6"/>
      <c r="V40" s="6"/>
    </row>
    <row r="41" customFormat="false" ht="15" hidden="false" customHeight="true" outlineLevel="0" collapsed="false">
      <c r="A41" s="9"/>
      <c r="B41" s="26"/>
      <c r="C41" s="26"/>
      <c r="D41" s="19"/>
      <c r="E41" s="26"/>
      <c r="F41" s="26"/>
      <c r="G41" s="19"/>
      <c r="H41" s="27"/>
      <c r="I41" s="27"/>
      <c r="J41" s="27"/>
      <c r="K41" s="9"/>
      <c r="L41" s="27"/>
      <c r="M41" s="27"/>
      <c r="N41" s="27"/>
      <c r="O41" s="14"/>
      <c r="P41" s="9"/>
      <c r="Q41" s="9"/>
      <c r="R41" s="5"/>
      <c r="S41" s="28"/>
      <c r="T41" s="5"/>
      <c r="U41" s="9"/>
      <c r="V41" s="9"/>
    </row>
    <row r="42" customFormat="false" ht="15" hidden="false" customHeight="true" outlineLevel="0" collapsed="false">
      <c r="A42" s="6"/>
      <c r="B42" s="17"/>
      <c r="C42" s="17"/>
      <c r="D42" s="19"/>
      <c r="E42" s="17"/>
      <c r="F42" s="17"/>
      <c r="G42" s="19"/>
      <c r="H42" s="20"/>
      <c r="I42" s="20"/>
      <c r="J42" s="20"/>
      <c r="K42" s="6"/>
      <c r="L42" s="20"/>
      <c r="M42" s="20"/>
      <c r="N42" s="20"/>
      <c r="O42" s="6"/>
      <c r="P42" s="6"/>
      <c r="Q42" s="6"/>
      <c r="R42" s="5"/>
      <c r="S42" s="22"/>
      <c r="T42" s="5"/>
      <c r="U42" s="6"/>
      <c r="V42" s="6"/>
    </row>
    <row r="43" customFormat="false" ht="15" hidden="false" customHeight="true" outlineLevel="0" collapsed="false">
      <c r="A43" s="9"/>
      <c r="B43" s="26"/>
      <c r="C43" s="26"/>
      <c r="D43" s="19"/>
      <c r="E43" s="26"/>
      <c r="F43" s="26"/>
      <c r="G43" s="19"/>
      <c r="H43" s="27"/>
      <c r="I43" s="27"/>
      <c r="J43" s="27"/>
      <c r="K43" s="9"/>
      <c r="L43" s="27"/>
      <c r="M43" s="27"/>
      <c r="N43" s="27"/>
      <c r="O43" s="14"/>
      <c r="P43" s="9"/>
      <c r="Q43" s="9"/>
      <c r="R43" s="5"/>
      <c r="S43" s="28"/>
      <c r="T43" s="5"/>
      <c r="U43" s="9"/>
      <c r="V43" s="9"/>
    </row>
    <row r="44" customFormat="false" ht="15" hidden="false" customHeight="true" outlineLevel="0" collapsed="false">
      <c r="A44" s="6"/>
      <c r="B44" s="17"/>
      <c r="C44" s="17"/>
      <c r="D44" s="19"/>
      <c r="E44" s="17"/>
      <c r="F44" s="17"/>
      <c r="G44" s="19"/>
      <c r="H44" s="20"/>
      <c r="I44" s="20"/>
      <c r="J44" s="20"/>
      <c r="K44" s="6"/>
      <c r="L44" s="20"/>
      <c r="M44" s="20"/>
      <c r="N44" s="20"/>
      <c r="O44" s="6"/>
      <c r="P44" s="6"/>
      <c r="Q44" s="6"/>
      <c r="R44" s="5"/>
      <c r="S44" s="22"/>
      <c r="T44" s="5"/>
      <c r="U44" s="6"/>
      <c r="V44" s="6"/>
    </row>
    <row r="45" customFormat="false" ht="15" hidden="false" customHeight="true" outlineLevel="0" collapsed="false">
      <c r="A45" s="9"/>
      <c r="B45" s="26"/>
      <c r="C45" s="26"/>
      <c r="D45" s="19"/>
      <c r="E45" s="26"/>
      <c r="F45" s="26"/>
      <c r="G45" s="19"/>
      <c r="H45" s="27"/>
      <c r="I45" s="27"/>
      <c r="J45" s="27"/>
      <c r="K45" s="9"/>
      <c r="L45" s="27"/>
      <c r="M45" s="27"/>
      <c r="N45" s="27"/>
      <c r="O45" s="14"/>
      <c r="P45" s="9"/>
      <c r="Q45" s="9"/>
      <c r="R45" s="5"/>
      <c r="S45" s="28"/>
      <c r="T45" s="5"/>
      <c r="U45" s="9"/>
      <c r="V45" s="9"/>
    </row>
    <row r="46" customFormat="false" ht="15" hidden="false" customHeight="true" outlineLevel="0" collapsed="false">
      <c r="A46" s="6"/>
      <c r="B46" s="17"/>
      <c r="C46" s="17"/>
      <c r="D46" s="19"/>
      <c r="E46" s="17"/>
      <c r="F46" s="17"/>
      <c r="G46" s="19"/>
      <c r="H46" s="20"/>
      <c r="I46" s="20"/>
      <c r="J46" s="20"/>
      <c r="K46" s="6"/>
      <c r="L46" s="20"/>
      <c r="M46" s="20"/>
      <c r="N46" s="20"/>
      <c r="O46" s="6"/>
      <c r="P46" s="6"/>
      <c r="Q46" s="6"/>
      <c r="R46" s="5"/>
      <c r="S46" s="22"/>
      <c r="T46" s="5"/>
      <c r="U46" s="6"/>
      <c r="V46" s="6"/>
    </row>
    <row r="47" customFormat="false" ht="15" hidden="false" customHeight="true" outlineLevel="0" collapsed="false">
      <c r="A47" s="9"/>
      <c r="B47" s="26"/>
      <c r="C47" s="26"/>
      <c r="D47" s="19"/>
      <c r="E47" s="26"/>
      <c r="F47" s="26"/>
      <c r="G47" s="19"/>
      <c r="H47" s="27"/>
      <c r="I47" s="27"/>
      <c r="J47" s="27"/>
      <c r="K47" s="9"/>
      <c r="L47" s="27"/>
      <c r="M47" s="27"/>
      <c r="N47" s="27"/>
      <c r="O47" s="14"/>
      <c r="P47" s="9"/>
      <c r="Q47" s="9"/>
      <c r="R47" s="5"/>
      <c r="S47" s="28"/>
      <c r="T47" s="5"/>
      <c r="U47" s="9"/>
      <c r="V47" s="9"/>
    </row>
    <row r="48" customFormat="false" ht="15" hidden="false" customHeight="true" outlineLevel="0" collapsed="false">
      <c r="A48" s="6"/>
      <c r="B48" s="17"/>
      <c r="C48" s="17"/>
      <c r="D48" s="19"/>
      <c r="E48" s="17"/>
      <c r="F48" s="17"/>
      <c r="G48" s="19"/>
      <c r="H48" s="20"/>
      <c r="I48" s="20"/>
      <c r="J48" s="20"/>
      <c r="K48" s="6"/>
      <c r="L48" s="20"/>
      <c r="M48" s="20"/>
      <c r="N48" s="20"/>
      <c r="O48" s="6"/>
      <c r="P48" s="6"/>
      <c r="Q48" s="6"/>
      <c r="R48" s="5"/>
      <c r="S48" s="22"/>
      <c r="T48" s="5"/>
      <c r="U48" s="6"/>
      <c r="V48" s="6"/>
    </row>
    <row r="49" customFormat="false" ht="15" hidden="false" customHeight="true" outlineLevel="0" collapsed="false">
      <c r="A49" s="9"/>
      <c r="B49" s="26"/>
      <c r="C49" s="26"/>
      <c r="D49" s="19"/>
      <c r="E49" s="26"/>
      <c r="F49" s="26"/>
      <c r="G49" s="19"/>
      <c r="H49" s="27"/>
      <c r="I49" s="27"/>
      <c r="J49" s="27"/>
      <c r="K49" s="9"/>
      <c r="L49" s="27"/>
      <c r="M49" s="27"/>
      <c r="N49" s="27"/>
      <c r="O49" s="14"/>
      <c r="P49" s="9"/>
      <c r="Q49" s="9"/>
      <c r="R49" s="5"/>
      <c r="S49" s="28"/>
      <c r="T49" s="5"/>
      <c r="U49" s="9"/>
      <c r="V49" s="9"/>
    </row>
    <row r="50" customFormat="false" ht="15" hidden="false" customHeight="true" outlineLevel="0" collapsed="false">
      <c r="A50" s="6"/>
      <c r="B50" s="17"/>
      <c r="C50" s="17"/>
      <c r="D50" s="19"/>
      <c r="E50" s="17"/>
      <c r="F50" s="17"/>
      <c r="G50" s="19"/>
      <c r="H50" s="20"/>
      <c r="I50" s="20"/>
      <c r="J50" s="20"/>
      <c r="K50" s="6"/>
      <c r="L50" s="20"/>
      <c r="M50" s="20"/>
      <c r="N50" s="20"/>
      <c r="O50" s="6"/>
      <c r="P50" s="6"/>
      <c r="Q50" s="6"/>
      <c r="R50" s="5"/>
      <c r="S50" s="22"/>
      <c r="T50" s="5"/>
      <c r="U50" s="6"/>
      <c r="V50" s="6"/>
    </row>
    <row r="51" customFormat="false" ht="15" hidden="false" customHeight="true" outlineLevel="0" collapsed="false">
      <c r="A51" s="9"/>
      <c r="B51" s="26"/>
      <c r="C51" s="26"/>
      <c r="D51" s="19"/>
      <c r="E51" s="26"/>
      <c r="F51" s="26"/>
      <c r="G51" s="19"/>
      <c r="H51" s="27"/>
      <c r="I51" s="27"/>
      <c r="J51" s="27"/>
      <c r="K51" s="9"/>
      <c r="L51" s="27"/>
      <c r="M51" s="27"/>
      <c r="N51" s="27"/>
      <c r="O51" s="14"/>
      <c r="P51" s="9"/>
      <c r="Q51" s="9"/>
      <c r="R51" s="5"/>
      <c r="S51" s="28"/>
      <c r="T51" s="5"/>
      <c r="U51" s="9"/>
      <c r="V51" s="9"/>
    </row>
    <row r="52" customFormat="false" ht="15" hidden="false" customHeight="true" outlineLevel="0" collapsed="false">
      <c r="A52" s="6"/>
      <c r="B52" s="17"/>
      <c r="C52" s="17"/>
      <c r="D52" s="19"/>
      <c r="E52" s="17"/>
      <c r="F52" s="17"/>
      <c r="G52" s="19"/>
      <c r="H52" s="20"/>
      <c r="I52" s="20"/>
      <c r="J52" s="20"/>
      <c r="K52" s="6"/>
      <c r="L52" s="20"/>
      <c r="M52" s="20"/>
      <c r="N52" s="20"/>
      <c r="O52" s="6"/>
      <c r="P52" s="6"/>
      <c r="Q52" s="6"/>
      <c r="R52" s="5"/>
      <c r="S52" s="22"/>
      <c r="T52" s="5"/>
      <c r="U52" s="6"/>
      <c r="V52" s="6"/>
    </row>
    <row r="53" customFormat="false" ht="15" hidden="false" customHeight="true" outlineLevel="0" collapsed="false">
      <c r="A53" s="9"/>
      <c r="B53" s="26"/>
      <c r="C53" s="26"/>
      <c r="D53" s="19"/>
      <c r="E53" s="26"/>
      <c r="F53" s="26"/>
      <c r="G53" s="19"/>
      <c r="H53" s="27"/>
      <c r="I53" s="27"/>
      <c r="J53" s="27"/>
      <c r="K53" s="9"/>
      <c r="L53" s="27"/>
      <c r="M53" s="27"/>
      <c r="N53" s="27"/>
      <c r="O53" s="14"/>
      <c r="P53" s="9"/>
      <c r="Q53" s="9"/>
      <c r="R53" s="5"/>
      <c r="S53" s="28"/>
      <c r="T53" s="5"/>
      <c r="U53" s="9"/>
      <c r="V53" s="9"/>
    </row>
    <row r="54" customFormat="false" ht="15" hidden="false" customHeight="true" outlineLevel="0" collapsed="false">
      <c r="A54" s="6"/>
      <c r="B54" s="17"/>
      <c r="C54" s="17"/>
      <c r="D54" s="19"/>
      <c r="E54" s="17"/>
      <c r="F54" s="17"/>
      <c r="G54" s="19"/>
      <c r="H54" s="20"/>
      <c r="I54" s="20"/>
      <c r="J54" s="20"/>
      <c r="K54" s="6"/>
      <c r="L54" s="20"/>
      <c r="M54" s="20"/>
      <c r="N54" s="20"/>
      <c r="O54" s="6"/>
      <c r="P54" s="6"/>
      <c r="Q54" s="6"/>
      <c r="R54" s="5"/>
      <c r="S54" s="22"/>
      <c r="T54" s="5"/>
      <c r="U54" s="6"/>
      <c r="V54" s="6"/>
    </row>
    <row r="55" customFormat="false" ht="15" hidden="false" customHeight="true" outlineLevel="0" collapsed="false">
      <c r="A55" s="9"/>
      <c r="B55" s="26"/>
      <c r="C55" s="26"/>
      <c r="D55" s="19"/>
      <c r="E55" s="26"/>
      <c r="F55" s="26"/>
      <c r="G55" s="19"/>
      <c r="H55" s="27"/>
      <c r="I55" s="27"/>
      <c r="J55" s="27"/>
      <c r="K55" s="9"/>
      <c r="L55" s="27"/>
      <c r="M55" s="27"/>
      <c r="N55" s="27"/>
      <c r="O55" s="14"/>
      <c r="P55" s="9"/>
      <c r="Q55" s="9"/>
      <c r="R55" s="5"/>
      <c r="S55" s="28"/>
      <c r="T55" s="5"/>
      <c r="U55" s="9"/>
      <c r="V55" s="9"/>
    </row>
    <row r="56" customFormat="false" ht="15" hidden="false" customHeight="true" outlineLevel="0" collapsed="false">
      <c r="A56" s="6"/>
      <c r="B56" s="17"/>
      <c r="C56" s="17"/>
      <c r="D56" s="19"/>
      <c r="E56" s="17"/>
      <c r="F56" s="17"/>
      <c r="G56" s="19"/>
      <c r="H56" s="20"/>
      <c r="I56" s="20"/>
      <c r="J56" s="20"/>
      <c r="K56" s="6"/>
      <c r="L56" s="20"/>
      <c r="M56" s="20"/>
      <c r="N56" s="20"/>
      <c r="O56" s="6"/>
      <c r="P56" s="6"/>
      <c r="Q56" s="6"/>
      <c r="R56" s="5"/>
      <c r="S56" s="22"/>
      <c r="T56" s="5"/>
      <c r="U56" s="6"/>
      <c r="V56" s="6"/>
    </row>
    <row r="57" customFormat="false" ht="15" hidden="false" customHeight="true" outlineLevel="0" collapsed="false">
      <c r="A57" s="9"/>
      <c r="B57" s="26"/>
      <c r="C57" s="26"/>
      <c r="D57" s="19"/>
      <c r="E57" s="26"/>
      <c r="F57" s="26"/>
      <c r="G57" s="19"/>
      <c r="H57" s="27"/>
      <c r="I57" s="27"/>
      <c r="J57" s="27"/>
      <c r="K57" s="9"/>
      <c r="L57" s="27"/>
      <c r="M57" s="27"/>
      <c r="N57" s="27"/>
      <c r="O57" s="14"/>
      <c r="P57" s="9"/>
      <c r="Q57" s="9"/>
      <c r="R57" s="5"/>
      <c r="S57" s="28"/>
      <c r="T57" s="5"/>
      <c r="U57" s="9"/>
      <c r="V57" s="9"/>
    </row>
    <row r="58" customFormat="false" ht="15" hidden="false" customHeight="true" outlineLevel="0" collapsed="false">
      <c r="A58" s="6"/>
      <c r="B58" s="17"/>
      <c r="C58" s="17"/>
      <c r="D58" s="19"/>
      <c r="E58" s="17"/>
      <c r="F58" s="17"/>
      <c r="G58" s="19"/>
      <c r="H58" s="20"/>
      <c r="I58" s="20"/>
      <c r="J58" s="20"/>
      <c r="K58" s="6"/>
      <c r="L58" s="20"/>
      <c r="M58" s="20"/>
      <c r="N58" s="20"/>
      <c r="O58" s="6"/>
      <c r="P58" s="6"/>
      <c r="Q58" s="6"/>
      <c r="R58" s="5"/>
      <c r="S58" s="22"/>
      <c r="T58" s="5"/>
      <c r="U58" s="6"/>
      <c r="V58" s="6"/>
    </row>
    <row r="59" customFormat="false" ht="15" hidden="false" customHeight="true" outlineLevel="0" collapsed="false">
      <c r="A59" s="9"/>
      <c r="B59" s="26"/>
      <c r="C59" s="26"/>
      <c r="D59" s="19"/>
      <c r="E59" s="26"/>
      <c r="F59" s="26"/>
      <c r="G59" s="19"/>
      <c r="H59" s="27"/>
      <c r="I59" s="27"/>
      <c r="J59" s="27"/>
      <c r="K59" s="9"/>
      <c r="L59" s="27"/>
      <c r="M59" s="27"/>
      <c r="N59" s="27"/>
      <c r="O59" s="14"/>
      <c r="P59" s="9"/>
      <c r="Q59" s="9"/>
      <c r="R59" s="5"/>
      <c r="S59" s="28"/>
      <c r="T59" s="5"/>
      <c r="U59" s="9"/>
      <c r="V59" s="9"/>
    </row>
    <row r="60" customFormat="false" ht="15" hidden="false" customHeight="true" outlineLevel="0" collapsed="false">
      <c r="A60" s="6"/>
      <c r="B60" s="17"/>
      <c r="C60" s="17"/>
      <c r="D60" s="19"/>
      <c r="E60" s="17"/>
      <c r="F60" s="17"/>
      <c r="G60" s="19"/>
      <c r="H60" s="20"/>
      <c r="I60" s="20"/>
      <c r="J60" s="20"/>
      <c r="K60" s="6"/>
      <c r="L60" s="20"/>
      <c r="M60" s="20"/>
      <c r="N60" s="20"/>
      <c r="O60" s="6"/>
      <c r="P60" s="6"/>
      <c r="Q60" s="6"/>
      <c r="R60" s="5"/>
      <c r="S60" s="22"/>
      <c r="T60" s="5"/>
      <c r="U60" s="6"/>
      <c r="V60" s="6"/>
    </row>
    <row r="61" customFormat="false" ht="15" hidden="false" customHeight="true" outlineLevel="0" collapsed="false">
      <c r="A61" s="9"/>
      <c r="B61" s="26"/>
      <c r="C61" s="26"/>
      <c r="D61" s="19"/>
      <c r="E61" s="26"/>
      <c r="F61" s="26"/>
      <c r="G61" s="19"/>
      <c r="H61" s="27"/>
      <c r="I61" s="27"/>
      <c r="J61" s="27"/>
      <c r="K61" s="9"/>
      <c r="L61" s="27"/>
      <c r="M61" s="27"/>
      <c r="N61" s="27"/>
      <c r="O61" s="14"/>
      <c r="P61" s="9"/>
      <c r="Q61" s="9"/>
      <c r="R61" s="5"/>
      <c r="S61" s="28"/>
      <c r="T61" s="5"/>
      <c r="U61" s="9"/>
      <c r="V61" s="9"/>
    </row>
    <row r="62" customFormat="false" ht="15" hidden="false" customHeight="true" outlineLevel="0" collapsed="false">
      <c r="A62" s="6"/>
      <c r="B62" s="17"/>
      <c r="C62" s="17"/>
      <c r="D62" s="19"/>
      <c r="E62" s="17"/>
      <c r="F62" s="17"/>
      <c r="G62" s="19"/>
      <c r="H62" s="20"/>
      <c r="I62" s="20"/>
      <c r="J62" s="20"/>
      <c r="K62" s="6"/>
      <c r="L62" s="20"/>
      <c r="M62" s="20"/>
      <c r="N62" s="20"/>
      <c r="O62" s="6"/>
      <c r="P62" s="6"/>
      <c r="Q62" s="6"/>
      <c r="R62" s="5"/>
      <c r="S62" s="22"/>
      <c r="T62" s="5"/>
      <c r="U62" s="6"/>
      <c r="V62" s="6"/>
    </row>
    <row r="63" customFormat="false" ht="15" hidden="false" customHeight="true" outlineLevel="0" collapsed="false">
      <c r="A63" s="9"/>
      <c r="B63" s="26"/>
      <c r="C63" s="26"/>
      <c r="D63" s="19"/>
      <c r="E63" s="26"/>
      <c r="F63" s="26"/>
      <c r="G63" s="19"/>
      <c r="H63" s="27"/>
      <c r="I63" s="27"/>
      <c r="J63" s="27"/>
      <c r="K63" s="9"/>
      <c r="L63" s="27"/>
      <c r="M63" s="27"/>
      <c r="N63" s="27"/>
      <c r="O63" s="14"/>
      <c r="P63" s="9"/>
      <c r="Q63" s="9"/>
      <c r="R63" s="5"/>
      <c r="S63" s="28"/>
      <c r="T63" s="5"/>
      <c r="U63" s="9"/>
      <c r="V63" s="9"/>
    </row>
    <row r="64" customFormat="false" ht="15" hidden="false" customHeight="true" outlineLevel="0" collapsed="false">
      <c r="A64" s="6"/>
      <c r="B64" s="17"/>
      <c r="C64" s="17"/>
      <c r="D64" s="19"/>
      <c r="E64" s="17"/>
      <c r="F64" s="17"/>
      <c r="G64" s="19"/>
      <c r="H64" s="20"/>
      <c r="I64" s="20"/>
      <c r="J64" s="20"/>
      <c r="K64" s="6"/>
      <c r="L64" s="20"/>
      <c r="M64" s="20"/>
      <c r="N64" s="20"/>
      <c r="O64" s="6"/>
      <c r="P64" s="6"/>
      <c r="Q64" s="6"/>
      <c r="R64" s="5"/>
      <c r="S64" s="22"/>
      <c r="T64" s="5"/>
      <c r="U64" s="6"/>
      <c r="V64" s="6"/>
    </row>
    <row r="65" customFormat="false" ht="15" hidden="false" customHeight="true" outlineLevel="0" collapsed="false">
      <c r="A65" s="9"/>
      <c r="B65" s="26"/>
      <c r="C65" s="26"/>
      <c r="D65" s="19"/>
      <c r="E65" s="26"/>
      <c r="F65" s="26"/>
      <c r="G65" s="19"/>
      <c r="H65" s="27"/>
      <c r="I65" s="27"/>
      <c r="J65" s="27"/>
      <c r="K65" s="9"/>
      <c r="L65" s="27"/>
      <c r="M65" s="27"/>
      <c r="N65" s="27"/>
      <c r="O65" s="14"/>
      <c r="P65" s="9"/>
      <c r="Q65" s="9"/>
      <c r="R65" s="5"/>
      <c r="S65" s="28"/>
      <c r="T65" s="5"/>
      <c r="U65" s="9"/>
      <c r="V65" s="9"/>
    </row>
    <row r="66" customFormat="false" ht="15" hidden="false" customHeight="true" outlineLevel="0" collapsed="false">
      <c r="A66" s="6"/>
      <c r="B66" s="17"/>
      <c r="C66" s="17"/>
      <c r="D66" s="19"/>
      <c r="E66" s="17"/>
      <c r="F66" s="17"/>
      <c r="G66" s="19"/>
      <c r="H66" s="20"/>
      <c r="I66" s="20"/>
      <c r="J66" s="20"/>
      <c r="K66" s="6"/>
      <c r="L66" s="20"/>
      <c r="M66" s="20"/>
      <c r="N66" s="20"/>
      <c r="O66" s="6"/>
      <c r="P66" s="6"/>
      <c r="Q66" s="6"/>
      <c r="R66" s="5"/>
      <c r="S66" s="22"/>
      <c r="T66" s="5"/>
      <c r="U66" s="6"/>
      <c r="V66" s="6"/>
    </row>
    <row r="67" customFormat="false" ht="15" hidden="false" customHeight="true" outlineLevel="0" collapsed="false">
      <c r="A67" s="9"/>
      <c r="B67" s="26"/>
      <c r="C67" s="26"/>
      <c r="D67" s="19"/>
      <c r="E67" s="26"/>
      <c r="F67" s="26"/>
      <c r="G67" s="19"/>
      <c r="H67" s="27"/>
      <c r="I67" s="27"/>
      <c r="J67" s="27"/>
      <c r="K67" s="9"/>
      <c r="L67" s="27"/>
      <c r="M67" s="27"/>
      <c r="N67" s="27"/>
      <c r="O67" s="14"/>
      <c r="P67" s="9"/>
      <c r="Q67" s="9"/>
      <c r="R67" s="5"/>
      <c r="S67" s="28"/>
      <c r="T67" s="5"/>
      <c r="U67" s="9"/>
      <c r="V67" s="9"/>
    </row>
    <row r="68" customFormat="false" ht="15" hidden="false" customHeight="true" outlineLevel="0" collapsed="false">
      <c r="A68" s="6"/>
      <c r="B68" s="17"/>
      <c r="C68" s="17"/>
      <c r="D68" s="19"/>
      <c r="E68" s="17"/>
      <c r="F68" s="17"/>
      <c r="G68" s="19"/>
      <c r="H68" s="20"/>
      <c r="I68" s="20"/>
      <c r="J68" s="20"/>
      <c r="K68" s="6"/>
      <c r="L68" s="20"/>
      <c r="M68" s="20"/>
      <c r="N68" s="20"/>
      <c r="O68" s="6"/>
      <c r="P68" s="6"/>
      <c r="Q68" s="6"/>
      <c r="R68" s="5"/>
      <c r="S68" s="22"/>
      <c r="T68" s="5"/>
      <c r="U68" s="6"/>
      <c r="V68" s="6"/>
    </row>
    <row r="69" customFormat="false" ht="15" hidden="false" customHeight="true" outlineLevel="0" collapsed="false">
      <c r="A69" s="9"/>
      <c r="B69" s="26"/>
      <c r="C69" s="26"/>
      <c r="D69" s="19"/>
      <c r="E69" s="26"/>
      <c r="F69" s="26"/>
      <c r="G69" s="19"/>
      <c r="H69" s="27"/>
      <c r="I69" s="27"/>
      <c r="J69" s="27"/>
      <c r="K69" s="9"/>
      <c r="L69" s="27"/>
      <c r="M69" s="27"/>
      <c r="N69" s="27"/>
      <c r="O69" s="14"/>
      <c r="P69" s="9"/>
      <c r="Q69" s="9"/>
      <c r="R69" s="5"/>
      <c r="S69" s="28"/>
      <c r="T69" s="5"/>
      <c r="U69" s="9"/>
      <c r="V69" s="9"/>
    </row>
    <row r="70" customFormat="false" ht="15" hidden="false" customHeight="true" outlineLevel="0" collapsed="false">
      <c r="A70" s="6"/>
      <c r="B70" s="17"/>
      <c r="C70" s="17"/>
      <c r="D70" s="19"/>
      <c r="E70" s="17"/>
      <c r="F70" s="17"/>
      <c r="G70" s="19"/>
      <c r="H70" s="20"/>
      <c r="I70" s="20"/>
      <c r="J70" s="20"/>
      <c r="K70" s="6"/>
      <c r="L70" s="20"/>
      <c r="M70" s="20"/>
      <c r="N70" s="20"/>
      <c r="O70" s="6"/>
      <c r="P70" s="6"/>
      <c r="Q70" s="6"/>
      <c r="R70" s="5"/>
      <c r="S70" s="22"/>
      <c r="T70" s="5"/>
      <c r="U70" s="6"/>
      <c r="V70" s="6"/>
    </row>
    <row r="71" customFormat="false" ht="15" hidden="false" customHeight="true" outlineLevel="0" collapsed="false">
      <c r="A71" s="9"/>
      <c r="B71" s="26"/>
      <c r="C71" s="26"/>
      <c r="D71" s="19"/>
      <c r="E71" s="26"/>
      <c r="F71" s="26"/>
      <c r="G71" s="19"/>
      <c r="H71" s="27"/>
      <c r="I71" s="27"/>
      <c r="J71" s="27"/>
      <c r="K71" s="9"/>
      <c r="L71" s="27"/>
      <c r="M71" s="27"/>
      <c r="N71" s="27"/>
      <c r="O71" s="14"/>
      <c r="P71" s="9"/>
      <c r="Q71" s="9"/>
      <c r="R71" s="5"/>
      <c r="S71" s="28"/>
      <c r="T71" s="5"/>
      <c r="U71" s="9"/>
      <c r="V71" s="9"/>
    </row>
    <row r="72" customFormat="false" ht="15" hidden="false" customHeight="true" outlineLevel="0" collapsed="false">
      <c r="A72" s="6"/>
      <c r="B72" s="17"/>
      <c r="C72" s="17"/>
      <c r="D72" s="19"/>
      <c r="E72" s="17"/>
      <c r="F72" s="17"/>
      <c r="G72" s="19"/>
      <c r="H72" s="20"/>
      <c r="I72" s="20"/>
      <c r="J72" s="20"/>
      <c r="K72" s="6"/>
      <c r="L72" s="20"/>
      <c r="M72" s="20"/>
      <c r="N72" s="20"/>
      <c r="O72" s="6"/>
      <c r="P72" s="6"/>
      <c r="Q72" s="6"/>
      <c r="R72" s="5"/>
      <c r="S72" s="22"/>
      <c r="T72" s="5"/>
      <c r="U72" s="6"/>
      <c r="V72" s="6"/>
    </row>
    <row r="73" customFormat="false" ht="15" hidden="false" customHeight="true" outlineLevel="0" collapsed="false">
      <c r="A73" s="9"/>
      <c r="B73" s="26"/>
      <c r="C73" s="26"/>
      <c r="D73" s="19"/>
      <c r="E73" s="26"/>
      <c r="F73" s="26"/>
      <c r="G73" s="19"/>
      <c r="H73" s="27"/>
      <c r="I73" s="27"/>
      <c r="J73" s="27"/>
      <c r="K73" s="9"/>
      <c r="L73" s="27"/>
      <c r="M73" s="27"/>
      <c r="N73" s="27"/>
      <c r="O73" s="14"/>
      <c r="P73" s="9"/>
      <c r="Q73" s="9"/>
      <c r="R73" s="5"/>
      <c r="S73" s="28"/>
      <c r="T73" s="5"/>
      <c r="U73" s="9"/>
      <c r="V73" s="9"/>
    </row>
    <row r="74" customFormat="false" ht="15" hidden="false" customHeight="true" outlineLevel="0" collapsed="false">
      <c r="A74" s="6"/>
      <c r="B74" s="17"/>
      <c r="C74" s="17"/>
      <c r="D74" s="19"/>
      <c r="E74" s="17"/>
      <c r="F74" s="17"/>
      <c r="G74" s="19"/>
      <c r="H74" s="20"/>
      <c r="I74" s="20"/>
      <c r="J74" s="20"/>
      <c r="K74" s="6"/>
      <c r="L74" s="20"/>
      <c r="M74" s="20"/>
      <c r="N74" s="20"/>
      <c r="O74" s="6"/>
      <c r="P74" s="6"/>
      <c r="Q74" s="6"/>
      <c r="R74" s="5"/>
      <c r="S74" s="22"/>
      <c r="T74" s="5"/>
      <c r="U74" s="6"/>
      <c r="V74" s="6"/>
    </row>
    <row r="75" customFormat="false" ht="15" hidden="false" customHeight="true" outlineLevel="0" collapsed="false">
      <c r="A75" s="9"/>
      <c r="B75" s="26"/>
      <c r="C75" s="26"/>
      <c r="D75" s="19"/>
      <c r="E75" s="26"/>
      <c r="F75" s="26"/>
      <c r="G75" s="19"/>
      <c r="H75" s="27"/>
      <c r="I75" s="27"/>
      <c r="J75" s="27"/>
      <c r="K75" s="9"/>
      <c r="L75" s="27"/>
      <c r="M75" s="27"/>
      <c r="N75" s="27"/>
      <c r="O75" s="14"/>
      <c r="P75" s="9"/>
      <c r="Q75" s="9"/>
      <c r="R75" s="5"/>
      <c r="S75" s="28"/>
      <c r="T75" s="5"/>
      <c r="U75" s="9"/>
      <c r="V75" s="9"/>
    </row>
    <row r="76" customFormat="false" ht="15" hidden="false" customHeight="true" outlineLevel="0" collapsed="false">
      <c r="A76" s="6"/>
      <c r="B76" s="17"/>
      <c r="C76" s="17"/>
      <c r="D76" s="19"/>
      <c r="E76" s="17"/>
      <c r="F76" s="17"/>
      <c r="G76" s="19"/>
      <c r="H76" s="20"/>
      <c r="I76" s="20"/>
      <c r="J76" s="20"/>
      <c r="K76" s="6"/>
      <c r="L76" s="20"/>
      <c r="M76" s="20"/>
      <c r="N76" s="20"/>
      <c r="O76" s="6"/>
      <c r="P76" s="6"/>
      <c r="Q76" s="6"/>
      <c r="R76" s="5"/>
      <c r="S76" s="22"/>
      <c r="T76" s="5"/>
      <c r="U76" s="6"/>
      <c r="V76" s="6"/>
    </row>
    <row r="77" customFormat="false" ht="15" hidden="false" customHeight="true" outlineLevel="0" collapsed="false">
      <c r="A77" s="9"/>
      <c r="B77" s="26"/>
      <c r="C77" s="26"/>
      <c r="D77" s="19"/>
      <c r="E77" s="26"/>
      <c r="F77" s="26"/>
      <c r="G77" s="19"/>
      <c r="H77" s="27"/>
      <c r="I77" s="27"/>
      <c r="J77" s="27"/>
      <c r="K77" s="9"/>
      <c r="L77" s="27"/>
      <c r="M77" s="27"/>
      <c r="N77" s="27"/>
      <c r="O77" s="14"/>
      <c r="P77" s="9"/>
      <c r="Q77" s="9"/>
      <c r="R77" s="5"/>
      <c r="S77" s="28"/>
      <c r="T77" s="5"/>
      <c r="U77" s="9"/>
      <c r="V77" s="9"/>
    </row>
    <row r="78" customFormat="false" ht="15" hidden="false" customHeight="true" outlineLevel="0" collapsed="false">
      <c r="A78" s="6"/>
      <c r="B78" s="17"/>
      <c r="C78" s="17"/>
      <c r="D78" s="19"/>
      <c r="E78" s="17"/>
      <c r="F78" s="17"/>
      <c r="G78" s="19"/>
      <c r="H78" s="20"/>
      <c r="I78" s="20"/>
      <c r="J78" s="20"/>
      <c r="K78" s="6"/>
      <c r="L78" s="20"/>
      <c r="M78" s="20"/>
      <c r="N78" s="20"/>
      <c r="O78" s="6"/>
      <c r="P78" s="6"/>
      <c r="Q78" s="6"/>
      <c r="R78" s="5"/>
      <c r="S78" s="22"/>
      <c r="T78" s="5"/>
      <c r="U78" s="6"/>
      <c r="V78" s="6"/>
    </row>
    <row r="79" customFormat="false" ht="15" hidden="false" customHeight="true" outlineLevel="0" collapsed="false">
      <c r="A79" s="9"/>
      <c r="B79" s="26"/>
      <c r="C79" s="26"/>
      <c r="D79" s="19"/>
      <c r="E79" s="26"/>
      <c r="F79" s="26"/>
      <c r="G79" s="19"/>
      <c r="H79" s="27"/>
      <c r="I79" s="27"/>
      <c r="J79" s="27"/>
      <c r="K79" s="9"/>
      <c r="L79" s="27"/>
      <c r="M79" s="27"/>
      <c r="N79" s="27"/>
      <c r="O79" s="14"/>
      <c r="P79" s="9"/>
      <c r="Q79" s="9"/>
      <c r="R79" s="5"/>
      <c r="S79" s="28"/>
      <c r="T79" s="5"/>
      <c r="U79" s="9"/>
      <c r="V79" s="9"/>
    </row>
    <row r="80" customFormat="false" ht="15" hidden="false" customHeight="true" outlineLevel="0" collapsed="false">
      <c r="A80" s="6"/>
      <c r="B80" s="17"/>
      <c r="C80" s="17"/>
      <c r="D80" s="19"/>
      <c r="E80" s="17"/>
      <c r="F80" s="17"/>
      <c r="G80" s="19"/>
      <c r="H80" s="20"/>
      <c r="I80" s="20"/>
      <c r="J80" s="20"/>
      <c r="K80" s="6"/>
      <c r="L80" s="20"/>
      <c r="M80" s="20"/>
      <c r="N80" s="20"/>
      <c r="O80" s="6"/>
      <c r="P80" s="6"/>
      <c r="Q80" s="6"/>
      <c r="R80" s="5"/>
      <c r="S80" s="22"/>
      <c r="T80" s="5"/>
      <c r="U80" s="6"/>
      <c r="V80" s="6"/>
    </row>
    <row r="81" customFormat="false" ht="15" hidden="false" customHeight="true" outlineLevel="0" collapsed="false">
      <c r="A81" s="9"/>
      <c r="B81" s="26"/>
      <c r="C81" s="26"/>
      <c r="D81" s="19"/>
      <c r="E81" s="26"/>
      <c r="F81" s="26"/>
      <c r="G81" s="19"/>
      <c r="H81" s="27"/>
      <c r="I81" s="27"/>
      <c r="J81" s="27"/>
      <c r="K81" s="9"/>
      <c r="L81" s="27"/>
      <c r="M81" s="27"/>
      <c r="N81" s="27"/>
      <c r="O81" s="14"/>
      <c r="P81" s="9"/>
      <c r="Q81" s="9"/>
      <c r="R81" s="5"/>
      <c r="S81" s="28"/>
      <c r="T81" s="5"/>
      <c r="U81" s="9"/>
      <c r="V81" s="9"/>
    </row>
    <row r="82" customFormat="false" ht="15" hidden="false" customHeight="true" outlineLevel="0" collapsed="false">
      <c r="A82" s="6"/>
      <c r="B82" s="17"/>
      <c r="C82" s="17"/>
      <c r="D82" s="19"/>
      <c r="E82" s="17"/>
      <c r="F82" s="17"/>
      <c r="G82" s="19"/>
      <c r="H82" s="20"/>
      <c r="I82" s="20"/>
      <c r="J82" s="20"/>
      <c r="K82" s="6"/>
      <c r="L82" s="20"/>
      <c r="M82" s="20"/>
      <c r="N82" s="20"/>
      <c r="O82" s="6"/>
      <c r="P82" s="6"/>
      <c r="Q82" s="6"/>
      <c r="R82" s="5"/>
      <c r="S82" s="22"/>
      <c r="T82" s="5"/>
      <c r="U82" s="6"/>
      <c r="V82" s="6"/>
    </row>
    <row r="83" customFormat="false" ht="15" hidden="false" customHeight="true" outlineLevel="0" collapsed="false">
      <c r="A83" s="9"/>
      <c r="B83" s="26"/>
      <c r="C83" s="26"/>
      <c r="D83" s="19"/>
      <c r="E83" s="26"/>
      <c r="F83" s="26"/>
      <c r="G83" s="19"/>
      <c r="H83" s="27"/>
      <c r="I83" s="27"/>
      <c r="J83" s="27"/>
      <c r="K83" s="9"/>
      <c r="L83" s="27"/>
      <c r="M83" s="27"/>
      <c r="N83" s="27"/>
      <c r="O83" s="14"/>
      <c r="P83" s="9"/>
      <c r="Q83" s="9"/>
      <c r="R83" s="5"/>
      <c r="S83" s="28"/>
      <c r="T83" s="5"/>
      <c r="U83" s="9"/>
      <c r="V83" s="9"/>
    </row>
    <row r="84" customFormat="false" ht="15" hidden="false" customHeight="true" outlineLevel="0" collapsed="false">
      <c r="A84" s="6"/>
      <c r="B84" s="17"/>
      <c r="C84" s="17"/>
      <c r="D84" s="19"/>
      <c r="E84" s="17"/>
      <c r="F84" s="17"/>
      <c r="G84" s="19"/>
      <c r="H84" s="20"/>
      <c r="I84" s="20"/>
      <c r="J84" s="20"/>
      <c r="K84" s="6"/>
      <c r="L84" s="20"/>
      <c r="M84" s="20"/>
      <c r="N84" s="20"/>
      <c r="O84" s="6"/>
      <c r="P84" s="6"/>
      <c r="Q84" s="6"/>
      <c r="R84" s="5"/>
      <c r="S84" s="22"/>
      <c r="T84" s="5"/>
      <c r="U84" s="6"/>
      <c r="V84" s="6"/>
    </row>
    <row r="85" customFormat="false" ht="15" hidden="false" customHeight="true" outlineLevel="0" collapsed="false">
      <c r="A85" s="9"/>
      <c r="B85" s="26"/>
      <c r="C85" s="26"/>
      <c r="D85" s="19"/>
      <c r="E85" s="26"/>
      <c r="F85" s="26"/>
      <c r="G85" s="19"/>
      <c r="H85" s="27"/>
      <c r="I85" s="27"/>
      <c r="J85" s="27"/>
      <c r="K85" s="9"/>
      <c r="L85" s="27"/>
      <c r="M85" s="27"/>
      <c r="N85" s="27"/>
      <c r="O85" s="14"/>
      <c r="P85" s="9"/>
      <c r="Q85" s="9"/>
      <c r="R85" s="5"/>
      <c r="S85" s="28"/>
      <c r="T85" s="5"/>
      <c r="U85" s="9"/>
      <c r="V85" s="9"/>
    </row>
    <row r="86" customFormat="false" ht="15" hidden="false" customHeight="true" outlineLevel="0" collapsed="false">
      <c r="A86" s="6"/>
      <c r="B86" s="17"/>
      <c r="C86" s="17"/>
      <c r="D86" s="19"/>
      <c r="E86" s="17"/>
      <c r="F86" s="17"/>
      <c r="G86" s="19"/>
      <c r="H86" s="20"/>
      <c r="I86" s="20"/>
      <c r="J86" s="20"/>
      <c r="K86" s="6"/>
      <c r="L86" s="20"/>
      <c r="M86" s="20"/>
      <c r="N86" s="20"/>
      <c r="O86" s="6"/>
      <c r="P86" s="6"/>
      <c r="Q86" s="6"/>
      <c r="R86" s="5"/>
      <c r="S86" s="22"/>
      <c r="T86" s="5"/>
      <c r="U86" s="6"/>
      <c r="V86" s="6"/>
    </row>
    <row r="87" customFormat="false" ht="15" hidden="false" customHeight="true" outlineLevel="0" collapsed="false">
      <c r="A87" s="9"/>
      <c r="B87" s="26"/>
      <c r="C87" s="26"/>
      <c r="D87" s="19"/>
      <c r="E87" s="26"/>
      <c r="F87" s="26"/>
      <c r="G87" s="19"/>
      <c r="H87" s="27"/>
      <c r="I87" s="27"/>
      <c r="J87" s="27"/>
      <c r="K87" s="9"/>
      <c r="L87" s="27"/>
      <c r="M87" s="27"/>
      <c r="N87" s="27"/>
      <c r="O87" s="14"/>
      <c r="P87" s="9"/>
      <c r="Q87" s="9"/>
      <c r="R87" s="5"/>
      <c r="S87" s="28"/>
      <c r="T87" s="5"/>
      <c r="U87" s="9"/>
      <c r="V87" s="9"/>
    </row>
    <row r="88" customFormat="false" ht="15" hidden="false" customHeight="true" outlineLevel="0" collapsed="false">
      <c r="A88" s="6"/>
      <c r="B88" s="17"/>
      <c r="C88" s="17"/>
      <c r="D88" s="19"/>
      <c r="E88" s="17"/>
      <c r="F88" s="17"/>
      <c r="G88" s="19"/>
      <c r="H88" s="20"/>
      <c r="I88" s="20"/>
      <c r="J88" s="20"/>
      <c r="K88" s="6"/>
      <c r="L88" s="20"/>
      <c r="M88" s="20"/>
      <c r="N88" s="20"/>
      <c r="O88" s="6"/>
      <c r="P88" s="6"/>
      <c r="Q88" s="6"/>
      <c r="R88" s="5"/>
      <c r="S88" s="22"/>
      <c r="T88" s="5"/>
      <c r="U88" s="6"/>
      <c r="V88" s="6"/>
    </row>
    <row r="89" customFormat="false" ht="15" hidden="false" customHeight="true" outlineLevel="0" collapsed="false">
      <c r="A89" s="9"/>
      <c r="B89" s="26"/>
      <c r="C89" s="26"/>
      <c r="D89" s="19"/>
      <c r="E89" s="26"/>
      <c r="F89" s="26"/>
      <c r="G89" s="19"/>
      <c r="H89" s="27"/>
      <c r="I89" s="27"/>
      <c r="J89" s="27"/>
      <c r="K89" s="9"/>
      <c r="L89" s="27"/>
      <c r="M89" s="27"/>
      <c r="N89" s="27"/>
      <c r="O89" s="14"/>
      <c r="P89" s="9"/>
      <c r="Q89" s="9"/>
      <c r="R89" s="5"/>
      <c r="S89" s="28"/>
      <c r="T89" s="5"/>
      <c r="U89" s="9"/>
      <c r="V89" s="9"/>
    </row>
    <row r="90" customFormat="false" ht="15" hidden="false" customHeight="true" outlineLevel="0" collapsed="false">
      <c r="A90" s="6"/>
      <c r="B90" s="17"/>
      <c r="C90" s="17"/>
      <c r="D90" s="19"/>
      <c r="E90" s="17"/>
      <c r="F90" s="17"/>
      <c r="G90" s="19"/>
      <c r="H90" s="20"/>
      <c r="I90" s="20"/>
      <c r="J90" s="20"/>
      <c r="K90" s="6"/>
      <c r="L90" s="20"/>
      <c r="M90" s="20"/>
      <c r="N90" s="20"/>
      <c r="O90" s="6"/>
      <c r="P90" s="6"/>
      <c r="Q90" s="6"/>
      <c r="R90" s="5"/>
      <c r="S90" s="22"/>
      <c r="T90" s="5"/>
      <c r="U90" s="6"/>
      <c r="V90" s="6"/>
    </row>
    <row r="91" customFormat="false" ht="15" hidden="false" customHeight="true" outlineLevel="0" collapsed="false">
      <c r="A91" s="9"/>
      <c r="B91" s="26"/>
      <c r="C91" s="26"/>
      <c r="D91" s="19"/>
      <c r="E91" s="26"/>
      <c r="F91" s="26"/>
      <c r="G91" s="19"/>
      <c r="H91" s="27"/>
      <c r="I91" s="27"/>
      <c r="J91" s="27"/>
      <c r="K91" s="9"/>
      <c r="L91" s="27"/>
      <c r="M91" s="27"/>
      <c r="N91" s="27"/>
      <c r="O91" s="14"/>
      <c r="P91" s="9"/>
      <c r="Q91" s="9"/>
      <c r="R91" s="5"/>
      <c r="S91" s="28"/>
      <c r="T91" s="5"/>
      <c r="U91" s="9"/>
      <c r="V91" s="9"/>
    </row>
    <row r="92" customFormat="false" ht="15" hidden="false" customHeight="true" outlineLevel="0" collapsed="false">
      <c r="A92" s="6"/>
      <c r="B92" s="17"/>
      <c r="C92" s="17"/>
      <c r="D92" s="19"/>
      <c r="E92" s="17"/>
      <c r="F92" s="17"/>
      <c r="G92" s="19"/>
      <c r="H92" s="20"/>
      <c r="I92" s="20"/>
      <c r="J92" s="20"/>
      <c r="K92" s="6"/>
      <c r="L92" s="20"/>
      <c r="M92" s="20"/>
      <c r="N92" s="20"/>
      <c r="O92" s="6"/>
      <c r="P92" s="6"/>
      <c r="Q92" s="6"/>
      <c r="R92" s="5"/>
      <c r="S92" s="22"/>
      <c r="T92" s="5"/>
      <c r="U92" s="6"/>
      <c r="V92" s="6"/>
    </row>
    <row r="93" customFormat="false" ht="15" hidden="false" customHeight="true" outlineLevel="0" collapsed="false">
      <c r="A93" s="9"/>
      <c r="B93" s="26"/>
      <c r="C93" s="26"/>
      <c r="D93" s="19"/>
      <c r="E93" s="26"/>
      <c r="F93" s="26"/>
      <c r="G93" s="19"/>
      <c r="H93" s="27"/>
      <c r="I93" s="27"/>
      <c r="J93" s="27"/>
      <c r="K93" s="9"/>
      <c r="L93" s="27"/>
      <c r="M93" s="27"/>
      <c r="N93" s="27"/>
      <c r="O93" s="14"/>
      <c r="P93" s="9"/>
      <c r="Q93" s="9"/>
      <c r="R93" s="5"/>
      <c r="S93" s="28"/>
      <c r="T93" s="5"/>
      <c r="U93" s="9"/>
      <c r="V93" s="9"/>
    </row>
    <row r="94" customFormat="false" ht="15" hidden="false" customHeight="true" outlineLevel="0" collapsed="false">
      <c r="A94" s="6"/>
      <c r="B94" s="17"/>
      <c r="C94" s="17"/>
      <c r="D94" s="19"/>
      <c r="E94" s="17"/>
      <c r="F94" s="17"/>
      <c r="G94" s="19"/>
      <c r="H94" s="20"/>
      <c r="I94" s="20"/>
      <c r="J94" s="20"/>
      <c r="K94" s="6"/>
      <c r="L94" s="20"/>
      <c r="M94" s="20"/>
      <c r="N94" s="20"/>
      <c r="O94" s="6"/>
      <c r="P94" s="6"/>
      <c r="Q94" s="6"/>
      <c r="R94" s="5"/>
      <c r="S94" s="22"/>
      <c r="T94" s="5"/>
      <c r="U94" s="6"/>
      <c r="V94" s="6"/>
    </row>
    <row r="95" customFormat="false" ht="15" hidden="false" customHeight="true" outlineLevel="0" collapsed="false">
      <c r="A95" s="9"/>
      <c r="B95" s="26"/>
      <c r="C95" s="26"/>
      <c r="D95" s="19"/>
      <c r="E95" s="26"/>
      <c r="F95" s="26"/>
      <c r="G95" s="19"/>
      <c r="H95" s="27"/>
      <c r="I95" s="27"/>
      <c r="J95" s="27"/>
      <c r="K95" s="9"/>
      <c r="L95" s="27"/>
      <c r="M95" s="27"/>
      <c r="N95" s="27"/>
      <c r="O95" s="14"/>
      <c r="P95" s="9"/>
      <c r="Q95" s="9"/>
      <c r="R95" s="5"/>
      <c r="S95" s="28"/>
      <c r="T95" s="5"/>
      <c r="U95" s="9"/>
      <c r="V95" s="9"/>
    </row>
    <row r="96" customFormat="false" ht="15" hidden="false" customHeight="true" outlineLevel="0" collapsed="false">
      <c r="A96" s="6"/>
      <c r="B96" s="17"/>
      <c r="C96" s="17"/>
      <c r="D96" s="19"/>
      <c r="E96" s="17"/>
      <c r="F96" s="17"/>
      <c r="G96" s="19"/>
      <c r="H96" s="20"/>
      <c r="I96" s="20"/>
      <c r="J96" s="20"/>
      <c r="K96" s="6"/>
      <c r="L96" s="20"/>
      <c r="M96" s="20"/>
      <c r="N96" s="20"/>
      <c r="O96" s="6"/>
      <c r="P96" s="6"/>
      <c r="Q96" s="6"/>
      <c r="R96" s="5"/>
      <c r="S96" s="22"/>
      <c r="T96" s="5"/>
      <c r="U96" s="6"/>
      <c r="V96" s="6"/>
    </row>
    <row r="97" customFormat="false" ht="15" hidden="false" customHeight="true" outlineLevel="0" collapsed="false">
      <c r="A97" s="9"/>
      <c r="B97" s="26"/>
      <c r="C97" s="26"/>
      <c r="D97" s="19"/>
      <c r="E97" s="26"/>
      <c r="F97" s="26"/>
      <c r="G97" s="19"/>
      <c r="H97" s="27"/>
      <c r="I97" s="27"/>
      <c r="J97" s="27"/>
      <c r="K97" s="9"/>
      <c r="L97" s="27"/>
      <c r="M97" s="27"/>
      <c r="N97" s="27"/>
      <c r="O97" s="14"/>
      <c r="P97" s="9"/>
      <c r="Q97" s="9"/>
      <c r="R97" s="5"/>
      <c r="S97" s="28"/>
      <c r="T97" s="5"/>
      <c r="U97" s="9"/>
      <c r="V97" s="9"/>
    </row>
    <row r="98" customFormat="false" ht="15" hidden="false" customHeight="true" outlineLevel="0" collapsed="false">
      <c r="A98" s="6"/>
      <c r="B98" s="17"/>
      <c r="C98" s="17"/>
      <c r="D98" s="19"/>
      <c r="E98" s="17"/>
      <c r="F98" s="17"/>
      <c r="G98" s="19"/>
      <c r="H98" s="20"/>
      <c r="I98" s="20"/>
      <c r="J98" s="20"/>
      <c r="K98" s="6"/>
      <c r="L98" s="20"/>
      <c r="M98" s="20"/>
      <c r="N98" s="20"/>
      <c r="O98" s="6"/>
      <c r="P98" s="6"/>
      <c r="Q98" s="6"/>
      <c r="R98" s="5"/>
      <c r="S98" s="22"/>
      <c r="T98" s="5"/>
      <c r="U98" s="6"/>
      <c r="V98" s="6"/>
    </row>
    <row r="99" customFormat="false" ht="15" hidden="false" customHeight="true" outlineLevel="0" collapsed="false">
      <c r="A99" s="9"/>
      <c r="B99" s="26"/>
      <c r="C99" s="26"/>
      <c r="D99" s="19"/>
      <c r="E99" s="26"/>
      <c r="F99" s="26"/>
      <c r="G99" s="19"/>
      <c r="H99" s="27"/>
      <c r="I99" s="27"/>
      <c r="J99" s="27"/>
      <c r="K99" s="9"/>
      <c r="L99" s="27"/>
      <c r="M99" s="27"/>
      <c r="N99" s="27"/>
      <c r="O99" s="14"/>
      <c r="P99" s="9"/>
      <c r="Q99" s="9"/>
      <c r="R99" s="5"/>
      <c r="S99" s="28"/>
      <c r="T99" s="5"/>
      <c r="U99" s="9"/>
      <c r="V99" s="9"/>
    </row>
    <row r="100" customFormat="false" ht="15" hidden="false" customHeight="true" outlineLevel="0" collapsed="false">
      <c r="A100" s="6"/>
      <c r="B100" s="17"/>
      <c r="C100" s="17"/>
      <c r="D100" s="19"/>
      <c r="E100" s="17"/>
      <c r="F100" s="17"/>
      <c r="G100" s="19"/>
      <c r="H100" s="20"/>
      <c r="I100" s="20"/>
      <c r="J100" s="20"/>
      <c r="K100" s="6"/>
      <c r="L100" s="20"/>
      <c r="M100" s="20"/>
      <c r="N100" s="20"/>
      <c r="O100" s="6"/>
      <c r="P100" s="6"/>
      <c r="Q100" s="6"/>
      <c r="R100" s="5"/>
      <c r="S100" s="22"/>
      <c r="T100" s="5"/>
      <c r="U100" s="6"/>
      <c r="V100" s="6"/>
    </row>
    <row r="101" customFormat="false" ht="15" hidden="false" customHeight="true" outlineLevel="0" collapsed="false">
      <c r="A101" s="9"/>
      <c r="B101" s="26"/>
      <c r="C101" s="26"/>
      <c r="D101" s="19"/>
      <c r="E101" s="26"/>
      <c r="F101" s="26"/>
      <c r="G101" s="19"/>
      <c r="H101" s="27"/>
      <c r="I101" s="27"/>
      <c r="J101" s="27"/>
      <c r="K101" s="9"/>
      <c r="L101" s="27"/>
      <c r="M101" s="27"/>
      <c r="N101" s="27"/>
      <c r="O101" s="14"/>
      <c r="P101" s="9"/>
      <c r="Q101" s="9"/>
      <c r="R101" s="5"/>
      <c r="S101" s="28"/>
      <c r="T101" s="5"/>
      <c r="U101" s="9"/>
      <c r="V101" s="9"/>
    </row>
    <row r="102" customFormat="false" ht="15" hidden="false" customHeight="true" outlineLevel="0" collapsed="false">
      <c r="A102" s="6"/>
      <c r="B102" s="17"/>
      <c r="C102" s="17"/>
      <c r="D102" s="19"/>
      <c r="E102" s="17"/>
      <c r="F102" s="17"/>
      <c r="G102" s="19"/>
      <c r="H102" s="20"/>
      <c r="I102" s="20"/>
      <c r="J102" s="20"/>
      <c r="K102" s="6"/>
      <c r="L102" s="20"/>
      <c r="M102" s="20"/>
      <c r="N102" s="20"/>
      <c r="O102" s="6"/>
      <c r="P102" s="6"/>
      <c r="Q102" s="6"/>
      <c r="R102" s="5"/>
      <c r="S102" s="22"/>
      <c r="T102" s="5"/>
      <c r="U102" s="6"/>
      <c r="V102" s="6"/>
    </row>
    <row r="103" customFormat="false" ht="15" hidden="false" customHeight="true" outlineLevel="0" collapsed="false">
      <c r="A103" s="9"/>
      <c r="B103" s="26"/>
      <c r="C103" s="26"/>
      <c r="D103" s="19"/>
      <c r="E103" s="26"/>
      <c r="F103" s="26"/>
      <c r="G103" s="19"/>
      <c r="H103" s="27"/>
      <c r="I103" s="27"/>
      <c r="J103" s="27"/>
      <c r="K103" s="9"/>
      <c r="L103" s="27"/>
      <c r="M103" s="27"/>
      <c r="N103" s="27"/>
      <c r="O103" s="14"/>
      <c r="P103" s="9"/>
      <c r="Q103" s="9"/>
      <c r="R103" s="5"/>
      <c r="S103" s="28"/>
      <c r="T103" s="5"/>
      <c r="U103" s="9"/>
      <c r="V103" s="9"/>
    </row>
    <row r="104" customFormat="false" ht="15" hidden="false" customHeight="true" outlineLevel="0" collapsed="false">
      <c r="A104" s="6"/>
      <c r="B104" s="17"/>
      <c r="C104" s="17"/>
      <c r="D104" s="19"/>
      <c r="E104" s="17"/>
      <c r="F104" s="17"/>
      <c r="G104" s="19"/>
      <c r="H104" s="20"/>
      <c r="I104" s="20"/>
      <c r="J104" s="20"/>
      <c r="K104" s="6"/>
      <c r="L104" s="20"/>
      <c r="M104" s="20"/>
      <c r="N104" s="20"/>
      <c r="O104" s="6"/>
      <c r="P104" s="6"/>
      <c r="Q104" s="6"/>
      <c r="R104" s="5"/>
      <c r="S104" s="22"/>
      <c r="T104" s="5"/>
      <c r="U104" s="6"/>
      <c r="V104" s="6"/>
    </row>
    <row r="105" customFormat="false" ht="15" hidden="false" customHeight="true" outlineLevel="0" collapsed="false">
      <c r="A105" s="9"/>
      <c r="B105" s="26"/>
      <c r="C105" s="26"/>
      <c r="D105" s="19"/>
      <c r="E105" s="26"/>
      <c r="F105" s="26"/>
      <c r="G105" s="19"/>
      <c r="H105" s="27"/>
      <c r="I105" s="27"/>
      <c r="J105" s="27"/>
      <c r="K105" s="9"/>
      <c r="L105" s="27"/>
      <c r="M105" s="27"/>
      <c r="N105" s="27"/>
      <c r="O105" s="14"/>
      <c r="P105" s="9"/>
      <c r="Q105" s="9"/>
      <c r="R105" s="5"/>
      <c r="S105" s="28"/>
      <c r="T105" s="5"/>
      <c r="U105" s="9"/>
      <c r="V105" s="9"/>
    </row>
    <row r="106" customFormat="false" ht="15" hidden="false" customHeight="true" outlineLevel="0" collapsed="false">
      <c r="A106" s="6"/>
      <c r="B106" s="17"/>
      <c r="C106" s="17"/>
      <c r="D106" s="19"/>
      <c r="E106" s="17"/>
      <c r="F106" s="17"/>
      <c r="G106" s="19"/>
      <c r="H106" s="20"/>
      <c r="I106" s="20"/>
      <c r="J106" s="20"/>
      <c r="K106" s="6"/>
      <c r="L106" s="20"/>
      <c r="M106" s="20"/>
      <c r="N106" s="20"/>
      <c r="O106" s="6"/>
      <c r="P106" s="6"/>
      <c r="Q106" s="6"/>
      <c r="R106" s="5"/>
      <c r="S106" s="22"/>
      <c r="T106" s="5"/>
      <c r="U106" s="6"/>
      <c r="V106" s="6"/>
    </row>
    <row r="107" customFormat="false" ht="15" hidden="false" customHeight="true" outlineLevel="0" collapsed="false">
      <c r="A107" s="9"/>
      <c r="B107" s="26"/>
      <c r="C107" s="26"/>
      <c r="D107" s="19"/>
      <c r="E107" s="26"/>
      <c r="F107" s="26"/>
      <c r="G107" s="19"/>
      <c r="H107" s="27"/>
      <c r="I107" s="27"/>
      <c r="J107" s="27"/>
      <c r="K107" s="9"/>
      <c r="L107" s="27"/>
      <c r="M107" s="27"/>
      <c r="N107" s="27"/>
      <c r="O107" s="14"/>
      <c r="P107" s="9"/>
      <c r="Q107" s="9"/>
      <c r="R107" s="5"/>
      <c r="S107" s="28"/>
      <c r="T107" s="5"/>
      <c r="U107" s="9"/>
      <c r="V107" s="9"/>
    </row>
    <row r="108" customFormat="false" ht="15" hidden="false" customHeight="true" outlineLevel="0" collapsed="false">
      <c r="A108" s="6"/>
      <c r="B108" s="17"/>
      <c r="C108" s="17"/>
      <c r="D108" s="19"/>
      <c r="E108" s="17"/>
      <c r="F108" s="17"/>
      <c r="G108" s="19"/>
      <c r="H108" s="20"/>
      <c r="I108" s="20"/>
      <c r="J108" s="20"/>
      <c r="K108" s="6"/>
      <c r="L108" s="20"/>
      <c r="M108" s="20"/>
      <c r="N108" s="20"/>
      <c r="O108" s="6"/>
      <c r="P108" s="6"/>
      <c r="Q108" s="6"/>
      <c r="R108" s="5"/>
      <c r="S108" s="22"/>
      <c r="T108" s="5"/>
      <c r="U108" s="6"/>
      <c r="V108" s="6"/>
    </row>
    <row r="109" customFormat="false" ht="15" hidden="false" customHeight="true" outlineLevel="0" collapsed="false">
      <c r="A109" s="9"/>
      <c r="B109" s="26"/>
      <c r="C109" s="26"/>
      <c r="D109" s="19"/>
      <c r="E109" s="26"/>
      <c r="F109" s="26"/>
      <c r="G109" s="19"/>
      <c r="H109" s="27"/>
      <c r="I109" s="27"/>
      <c r="J109" s="27"/>
      <c r="K109" s="9"/>
      <c r="L109" s="27"/>
      <c r="M109" s="27"/>
      <c r="N109" s="27"/>
      <c r="O109" s="14"/>
      <c r="P109" s="9"/>
      <c r="Q109" s="9"/>
      <c r="R109" s="5"/>
      <c r="S109" s="28"/>
      <c r="T109" s="5"/>
      <c r="U109" s="9"/>
      <c r="V109" s="9"/>
    </row>
    <row r="110" customFormat="false" ht="15" hidden="false" customHeight="true" outlineLevel="0" collapsed="false">
      <c r="A110" s="6"/>
      <c r="B110" s="17"/>
      <c r="C110" s="17"/>
      <c r="D110" s="19"/>
      <c r="E110" s="17"/>
      <c r="F110" s="17"/>
      <c r="G110" s="19"/>
      <c r="H110" s="20"/>
      <c r="I110" s="20"/>
      <c r="J110" s="20"/>
      <c r="K110" s="6"/>
      <c r="L110" s="20"/>
      <c r="M110" s="20"/>
      <c r="N110" s="20"/>
      <c r="O110" s="6"/>
      <c r="P110" s="6"/>
      <c r="Q110" s="6"/>
      <c r="R110" s="5"/>
      <c r="S110" s="22"/>
      <c r="T110" s="5"/>
      <c r="U110" s="6"/>
      <c r="V110" s="6"/>
    </row>
    <row r="111" customFormat="false" ht="15" hidden="false" customHeight="true" outlineLevel="0" collapsed="false">
      <c r="A111" s="9"/>
      <c r="B111" s="26"/>
      <c r="C111" s="26"/>
      <c r="D111" s="19"/>
      <c r="E111" s="26"/>
      <c r="F111" s="26"/>
      <c r="G111" s="19"/>
      <c r="H111" s="27"/>
      <c r="I111" s="27"/>
      <c r="J111" s="27"/>
      <c r="K111" s="9"/>
      <c r="L111" s="27"/>
      <c r="M111" s="27"/>
      <c r="N111" s="27"/>
      <c r="O111" s="14"/>
      <c r="P111" s="9"/>
      <c r="Q111" s="9"/>
      <c r="R111" s="5"/>
      <c r="S111" s="28"/>
      <c r="T111" s="5"/>
      <c r="U111" s="9"/>
      <c r="V111" s="9"/>
    </row>
    <row r="112" customFormat="false" ht="15" hidden="false" customHeight="true" outlineLevel="0" collapsed="false">
      <c r="A112" s="6"/>
      <c r="B112" s="17"/>
      <c r="C112" s="17"/>
      <c r="D112" s="19"/>
      <c r="E112" s="17"/>
      <c r="F112" s="17"/>
      <c r="G112" s="19"/>
      <c r="H112" s="20"/>
      <c r="I112" s="20"/>
      <c r="J112" s="20"/>
      <c r="K112" s="6"/>
      <c r="L112" s="20"/>
      <c r="M112" s="20"/>
      <c r="N112" s="20"/>
      <c r="O112" s="6"/>
      <c r="P112" s="6"/>
      <c r="Q112" s="6"/>
      <c r="R112" s="5"/>
      <c r="S112" s="22"/>
      <c r="T112" s="5"/>
      <c r="U112" s="6"/>
      <c r="V112" s="6"/>
    </row>
    <row r="113" customFormat="false" ht="15" hidden="false" customHeight="true" outlineLevel="0" collapsed="false">
      <c r="A113" s="9"/>
      <c r="B113" s="26"/>
      <c r="C113" s="26"/>
      <c r="D113" s="19"/>
      <c r="E113" s="26"/>
      <c r="F113" s="26"/>
      <c r="G113" s="19"/>
      <c r="H113" s="27"/>
      <c r="I113" s="27"/>
      <c r="J113" s="27"/>
      <c r="K113" s="9"/>
      <c r="L113" s="27"/>
      <c r="M113" s="27"/>
      <c r="N113" s="27"/>
      <c r="O113" s="14"/>
      <c r="P113" s="9"/>
      <c r="Q113" s="9"/>
      <c r="R113" s="5"/>
      <c r="S113" s="28"/>
      <c r="T113" s="5"/>
      <c r="U113" s="9"/>
      <c r="V113" s="9"/>
    </row>
    <row r="114" customFormat="false" ht="15" hidden="false" customHeight="true" outlineLevel="0" collapsed="false">
      <c r="A114" s="6"/>
      <c r="B114" s="17"/>
      <c r="C114" s="17"/>
      <c r="D114" s="19"/>
      <c r="E114" s="17"/>
      <c r="F114" s="17"/>
      <c r="G114" s="19"/>
      <c r="H114" s="20"/>
      <c r="I114" s="20"/>
      <c r="J114" s="20"/>
      <c r="K114" s="6"/>
      <c r="L114" s="20"/>
      <c r="M114" s="20"/>
      <c r="N114" s="20"/>
      <c r="O114" s="6"/>
      <c r="P114" s="6"/>
      <c r="Q114" s="6"/>
      <c r="R114" s="5"/>
      <c r="S114" s="22"/>
      <c r="T114" s="5"/>
      <c r="U114" s="6"/>
      <c r="V114" s="6"/>
    </row>
    <row r="115" customFormat="false" ht="15" hidden="false" customHeight="true" outlineLevel="0" collapsed="false">
      <c r="A115" s="9"/>
      <c r="B115" s="26"/>
      <c r="C115" s="26"/>
      <c r="D115" s="19"/>
      <c r="E115" s="26"/>
      <c r="F115" s="26"/>
      <c r="G115" s="19"/>
      <c r="H115" s="27"/>
      <c r="I115" s="27"/>
      <c r="J115" s="27"/>
      <c r="K115" s="9"/>
      <c r="L115" s="27"/>
      <c r="M115" s="27"/>
      <c r="N115" s="27"/>
      <c r="O115" s="14"/>
      <c r="P115" s="9"/>
      <c r="Q115" s="9"/>
      <c r="R115" s="5"/>
      <c r="S115" s="28"/>
      <c r="T115" s="5"/>
      <c r="U115" s="9"/>
      <c r="V115" s="9"/>
    </row>
    <row r="116" customFormat="false" ht="15" hidden="false" customHeight="true" outlineLevel="0" collapsed="false">
      <c r="A116" s="6"/>
      <c r="B116" s="17"/>
      <c r="C116" s="17"/>
      <c r="D116" s="19"/>
      <c r="E116" s="17"/>
      <c r="F116" s="17"/>
      <c r="G116" s="19"/>
      <c r="H116" s="20"/>
      <c r="I116" s="20"/>
      <c r="J116" s="20"/>
      <c r="K116" s="6"/>
      <c r="L116" s="20"/>
      <c r="M116" s="20"/>
      <c r="N116" s="20"/>
      <c r="O116" s="6"/>
      <c r="P116" s="6"/>
      <c r="Q116" s="6"/>
      <c r="R116" s="5"/>
      <c r="S116" s="22"/>
      <c r="T116" s="5"/>
      <c r="U116" s="6"/>
      <c r="V116" s="6"/>
    </row>
    <row r="117" customFormat="false" ht="15" hidden="false" customHeight="true" outlineLevel="0" collapsed="false">
      <c r="A117" s="9"/>
      <c r="B117" s="26"/>
      <c r="C117" s="26"/>
      <c r="D117" s="19"/>
      <c r="E117" s="26"/>
      <c r="F117" s="26"/>
      <c r="G117" s="19"/>
      <c r="H117" s="27"/>
      <c r="I117" s="27"/>
      <c r="J117" s="27"/>
      <c r="K117" s="9"/>
      <c r="L117" s="27"/>
      <c r="M117" s="27"/>
      <c r="N117" s="27"/>
      <c r="O117" s="14"/>
      <c r="P117" s="9"/>
      <c r="Q117" s="9"/>
      <c r="R117" s="5"/>
      <c r="S117" s="28"/>
      <c r="T117" s="5"/>
      <c r="U117" s="9"/>
      <c r="V117" s="9"/>
    </row>
    <row r="118" customFormat="false" ht="15" hidden="false" customHeight="true" outlineLevel="0" collapsed="false">
      <c r="A118" s="6"/>
      <c r="B118" s="17"/>
      <c r="C118" s="17"/>
      <c r="D118" s="19"/>
      <c r="E118" s="17"/>
      <c r="F118" s="17"/>
      <c r="G118" s="19"/>
      <c r="H118" s="20"/>
      <c r="I118" s="20"/>
      <c r="J118" s="20"/>
      <c r="K118" s="6"/>
      <c r="L118" s="20"/>
      <c r="M118" s="20"/>
      <c r="N118" s="20"/>
      <c r="O118" s="6"/>
      <c r="P118" s="6"/>
      <c r="Q118" s="6"/>
      <c r="R118" s="5"/>
      <c r="S118" s="22"/>
      <c r="T118" s="5"/>
      <c r="U118" s="6"/>
      <c r="V118" s="6"/>
    </row>
    <row r="119" customFormat="false" ht="15" hidden="false" customHeight="true" outlineLevel="0" collapsed="false">
      <c r="A119" s="9"/>
      <c r="B119" s="26"/>
      <c r="C119" s="26"/>
      <c r="D119" s="19"/>
      <c r="E119" s="26"/>
      <c r="F119" s="26"/>
      <c r="G119" s="19"/>
      <c r="H119" s="27"/>
      <c r="I119" s="27"/>
      <c r="J119" s="27"/>
      <c r="K119" s="9"/>
      <c r="L119" s="27"/>
      <c r="M119" s="27"/>
      <c r="N119" s="27"/>
      <c r="O119" s="14"/>
      <c r="P119" s="9"/>
      <c r="Q119" s="9"/>
      <c r="R119" s="5"/>
      <c r="S119" s="28"/>
      <c r="T119" s="5"/>
      <c r="U119" s="9"/>
      <c r="V119" s="9"/>
    </row>
    <row r="120" customFormat="false" ht="15" hidden="false" customHeight="true" outlineLevel="0" collapsed="false">
      <c r="A120" s="6"/>
      <c r="B120" s="17"/>
      <c r="C120" s="17"/>
      <c r="D120" s="19"/>
      <c r="E120" s="17"/>
      <c r="F120" s="17"/>
      <c r="G120" s="19"/>
      <c r="H120" s="20"/>
      <c r="I120" s="20"/>
      <c r="J120" s="20"/>
      <c r="K120" s="6"/>
      <c r="L120" s="20"/>
      <c r="M120" s="20"/>
      <c r="N120" s="20"/>
      <c r="O120" s="6"/>
      <c r="P120" s="6"/>
      <c r="Q120" s="6"/>
      <c r="R120" s="5"/>
      <c r="S120" s="22"/>
      <c r="T120" s="5"/>
      <c r="U120" s="6"/>
      <c r="V120" s="6"/>
    </row>
    <row r="121" customFormat="false" ht="15" hidden="false" customHeight="true" outlineLevel="0" collapsed="false">
      <c r="A121" s="9"/>
      <c r="B121" s="26"/>
      <c r="C121" s="26"/>
      <c r="D121" s="19"/>
      <c r="E121" s="26"/>
      <c r="F121" s="26"/>
      <c r="G121" s="19"/>
      <c r="H121" s="27"/>
      <c r="I121" s="27"/>
      <c r="J121" s="27"/>
      <c r="K121" s="9"/>
      <c r="L121" s="27"/>
      <c r="M121" s="27"/>
      <c r="N121" s="27"/>
      <c r="O121" s="14"/>
      <c r="P121" s="9"/>
      <c r="Q121" s="9"/>
      <c r="R121" s="5"/>
      <c r="S121" s="28"/>
      <c r="T121" s="5"/>
      <c r="U121" s="9"/>
      <c r="V121" s="9"/>
    </row>
    <row r="122" customFormat="false" ht="15" hidden="false" customHeight="true" outlineLevel="0" collapsed="false">
      <c r="A122" s="6"/>
      <c r="B122" s="17"/>
      <c r="C122" s="17"/>
      <c r="D122" s="19"/>
      <c r="E122" s="17"/>
      <c r="F122" s="17"/>
      <c r="G122" s="19"/>
      <c r="H122" s="20"/>
      <c r="I122" s="20"/>
      <c r="J122" s="20"/>
      <c r="K122" s="6"/>
      <c r="L122" s="20"/>
      <c r="M122" s="20"/>
      <c r="N122" s="20"/>
      <c r="O122" s="6"/>
      <c r="P122" s="6"/>
      <c r="Q122" s="6"/>
      <c r="R122" s="5"/>
      <c r="S122" s="22"/>
      <c r="T122" s="5"/>
      <c r="U122" s="6"/>
      <c r="V122" s="6"/>
    </row>
    <row r="123" customFormat="false" ht="15" hidden="false" customHeight="true" outlineLevel="0" collapsed="false">
      <c r="A123" s="9"/>
      <c r="B123" s="26"/>
      <c r="C123" s="26"/>
      <c r="D123" s="19"/>
      <c r="E123" s="26"/>
      <c r="F123" s="26"/>
      <c r="G123" s="19"/>
      <c r="H123" s="27"/>
      <c r="I123" s="27"/>
      <c r="J123" s="27"/>
      <c r="K123" s="9"/>
      <c r="L123" s="27"/>
      <c r="M123" s="27"/>
      <c r="N123" s="27"/>
      <c r="O123" s="14"/>
      <c r="P123" s="9"/>
      <c r="Q123" s="9"/>
      <c r="R123" s="5"/>
      <c r="S123" s="28"/>
      <c r="T123" s="5"/>
      <c r="U123" s="9"/>
      <c r="V123" s="9"/>
    </row>
    <row r="124" customFormat="false" ht="15" hidden="false" customHeight="true" outlineLevel="0" collapsed="false">
      <c r="A124" s="6"/>
      <c r="B124" s="17"/>
      <c r="C124" s="17"/>
      <c r="D124" s="19"/>
      <c r="E124" s="17"/>
      <c r="F124" s="17"/>
      <c r="G124" s="19"/>
      <c r="H124" s="20"/>
      <c r="I124" s="20"/>
      <c r="J124" s="20"/>
      <c r="K124" s="6"/>
      <c r="L124" s="20"/>
      <c r="M124" s="20"/>
      <c r="N124" s="20"/>
      <c r="O124" s="6"/>
      <c r="P124" s="6"/>
      <c r="Q124" s="6"/>
      <c r="R124" s="5"/>
      <c r="S124" s="22"/>
      <c r="T124" s="5"/>
      <c r="U124" s="6"/>
      <c r="V124" s="6"/>
    </row>
    <row r="125" customFormat="false" ht="15" hidden="false" customHeight="true" outlineLevel="0" collapsed="false">
      <c r="A125" s="9"/>
      <c r="B125" s="26"/>
      <c r="C125" s="26"/>
      <c r="D125" s="19"/>
      <c r="E125" s="26"/>
      <c r="F125" s="26"/>
      <c r="G125" s="19"/>
      <c r="H125" s="27"/>
      <c r="I125" s="27"/>
      <c r="J125" s="27"/>
      <c r="K125" s="9"/>
      <c r="L125" s="27"/>
      <c r="M125" s="27"/>
      <c r="N125" s="27"/>
      <c r="O125" s="14"/>
      <c r="P125" s="9"/>
      <c r="Q125" s="9"/>
      <c r="R125" s="5"/>
      <c r="S125" s="28"/>
      <c r="T125" s="5"/>
      <c r="U125" s="9"/>
      <c r="V125" s="9"/>
    </row>
    <row r="126" customFormat="false" ht="15" hidden="false" customHeight="true" outlineLevel="0" collapsed="false">
      <c r="A126" s="6"/>
      <c r="B126" s="17"/>
      <c r="C126" s="17"/>
      <c r="D126" s="19"/>
      <c r="E126" s="17"/>
      <c r="F126" s="17"/>
      <c r="G126" s="19"/>
      <c r="H126" s="20"/>
      <c r="I126" s="20"/>
      <c r="J126" s="20"/>
      <c r="K126" s="6"/>
      <c r="L126" s="20"/>
      <c r="M126" s="20"/>
      <c r="N126" s="20"/>
      <c r="O126" s="6"/>
      <c r="P126" s="6"/>
      <c r="Q126" s="6"/>
      <c r="R126" s="5"/>
      <c r="S126" s="22"/>
      <c r="T126" s="5"/>
      <c r="U126" s="6"/>
      <c r="V126" s="6"/>
    </row>
    <row r="127" customFormat="false" ht="15" hidden="false" customHeight="true" outlineLevel="0" collapsed="false">
      <c r="A127" s="9"/>
      <c r="B127" s="26"/>
      <c r="C127" s="26"/>
      <c r="D127" s="19"/>
      <c r="E127" s="26"/>
      <c r="F127" s="26"/>
      <c r="G127" s="19"/>
      <c r="H127" s="27"/>
      <c r="I127" s="27"/>
      <c r="J127" s="27"/>
      <c r="K127" s="9"/>
      <c r="L127" s="27"/>
      <c r="M127" s="27"/>
      <c r="N127" s="27"/>
      <c r="O127" s="14"/>
      <c r="P127" s="9"/>
      <c r="Q127" s="9"/>
      <c r="R127" s="5"/>
      <c r="S127" s="28"/>
      <c r="T127" s="5"/>
      <c r="U127" s="9"/>
      <c r="V127" s="9"/>
    </row>
    <row r="128" customFormat="false" ht="15" hidden="false" customHeight="true" outlineLevel="0" collapsed="false">
      <c r="A128" s="6"/>
      <c r="B128" s="17"/>
      <c r="C128" s="17"/>
      <c r="D128" s="19"/>
      <c r="E128" s="17"/>
      <c r="F128" s="17"/>
      <c r="G128" s="19"/>
      <c r="H128" s="20"/>
      <c r="I128" s="20"/>
      <c r="J128" s="20"/>
      <c r="K128" s="6"/>
      <c r="L128" s="20"/>
      <c r="M128" s="20"/>
      <c r="N128" s="20"/>
      <c r="O128" s="6"/>
      <c r="P128" s="6"/>
      <c r="Q128" s="6"/>
      <c r="R128" s="5"/>
      <c r="S128" s="22"/>
      <c r="T128" s="5"/>
      <c r="U128" s="6"/>
      <c r="V128" s="6"/>
    </row>
    <row r="129" customFormat="false" ht="15" hidden="false" customHeight="true" outlineLevel="0" collapsed="false">
      <c r="A129" s="9"/>
      <c r="B129" s="26"/>
      <c r="C129" s="26"/>
      <c r="D129" s="19"/>
      <c r="E129" s="26"/>
      <c r="F129" s="26"/>
      <c r="G129" s="19"/>
      <c r="H129" s="27"/>
      <c r="I129" s="27"/>
      <c r="J129" s="27"/>
      <c r="K129" s="9"/>
      <c r="L129" s="27"/>
      <c r="M129" s="27"/>
      <c r="N129" s="27"/>
      <c r="O129" s="14"/>
      <c r="P129" s="9"/>
      <c r="Q129" s="9"/>
      <c r="R129" s="5"/>
      <c r="S129" s="28"/>
      <c r="T129" s="5"/>
      <c r="U129" s="9"/>
      <c r="V129" s="9"/>
    </row>
    <row r="130" customFormat="false" ht="15" hidden="false" customHeight="true" outlineLevel="0" collapsed="false">
      <c r="A130" s="6"/>
      <c r="B130" s="17"/>
      <c r="C130" s="17"/>
      <c r="D130" s="19"/>
      <c r="E130" s="17"/>
      <c r="F130" s="17"/>
      <c r="G130" s="19"/>
      <c r="H130" s="20"/>
      <c r="I130" s="20"/>
      <c r="J130" s="20"/>
      <c r="K130" s="6"/>
      <c r="L130" s="20"/>
      <c r="M130" s="20"/>
      <c r="N130" s="20"/>
      <c r="O130" s="6"/>
      <c r="P130" s="6"/>
      <c r="Q130" s="6"/>
      <c r="R130" s="5"/>
      <c r="S130" s="22"/>
      <c r="T130" s="5"/>
      <c r="U130" s="6"/>
      <c r="V130" s="6"/>
    </row>
    <row r="131" customFormat="false" ht="15" hidden="false" customHeight="true" outlineLevel="0" collapsed="false">
      <c r="A131" s="9"/>
      <c r="B131" s="26"/>
      <c r="C131" s="26"/>
      <c r="D131" s="19"/>
      <c r="E131" s="26"/>
      <c r="F131" s="26"/>
      <c r="G131" s="19"/>
      <c r="H131" s="27"/>
      <c r="I131" s="27"/>
      <c r="J131" s="27"/>
      <c r="K131" s="9"/>
      <c r="L131" s="27"/>
      <c r="M131" s="27"/>
      <c r="N131" s="27"/>
      <c r="O131" s="14"/>
      <c r="P131" s="9"/>
      <c r="Q131" s="9"/>
      <c r="R131" s="5"/>
      <c r="S131" s="28"/>
      <c r="T131" s="5"/>
      <c r="U131" s="9"/>
      <c r="V131" s="9"/>
    </row>
    <row r="132" customFormat="false" ht="15" hidden="false" customHeight="true" outlineLevel="0" collapsed="false">
      <c r="A132" s="6"/>
      <c r="B132" s="17"/>
      <c r="C132" s="17"/>
      <c r="D132" s="19"/>
      <c r="E132" s="17"/>
      <c r="F132" s="17"/>
      <c r="G132" s="19"/>
      <c r="H132" s="20"/>
      <c r="I132" s="20"/>
      <c r="J132" s="20"/>
      <c r="K132" s="6"/>
      <c r="L132" s="20"/>
      <c r="M132" s="20"/>
      <c r="N132" s="20"/>
      <c r="O132" s="6"/>
      <c r="P132" s="6"/>
      <c r="Q132" s="6"/>
      <c r="R132" s="5"/>
      <c r="S132" s="22"/>
      <c r="T132" s="5"/>
      <c r="U132" s="6"/>
      <c r="V132" s="6"/>
    </row>
    <row r="133" customFormat="false" ht="15" hidden="false" customHeight="true" outlineLevel="0" collapsed="false">
      <c r="A133" s="9"/>
      <c r="B133" s="26"/>
      <c r="C133" s="26"/>
      <c r="D133" s="19"/>
      <c r="E133" s="26"/>
      <c r="F133" s="26"/>
      <c r="G133" s="19"/>
      <c r="H133" s="27"/>
      <c r="I133" s="27"/>
      <c r="J133" s="27"/>
      <c r="K133" s="9"/>
      <c r="L133" s="27"/>
      <c r="M133" s="27"/>
      <c r="N133" s="27"/>
      <c r="O133" s="14"/>
      <c r="P133" s="9"/>
      <c r="Q133" s="9"/>
      <c r="R133" s="5"/>
      <c r="S133" s="28"/>
      <c r="T133" s="5"/>
      <c r="U133" s="9"/>
      <c r="V133" s="9"/>
    </row>
    <row r="134" customFormat="false" ht="15" hidden="false" customHeight="true" outlineLevel="0" collapsed="false">
      <c r="A134" s="6"/>
      <c r="B134" s="17"/>
      <c r="C134" s="17"/>
      <c r="D134" s="19"/>
      <c r="E134" s="17"/>
      <c r="F134" s="17"/>
      <c r="G134" s="19"/>
      <c r="H134" s="20"/>
      <c r="I134" s="20"/>
      <c r="J134" s="20"/>
      <c r="K134" s="6"/>
      <c r="L134" s="20"/>
      <c r="M134" s="20"/>
      <c r="N134" s="20"/>
      <c r="O134" s="6"/>
      <c r="P134" s="6"/>
      <c r="Q134" s="6"/>
      <c r="R134" s="5"/>
      <c r="S134" s="22"/>
      <c r="T134" s="5"/>
      <c r="U134" s="6"/>
      <c r="V134" s="6"/>
    </row>
    <row r="135" customFormat="false" ht="15" hidden="false" customHeight="true" outlineLevel="0" collapsed="false">
      <c r="A135" s="9"/>
      <c r="B135" s="26"/>
      <c r="C135" s="26"/>
      <c r="D135" s="19"/>
      <c r="E135" s="26"/>
      <c r="F135" s="26"/>
      <c r="G135" s="19"/>
      <c r="H135" s="27"/>
      <c r="I135" s="27"/>
      <c r="J135" s="27"/>
      <c r="K135" s="9"/>
      <c r="L135" s="27"/>
      <c r="M135" s="27"/>
      <c r="N135" s="27"/>
      <c r="O135" s="14"/>
      <c r="P135" s="9"/>
      <c r="Q135" s="9"/>
      <c r="R135" s="5"/>
      <c r="S135" s="28"/>
      <c r="T135" s="5"/>
      <c r="U135" s="9"/>
      <c r="V135" s="9"/>
    </row>
    <row r="136" customFormat="false" ht="15" hidden="false" customHeight="true" outlineLevel="0" collapsed="false">
      <c r="A136" s="6"/>
      <c r="B136" s="17"/>
      <c r="C136" s="17"/>
      <c r="D136" s="19"/>
      <c r="E136" s="17"/>
      <c r="F136" s="17"/>
      <c r="G136" s="19"/>
      <c r="H136" s="20"/>
      <c r="I136" s="20"/>
      <c r="J136" s="20"/>
      <c r="K136" s="6"/>
      <c r="L136" s="20"/>
      <c r="M136" s="20"/>
      <c r="N136" s="20"/>
      <c r="O136" s="6"/>
      <c r="P136" s="6"/>
      <c r="Q136" s="6"/>
      <c r="R136" s="5"/>
      <c r="S136" s="22"/>
      <c r="T136" s="5"/>
      <c r="U136" s="6"/>
      <c r="V136" s="6"/>
    </row>
    <row r="137" customFormat="false" ht="15" hidden="false" customHeight="true" outlineLevel="0" collapsed="false">
      <c r="A137" s="9"/>
      <c r="B137" s="26"/>
      <c r="C137" s="26"/>
      <c r="D137" s="19"/>
      <c r="E137" s="26"/>
      <c r="F137" s="26"/>
      <c r="G137" s="19"/>
      <c r="H137" s="27"/>
      <c r="I137" s="27"/>
      <c r="J137" s="27"/>
      <c r="K137" s="9"/>
      <c r="L137" s="27"/>
      <c r="M137" s="27"/>
      <c r="N137" s="27"/>
      <c r="O137" s="14"/>
      <c r="P137" s="9"/>
      <c r="Q137" s="9"/>
      <c r="R137" s="5"/>
      <c r="S137" s="28"/>
      <c r="T137" s="5"/>
      <c r="U137" s="9"/>
      <c r="V137" s="9"/>
    </row>
    <row r="138" customFormat="false" ht="15" hidden="false" customHeight="true" outlineLevel="0" collapsed="false">
      <c r="A138" s="6"/>
      <c r="B138" s="17"/>
      <c r="C138" s="17"/>
      <c r="D138" s="19"/>
      <c r="E138" s="17"/>
      <c r="F138" s="17"/>
      <c r="G138" s="19"/>
      <c r="H138" s="20"/>
      <c r="I138" s="20"/>
      <c r="J138" s="20"/>
      <c r="K138" s="6"/>
      <c r="L138" s="20"/>
      <c r="M138" s="20"/>
      <c r="N138" s="20"/>
      <c r="O138" s="6"/>
      <c r="P138" s="6"/>
      <c r="Q138" s="6"/>
      <c r="R138" s="5"/>
      <c r="S138" s="22"/>
      <c r="T138" s="5"/>
      <c r="U138" s="6"/>
      <c r="V138" s="6"/>
    </row>
    <row r="139" customFormat="false" ht="15" hidden="false" customHeight="true" outlineLevel="0" collapsed="false">
      <c r="A139" s="9"/>
      <c r="B139" s="26"/>
      <c r="C139" s="26"/>
      <c r="D139" s="19"/>
      <c r="E139" s="26"/>
      <c r="F139" s="26"/>
      <c r="G139" s="19"/>
      <c r="H139" s="27"/>
      <c r="I139" s="27"/>
      <c r="J139" s="27"/>
      <c r="K139" s="9"/>
      <c r="L139" s="27"/>
      <c r="M139" s="27"/>
      <c r="N139" s="27"/>
      <c r="O139" s="14"/>
      <c r="P139" s="9"/>
      <c r="Q139" s="9"/>
      <c r="R139" s="5"/>
      <c r="S139" s="28"/>
      <c r="T139" s="5"/>
      <c r="U139" s="9"/>
      <c r="V139" s="9"/>
    </row>
    <row r="140" customFormat="false" ht="15" hidden="false" customHeight="true" outlineLevel="0" collapsed="false">
      <c r="A140" s="6"/>
      <c r="B140" s="17"/>
      <c r="C140" s="17"/>
      <c r="D140" s="19"/>
      <c r="E140" s="17"/>
      <c r="F140" s="17"/>
      <c r="G140" s="19"/>
      <c r="H140" s="20"/>
      <c r="I140" s="20"/>
      <c r="J140" s="20"/>
      <c r="K140" s="6"/>
      <c r="L140" s="20"/>
      <c r="M140" s="20"/>
      <c r="N140" s="20"/>
      <c r="O140" s="6"/>
      <c r="P140" s="6"/>
      <c r="Q140" s="6"/>
      <c r="R140" s="5"/>
      <c r="S140" s="22"/>
      <c r="T140" s="5"/>
      <c r="U140" s="6"/>
      <c r="V140" s="6"/>
    </row>
    <row r="141" customFormat="false" ht="15" hidden="false" customHeight="true" outlineLevel="0" collapsed="false">
      <c r="A141" s="9"/>
      <c r="B141" s="26"/>
      <c r="C141" s="26"/>
      <c r="D141" s="19"/>
      <c r="E141" s="26"/>
      <c r="F141" s="26"/>
      <c r="G141" s="19"/>
      <c r="H141" s="27"/>
      <c r="I141" s="27"/>
      <c r="J141" s="27"/>
      <c r="K141" s="9"/>
      <c r="L141" s="27"/>
      <c r="M141" s="27"/>
      <c r="N141" s="27"/>
      <c r="O141" s="14"/>
      <c r="P141" s="9"/>
      <c r="Q141" s="9"/>
      <c r="R141" s="5"/>
      <c r="S141" s="28"/>
      <c r="T141" s="5"/>
      <c r="U141" s="9"/>
      <c r="V141" s="9"/>
    </row>
    <row r="142" customFormat="false" ht="15" hidden="false" customHeight="true" outlineLevel="0" collapsed="false">
      <c r="A142" s="6"/>
      <c r="B142" s="17"/>
      <c r="C142" s="17"/>
      <c r="D142" s="19"/>
      <c r="E142" s="17"/>
      <c r="F142" s="17"/>
      <c r="G142" s="19"/>
      <c r="H142" s="20"/>
      <c r="I142" s="20"/>
      <c r="J142" s="20"/>
      <c r="K142" s="6"/>
      <c r="L142" s="20"/>
      <c r="M142" s="20"/>
      <c r="N142" s="20"/>
      <c r="O142" s="6"/>
      <c r="P142" s="6"/>
      <c r="Q142" s="6"/>
      <c r="R142" s="5"/>
      <c r="S142" s="22"/>
      <c r="T142" s="5"/>
      <c r="U142" s="6"/>
      <c r="V142" s="6"/>
    </row>
    <row r="143" customFormat="false" ht="15" hidden="false" customHeight="true" outlineLevel="0" collapsed="false">
      <c r="A143" s="9"/>
      <c r="B143" s="26"/>
      <c r="C143" s="26"/>
      <c r="D143" s="19"/>
      <c r="E143" s="26"/>
      <c r="F143" s="26"/>
      <c r="G143" s="19"/>
      <c r="H143" s="27"/>
      <c r="I143" s="27"/>
      <c r="J143" s="27"/>
      <c r="K143" s="9"/>
      <c r="L143" s="27"/>
      <c r="M143" s="27"/>
      <c r="N143" s="27"/>
      <c r="O143" s="14"/>
      <c r="P143" s="9"/>
      <c r="Q143" s="9"/>
      <c r="R143" s="5"/>
      <c r="S143" s="28"/>
      <c r="T143" s="5"/>
      <c r="U143" s="9"/>
      <c r="V143" s="9"/>
    </row>
    <row r="144" customFormat="false" ht="15" hidden="false" customHeight="true" outlineLevel="0" collapsed="false">
      <c r="A144" s="6"/>
      <c r="B144" s="17"/>
      <c r="C144" s="17"/>
      <c r="D144" s="19"/>
      <c r="E144" s="17"/>
      <c r="F144" s="17"/>
      <c r="G144" s="19"/>
      <c r="H144" s="20"/>
      <c r="I144" s="20"/>
      <c r="J144" s="20"/>
      <c r="K144" s="6"/>
      <c r="L144" s="20"/>
      <c r="M144" s="20"/>
      <c r="N144" s="20"/>
      <c r="O144" s="6"/>
      <c r="P144" s="6"/>
      <c r="Q144" s="6"/>
      <c r="R144" s="5"/>
      <c r="S144" s="22"/>
      <c r="T144" s="5"/>
      <c r="U144" s="6"/>
      <c r="V144" s="6"/>
    </row>
    <row r="145" customFormat="false" ht="15" hidden="false" customHeight="true" outlineLevel="0" collapsed="false">
      <c r="A145" s="9"/>
      <c r="B145" s="26"/>
      <c r="C145" s="26"/>
      <c r="D145" s="19"/>
      <c r="E145" s="26"/>
      <c r="F145" s="26"/>
      <c r="G145" s="19"/>
      <c r="H145" s="27"/>
      <c r="I145" s="27"/>
      <c r="J145" s="27"/>
      <c r="K145" s="9"/>
      <c r="L145" s="27"/>
      <c r="M145" s="27"/>
      <c r="N145" s="27"/>
      <c r="O145" s="14"/>
      <c r="P145" s="9"/>
      <c r="Q145" s="9"/>
      <c r="R145" s="5"/>
      <c r="S145" s="28"/>
      <c r="T145" s="5"/>
      <c r="U145" s="9"/>
      <c r="V145" s="9"/>
    </row>
    <row r="146" customFormat="false" ht="15" hidden="false" customHeight="true" outlineLevel="0" collapsed="false">
      <c r="A146" s="6"/>
      <c r="B146" s="17"/>
      <c r="C146" s="17"/>
      <c r="D146" s="19"/>
      <c r="E146" s="17"/>
      <c r="F146" s="17"/>
      <c r="G146" s="19"/>
      <c r="H146" s="20"/>
      <c r="I146" s="20"/>
      <c r="J146" s="20"/>
      <c r="K146" s="6"/>
      <c r="L146" s="20"/>
      <c r="M146" s="20"/>
      <c r="N146" s="20"/>
      <c r="O146" s="6"/>
      <c r="P146" s="6"/>
      <c r="Q146" s="6"/>
      <c r="R146" s="5"/>
      <c r="S146" s="22"/>
      <c r="T146" s="5"/>
      <c r="U146" s="6"/>
      <c r="V146" s="6"/>
    </row>
    <row r="147" customFormat="false" ht="15" hidden="false" customHeight="true" outlineLevel="0" collapsed="false">
      <c r="A147" s="9"/>
      <c r="B147" s="26"/>
      <c r="C147" s="26"/>
      <c r="D147" s="19"/>
      <c r="E147" s="26"/>
      <c r="F147" s="26"/>
      <c r="G147" s="19"/>
      <c r="H147" s="27"/>
      <c r="I147" s="27"/>
      <c r="J147" s="27"/>
      <c r="K147" s="9"/>
      <c r="L147" s="27"/>
      <c r="M147" s="27"/>
      <c r="N147" s="27"/>
      <c r="O147" s="14"/>
      <c r="P147" s="9"/>
      <c r="Q147" s="9"/>
      <c r="R147" s="5"/>
      <c r="S147" s="28"/>
      <c r="T147" s="5"/>
      <c r="U147" s="9"/>
      <c r="V147" s="9"/>
    </row>
    <row r="148" customFormat="false" ht="15" hidden="false" customHeight="true" outlineLevel="0" collapsed="false">
      <c r="A148" s="6"/>
      <c r="B148" s="17"/>
      <c r="C148" s="17"/>
      <c r="D148" s="19"/>
      <c r="E148" s="17"/>
      <c r="F148" s="17"/>
      <c r="G148" s="19"/>
      <c r="H148" s="20"/>
      <c r="I148" s="20"/>
      <c r="J148" s="20"/>
      <c r="K148" s="6"/>
      <c r="L148" s="20"/>
      <c r="M148" s="20"/>
      <c r="N148" s="20"/>
      <c r="O148" s="6"/>
      <c r="P148" s="6"/>
      <c r="Q148" s="6"/>
      <c r="R148" s="5"/>
      <c r="S148" s="22"/>
      <c r="T148" s="5"/>
      <c r="U148" s="6"/>
      <c r="V148" s="6"/>
    </row>
    <row r="149" customFormat="false" ht="15" hidden="false" customHeight="true" outlineLevel="0" collapsed="false">
      <c r="A149" s="9"/>
      <c r="B149" s="26"/>
      <c r="C149" s="26"/>
      <c r="D149" s="19"/>
      <c r="E149" s="26"/>
      <c r="F149" s="26"/>
      <c r="G149" s="19"/>
      <c r="H149" s="27"/>
      <c r="I149" s="27"/>
      <c r="J149" s="27"/>
      <c r="K149" s="9"/>
      <c r="L149" s="27"/>
      <c r="M149" s="27"/>
      <c r="N149" s="27"/>
      <c r="O149" s="14"/>
      <c r="P149" s="9"/>
      <c r="Q149" s="9"/>
      <c r="R149" s="5"/>
      <c r="S149" s="28"/>
      <c r="T149" s="5"/>
      <c r="U149" s="9"/>
      <c r="V149" s="9"/>
    </row>
    <row r="150" customFormat="false" ht="15" hidden="false" customHeight="true" outlineLevel="0" collapsed="false">
      <c r="A150" s="6"/>
      <c r="B150" s="17"/>
      <c r="C150" s="17"/>
      <c r="D150" s="19"/>
      <c r="E150" s="17"/>
      <c r="F150" s="17"/>
      <c r="G150" s="19"/>
      <c r="H150" s="20"/>
      <c r="I150" s="20"/>
      <c r="J150" s="20"/>
      <c r="K150" s="6"/>
      <c r="L150" s="20"/>
      <c r="M150" s="20"/>
      <c r="N150" s="20"/>
      <c r="O150" s="6"/>
      <c r="P150" s="6"/>
      <c r="Q150" s="6"/>
      <c r="R150" s="5"/>
      <c r="S150" s="22"/>
      <c r="T150" s="5"/>
      <c r="U150" s="6"/>
      <c r="V150" s="6"/>
    </row>
    <row r="151" customFormat="false" ht="15" hidden="false" customHeight="true" outlineLevel="0" collapsed="false">
      <c r="A151" s="9"/>
      <c r="B151" s="26"/>
      <c r="C151" s="26"/>
      <c r="D151" s="19"/>
      <c r="E151" s="26"/>
      <c r="F151" s="26"/>
      <c r="G151" s="19"/>
      <c r="H151" s="27"/>
      <c r="I151" s="27"/>
      <c r="J151" s="27"/>
      <c r="K151" s="9"/>
      <c r="L151" s="27"/>
      <c r="M151" s="27"/>
      <c r="N151" s="27"/>
      <c r="O151" s="14"/>
      <c r="P151" s="9"/>
      <c r="Q151" s="9"/>
      <c r="R151" s="5"/>
      <c r="S151" s="28"/>
      <c r="T151" s="5"/>
      <c r="U151" s="9"/>
      <c r="V151" s="9"/>
    </row>
    <row r="152" customFormat="false" ht="15" hidden="false" customHeight="true" outlineLevel="0" collapsed="false">
      <c r="A152" s="6"/>
      <c r="B152" s="17"/>
      <c r="C152" s="17"/>
      <c r="D152" s="19"/>
      <c r="E152" s="17"/>
      <c r="F152" s="17"/>
      <c r="G152" s="19"/>
      <c r="H152" s="20"/>
      <c r="I152" s="20"/>
      <c r="J152" s="20"/>
      <c r="K152" s="6"/>
      <c r="L152" s="20"/>
      <c r="M152" s="20"/>
      <c r="N152" s="20"/>
      <c r="O152" s="6"/>
      <c r="P152" s="6"/>
      <c r="Q152" s="6"/>
      <c r="R152" s="5"/>
      <c r="S152" s="22"/>
      <c r="T152" s="5"/>
      <c r="U152" s="6"/>
      <c r="V152" s="6"/>
    </row>
    <row r="153" customFormat="false" ht="15" hidden="false" customHeight="true" outlineLevel="0" collapsed="false">
      <c r="A153" s="9"/>
      <c r="B153" s="26"/>
      <c r="C153" s="26"/>
      <c r="D153" s="19"/>
      <c r="E153" s="26"/>
      <c r="F153" s="26"/>
      <c r="G153" s="19"/>
      <c r="H153" s="27"/>
      <c r="I153" s="27"/>
      <c r="J153" s="27"/>
      <c r="K153" s="9"/>
      <c r="L153" s="27"/>
      <c r="M153" s="27"/>
      <c r="N153" s="27"/>
      <c r="O153" s="14"/>
      <c r="P153" s="9"/>
      <c r="Q153" s="9"/>
      <c r="R153" s="5"/>
      <c r="S153" s="28"/>
      <c r="T153" s="5"/>
      <c r="U153" s="9"/>
      <c r="V153" s="9"/>
    </row>
    <row r="154" customFormat="false" ht="15" hidden="false" customHeight="true" outlineLevel="0" collapsed="false">
      <c r="A154" s="6"/>
      <c r="B154" s="17"/>
      <c r="C154" s="17"/>
      <c r="D154" s="19"/>
      <c r="E154" s="17"/>
      <c r="F154" s="17"/>
      <c r="G154" s="19"/>
      <c r="H154" s="20"/>
      <c r="I154" s="20"/>
      <c r="J154" s="20"/>
      <c r="K154" s="6"/>
      <c r="L154" s="20"/>
      <c r="M154" s="20"/>
      <c r="N154" s="20"/>
      <c r="O154" s="6"/>
      <c r="P154" s="6"/>
      <c r="Q154" s="6"/>
      <c r="R154" s="5"/>
      <c r="S154" s="22"/>
      <c r="T154" s="5"/>
      <c r="U154" s="6"/>
      <c r="V154" s="6"/>
    </row>
    <row r="155" customFormat="false" ht="15" hidden="false" customHeight="true" outlineLevel="0" collapsed="false">
      <c r="A155" s="9"/>
      <c r="B155" s="26"/>
      <c r="C155" s="26"/>
      <c r="D155" s="19"/>
      <c r="E155" s="26"/>
      <c r="F155" s="26"/>
      <c r="G155" s="19"/>
      <c r="H155" s="27"/>
      <c r="I155" s="27"/>
      <c r="J155" s="27"/>
      <c r="K155" s="9"/>
      <c r="L155" s="27"/>
      <c r="M155" s="27"/>
      <c r="N155" s="27"/>
      <c r="O155" s="14"/>
      <c r="P155" s="9"/>
      <c r="Q155" s="9"/>
      <c r="R155" s="5"/>
      <c r="S155" s="28"/>
      <c r="T155" s="5"/>
      <c r="U155" s="9"/>
      <c r="V155" s="9"/>
    </row>
    <row r="156" customFormat="false" ht="15" hidden="false" customHeight="true" outlineLevel="0" collapsed="false">
      <c r="A156" s="6"/>
      <c r="B156" s="17"/>
      <c r="C156" s="17"/>
      <c r="D156" s="19"/>
      <c r="E156" s="17"/>
      <c r="F156" s="17"/>
      <c r="G156" s="19"/>
      <c r="H156" s="20"/>
      <c r="I156" s="20"/>
      <c r="J156" s="20"/>
      <c r="K156" s="6"/>
      <c r="L156" s="20"/>
      <c r="M156" s="20"/>
      <c r="N156" s="20"/>
      <c r="O156" s="6"/>
      <c r="P156" s="6"/>
      <c r="Q156" s="6"/>
      <c r="R156" s="5"/>
      <c r="S156" s="22"/>
      <c r="T156" s="5"/>
      <c r="U156" s="6"/>
      <c r="V156" s="6"/>
    </row>
    <row r="157" customFormat="false" ht="15" hidden="false" customHeight="true" outlineLevel="0" collapsed="false">
      <c r="A157" s="9"/>
      <c r="B157" s="26"/>
      <c r="C157" s="26"/>
      <c r="D157" s="19"/>
      <c r="E157" s="26"/>
      <c r="F157" s="26"/>
      <c r="G157" s="19"/>
      <c r="H157" s="27"/>
      <c r="I157" s="27"/>
      <c r="J157" s="27"/>
      <c r="K157" s="9"/>
      <c r="L157" s="27"/>
      <c r="M157" s="27"/>
      <c r="N157" s="27"/>
      <c r="O157" s="14"/>
      <c r="P157" s="9"/>
      <c r="Q157" s="9"/>
      <c r="R157" s="5"/>
      <c r="S157" s="28"/>
      <c r="T157" s="5"/>
      <c r="U157" s="9"/>
      <c r="V157" s="9"/>
    </row>
    <row r="158" customFormat="false" ht="15" hidden="false" customHeight="true" outlineLevel="0" collapsed="false">
      <c r="A158" s="6"/>
      <c r="B158" s="17"/>
      <c r="C158" s="17"/>
      <c r="D158" s="19"/>
      <c r="E158" s="17"/>
      <c r="F158" s="17"/>
      <c r="G158" s="19"/>
      <c r="H158" s="20"/>
      <c r="I158" s="20"/>
      <c r="J158" s="20"/>
      <c r="K158" s="6"/>
      <c r="L158" s="20"/>
      <c r="M158" s="20"/>
      <c r="N158" s="20"/>
      <c r="O158" s="6"/>
      <c r="P158" s="6"/>
      <c r="Q158" s="6"/>
      <c r="R158" s="5"/>
      <c r="S158" s="22"/>
      <c r="T158" s="5"/>
      <c r="U158" s="6"/>
      <c r="V158" s="6"/>
    </row>
    <row r="159" customFormat="false" ht="15" hidden="false" customHeight="true" outlineLevel="0" collapsed="false">
      <c r="A159" s="9"/>
      <c r="B159" s="26"/>
      <c r="C159" s="26"/>
      <c r="D159" s="19"/>
      <c r="E159" s="26"/>
      <c r="F159" s="26"/>
      <c r="G159" s="19"/>
      <c r="H159" s="27"/>
      <c r="I159" s="27"/>
      <c r="J159" s="27"/>
      <c r="K159" s="9"/>
      <c r="L159" s="27"/>
      <c r="M159" s="27"/>
      <c r="N159" s="27"/>
      <c r="O159" s="14"/>
      <c r="P159" s="9"/>
      <c r="Q159" s="9"/>
      <c r="R159" s="5"/>
      <c r="S159" s="28"/>
      <c r="T159" s="5"/>
      <c r="U159" s="9"/>
      <c r="V159" s="9"/>
    </row>
    <row r="160" customFormat="false" ht="15" hidden="false" customHeight="true" outlineLevel="0" collapsed="false">
      <c r="A160" s="6"/>
      <c r="B160" s="17"/>
      <c r="C160" s="17"/>
      <c r="D160" s="19"/>
      <c r="E160" s="17"/>
      <c r="F160" s="17"/>
      <c r="G160" s="19"/>
      <c r="H160" s="20"/>
      <c r="I160" s="20"/>
      <c r="J160" s="20"/>
      <c r="K160" s="6"/>
      <c r="L160" s="20"/>
      <c r="M160" s="20"/>
      <c r="N160" s="20"/>
      <c r="O160" s="6"/>
      <c r="P160" s="6"/>
      <c r="Q160" s="6"/>
      <c r="R160" s="5"/>
      <c r="S160" s="22"/>
      <c r="T160" s="5"/>
      <c r="U160" s="6"/>
      <c r="V160" s="6"/>
    </row>
    <row r="161" customFormat="false" ht="15" hidden="false" customHeight="true" outlineLevel="0" collapsed="false">
      <c r="A161" s="9"/>
      <c r="B161" s="26"/>
      <c r="C161" s="26"/>
      <c r="D161" s="19"/>
      <c r="E161" s="26"/>
      <c r="F161" s="26"/>
      <c r="G161" s="19"/>
      <c r="H161" s="27"/>
      <c r="I161" s="27"/>
      <c r="J161" s="27"/>
      <c r="K161" s="9"/>
      <c r="L161" s="27"/>
      <c r="M161" s="27"/>
      <c r="N161" s="27"/>
      <c r="O161" s="14"/>
      <c r="P161" s="9"/>
      <c r="Q161" s="9"/>
      <c r="R161" s="5"/>
      <c r="S161" s="28"/>
      <c r="T161" s="5"/>
      <c r="U161" s="9"/>
      <c r="V161" s="9"/>
    </row>
    <row r="162" customFormat="false" ht="15" hidden="false" customHeight="true" outlineLevel="0" collapsed="false">
      <c r="A162" s="6"/>
      <c r="B162" s="17"/>
      <c r="C162" s="17"/>
      <c r="D162" s="19"/>
      <c r="E162" s="17"/>
      <c r="F162" s="17"/>
      <c r="G162" s="19"/>
      <c r="H162" s="20"/>
      <c r="I162" s="20"/>
      <c r="J162" s="20"/>
      <c r="K162" s="6"/>
      <c r="L162" s="20"/>
      <c r="M162" s="20"/>
      <c r="N162" s="20"/>
      <c r="O162" s="6"/>
      <c r="P162" s="6"/>
      <c r="Q162" s="6"/>
      <c r="R162" s="5"/>
      <c r="S162" s="22"/>
      <c r="T162" s="5"/>
      <c r="U162" s="6"/>
      <c r="V162" s="6"/>
    </row>
    <row r="163" customFormat="false" ht="15" hidden="false" customHeight="true" outlineLevel="0" collapsed="false">
      <c r="A163" s="9"/>
      <c r="B163" s="26"/>
      <c r="C163" s="26"/>
      <c r="D163" s="19"/>
      <c r="E163" s="26"/>
      <c r="F163" s="26"/>
      <c r="G163" s="19"/>
      <c r="H163" s="27"/>
      <c r="I163" s="27"/>
      <c r="J163" s="27"/>
      <c r="K163" s="9"/>
      <c r="L163" s="27"/>
      <c r="M163" s="27"/>
      <c r="N163" s="27"/>
      <c r="O163" s="14"/>
      <c r="P163" s="9"/>
      <c r="Q163" s="9"/>
      <c r="R163" s="5"/>
      <c r="S163" s="28"/>
      <c r="T163" s="5"/>
      <c r="U163" s="9"/>
      <c r="V163" s="9"/>
    </row>
    <row r="164" customFormat="false" ht="15" hidden="false" customHeight="true" outlineLevel="0" collapsed="false">
      <c r="A164" s="6"/>
      <c r="B164" s="17"/>
      <c r="C164" s="17"/>
      <c r="D164" s="19"/>
      <c r="E164" s="17"/>
      <c r="F164" s="17"/>
      <c r="G164" s="19"/>
      <c r="H164" s="20"/>
      <c r="I164" s="20"/>
      <c r="J164" s="20"/>
      <c r="K164" s="6"/>
      <c r="L164" s="20"/>
      <c r="M164" s="20"/>
      <c r="N164" s="20"/>
      <c r="O164" s="6"/>
      <c r="P164" s="6"/>
      <c r="Q164" s="6"/>
      <c r="R164" s="5"/>
      <c r="S164" s="22"/>
      <c r="T164" s="5"/>
      <c r="U164" s="6"/>
      <c r="V164" s="6"/>
    </row>
    <row r="165" customFormat="false" ht="15" hidden="false" customHeight="true" outlineLevel="0" collapsed="false">
      <c r="A165" s="9"/>
      <c r="B165" s="26"/>
      <c r="C165" s="26"/>
      <c r="D165" s="19"/>
      <c r="E165" s="26"/>
      <c r="F165" s="26"/>
      <c r="G165" s="19"/>
      <c r="H165" s="27"/>
      <c r="I165" s="27"/>
      <c r="J165" s="27"/>
      <c r="K165" s="9"/>
      <c r="L165" s="27"/>
      <c r="M165" s="27"/>
      <c r="N165" s="27"/>
      <c r="O165" s="14"/>
      <c r="P165" s="9"/>
      <c r="Q165" s="9"/>
      <c r="R165" s="5"/>
      <c r="S165" s="28"/>
      <c r="T165" s="5"/>
      <c r="U165" s="9"/>
      <c r="V165" s="9"/>
    </row>
    <row r="166" customFormat="false" ht="15" hidden="false" customHeight="true" outlineLevel="0" collapsed="false">
      <c r="A166" s="6"/>
      <c r="B166" s="17"/>
      <c r="C166" s="17"/>
      <c r="D166" s="19"/>
      <c r="E166" s="17"/>
      <c r="F166" s="17"/>
      <c r="G166" s="19"/>
      <c r="H166" s="20"/>
      <c r="I166" s="20"/>
      <c r="J166" s="20"/>
      <c r="K166" s="6"/>
      <c r="L166" s="20"/>
      <c r="M166" s="20"/>
      <c r="N166" s="20"/>
      <c r="O166" s="6"/>
      <c r="P166" s="6"/>
      <c r="Q166" s="6"/>
      <c r="R166" s="5"/>
      <c r="S166" s="22"/>
      <c r="T166" s="5"/>
      <c r="U166" s="6"/>
      <c r="V166" s="6"/>
    </row>
    <row r="167" customFormat="false" ht="15" hidden="false" customHeight="true" outlineLevel="0" collapsed="false">
      <c r="A167" s="9"/>
      <c r="B167" s="26"/>
      <c r="C167" s="26"/>
      <c r="D167" s="19"/>
      <c r="E167" s="26"/>
      <c r="F167" s="26"/>
      <c r="G167" s="19"/>
      <c r="H167" s="27"/>
      <c r="I167" s="27"/>
      <c r="J167" s="27"/>
      <c r="K167" s="9"/>
      <c r="L167" s="27"/>
      <c r="M167" s="27"/>
      <c r="N167" s="27"/>
      <c r="O167" s="14"/>
      <c r="P167" s="9"/>
      <c r="Q167" s="9"/>
      <c r="R167" s="5"/>
      <c r="S167" s="28"/>
      <c r="T167" s="5"/>
      <c r="U167" s="9"/>
      <c r="V167" s="9"/>
    </row>
    <row r="168" customFormat="false" ht="15" hidden="false" customHeight="true" outlineLevel="0" collapsed="false">
      <c r="A168" s="6"/>
      <c r="B168" s="17"/>
      <c r="C168" s="17"/>
      <c r="D168" s="19"/>
      <c r="E168" s="17"/>
      <c r="F168" s="17"/>
      <c r="G168" s="19"/>
      <c r="H168" s="20"/>
      <c r="I168" s="20"/>
      <c r="J168" s="20"/>
      <c r="K168" s="6"/>
      <c r="L168" s="20"/>
      <c r="M168" s="20"/>
      <c r="N168" s="20"/>
      <c r="O168" s="6"/>
      <c r="P168" s="6"/>
      <c r="Q168" s="6"/>
      <c r="R168" s="5"/>
      <c r="S168" s="22"/>
      <c r="T168" s="5"/>
      <c r="U168" s="6"/>
      <c r="V168" s="6"/>
    </row>
    <row r="169" customFormat="false" ht="15" hidden="false" customHeight="true" outlineLevel="0" collapsed="false">
      <c r="A169" s="9"/>
      <c r="B169" s="26"/>
      <c r="C169" s="26"/>
      <c r="D169" s="19"/>
      <c r="E169" s="26"/>
      <c r="F169" s="26"/>
      <c r="G169" s="19"/>
      <c r="H169" s="27"/>
      <c r="I169" s="27"/>
      <c r="J169" s="27"/>
      <c r="K169" s="9"/>
      <c r="L169" s="27"/>
      <c r="M169" s="27"/>
      <c r="N169" s="27"/>
      <c r="O169" s="14"/>
      <c r="P169" s="9"/>
      <c r="Q169" s="9"/>
      <c r="R169" s="5"/>
      <c r="S169" s="28"/>
      <c r="T169" s="5"/>
      <c r="U169" s="9"/>
      <c r="V169" s="9"/>
    </row>
    <row r="170" customFormat="false" ht="15" hidden="false" customHeight="true" outlineLevel="0" collapsed="false">
      <c r="A170" s="6"/>
      <c r="B170" s="17"/>
      <c r="C170" s="17"/>
      <c r="D170" s="19"/>
      <c r="E170" s="17"/>
      <c r="F170" s="17"/>
      <c r="G170" s="19"/>
      <c r="H170" s="20"/>
      <c r="I170" s="20"/>
      <c r="J170" s="20"/>
      <c r="K170" s="6"/>
      <c r="L170" s="20"/>
      <c r="M170" s="20"/>
      <c r="N170" s="20"/>
      <c r="O170" s="6"/>
      <c r="P170" s="6"/>
      <c r="Q170" s="6"/>
      <c r="R170" s="5"/>
      <c r="S170" s="22"/>
      <c r="T170" s="5"/>
      <c r="U170" s="6"/>
      <c r="V170" s="6"/>
    </row>
    <row r="171" customFormat="false" ht="15" hidden="false" customHeight="true" outlineLevel="0" collapsed="false">
      <c r="A171" s="9"/>
      <c r="B171" s="26"/>
      <c r="C171" s="26"/>
      <c r="D171" s="19"/>
      <c r="E171" s="26"/>
      <c r="F171" s="26"/>
      <c r="G171" s="19"/>
      <c r="H171" s="27"/>
      <c r="I171" s="27"/>
      <c r="J171" s="27"/>
      <c r="K171" s="9"/>
      <c r="L171" s="27"/>
      <c r="M171" s="27"/>
      <c r="N171" s="27"/>
      <c r="O171" s="14"/>
      <c r="P171" s="9"/>
      <c r="Q171" s="9"/>
      <c r="R171" s="5"/>
      <c r="S171" s="28"/>
      <c r="T171" s="5"/>
      <c r="U171" s="9"/>
      <c r="V171" s="9"/>
    </row>
    <row r="172" customFormat="false" ht="15" hidden="false" customHeight="true" outlineLevel="0" collapsed="false">
      <c r="A172" s="6"/>
      <c r="B172" s="17"/>
      <c r="C172" s="17"/>
      <c r="D172" s="19"/>
      <c r="E172" s="17"/>
      <c r="F172" s="17"/>
      <c r="G172" s="19"/>
      <c r="H172" s="20"/>
      <c r="I172" s="20"/>
      <c r="J172" s="20"/>
      <c r="K172" s="6"/>
      <c r="L172" s="20"/>
      <c r="M172" s="20"/>
      <c r="N172" s="20"/>
      <c r="O172" s="6"/>
      <c r="P172" s="6"/>
      <c r="Q172" s="6"/>
      <c r="R172" s="5"/>
      <c r="S172" s="22"/>
      <c r="T172" s="5"/>
      <c r="U172" s="6"/>
      <c r="V172" s="6"/>
    </row>
    <row r="173" customFormat="false" ht="15" hidden="false" customHeight="true" outlineLevel="0" collapsed="false">
      <c r="A173" s="9"/>
      <c r="B173" s="26"/>
      <c r="C173" s="26"/>
      <c r="D173" s="19"/>
      <c r="E173" s="26"/>
      <c r="F173" s="26"/>
      <c r="G173" s="19"/>
      <c r="H173" s="27"/>
      <c r="I173" s="27"/>
      <c r="J173" s="27"/>
      <c r="K173" s="9"/>
      <c r="L173" s="27"/>
      <c r="M173" s="27"/>
      <c r="N173" s="27"/>
      <c r="O173" s="14"/>
      <c r="P173" s="9"/>
      <c r="Q173" s="9"/>
      <c r="R173" s="5"/>
      <c r="S173" s="28"/>
      <c r="T173" s="5"/>
      <c r="U173" s="9"/>
      <c r="V173" s="9"/>
    </row>
    <row r="174" customFormat="false" ht="15" hidden="false" customHeight="true" outlineLevel="0" collapsed="false">
      <c r="A174" s="6"/>
      <c r="B174" s="17"/>
      <c r="C174" s="17"/>
      <c r="D174" s="19"/>
      <c r="E174" s="17"/>
      <c r="F174" s="17"/>
      <c r="G174" s="19"/>
      <c r="H174" s="20"/>
      <c r="I174" s="20"/>
      <c r="J174" s="20"/>
      <c r="K174" s="6"/>
      <c r="L174" s="20"/>
      <c r="M174" s="20"/>
      <c r="N174" s="20"/>
      <c r="O174" s="6"/>
      <c r="P174" s="6"/>
      <c r="Q174" s="6"/>
      <c r="R174" s="5"/>
      <c r="S174" s="22"/>
      <c r="T174" s="5"/>
      <c r="U174" s="6"/>
      <c r="V174" s="6"/>
    </row>
    <row r="175" customFormat="false" ht="15" hidden="false" customHeight="true" outlineLevel="0" collapsed="false">
      <c r="A175" s="9"/>
      <c r="B175" s="26"/>
      <c r="C175" s="26"/>
      <c r="D175" s="19"/>
      <c r="E175" s="26"/>
      <c r="F175" s="26"/>
      <c r="G175" s="19"/>
      <c r="H175" s="27"/>
      <c r="I175" s="27"/>
      <c r="J175" s="27"/>
      <c r="K175" s="9"/>
      <c r="L175" s="27"/>
      <c r="M175" s="27"/>
      <c r="N175" s="27"/>
      <c r="O175" s="14"/>
      <c r="P175" s="9"/>
      <c r="Q175" s="9"/>
      <c r="R175" s="5"/>
      <c r="S175" s="28"/>
      <c r="T175" s="5"/>
      <c r="U175" s="9"/>
      <c r="V175" s="9"/>
    </row>
    <row r="176" customFormat="false" ht="15" hidden="false" customHeight="true" outlineLevel="0" collapsed="false">
      <c r="A176" s="6"/>
      <c r="B176" s="17"/>
      <c r="C176" s="17"/>
      <c r="D176" s="19"/>
      <c r="E176" s="17"/>
      <c r="F176" s="17"/>
      <c r="G176" s="19"/>
      <c r="H176" s="20"/>
      <c r="I176" s="20"/>
      <c r="J176" s="20"/>
      <c r="K176" s="6"/>
      <c r="L176" s="20"/>
      <c r="M176" s="20"/>
      <c r="N176" s="20"/>
      <c r="O176" s="6"/>
      <c r="P176" s="6"/>
      <c r="Q176" s="6"/>
      <c r="R176" s="5"/>
      <c r="S176" s="22"/>
      <c r="T176" s="5"/>
      <c r="U176" s="6"/>
      <c r="V176" s="6"/>
    </row>
    <row r="177" customFormat="false" ht="15" hidden="false" customHeight="true" outlineLevel="0" collapsed="false">
      <c r="A177" s="9"/>
      <c r="B177" s="26"/>
      <c r="C177" s="26"/>
      <c r="D177" s="19"/>
      <c r="E177" s="26"/>
      <c r="F177" s="26"/>
      <c r="G177" s="19"/>
      <c r="H177" s="27"/>
      <c r="I177" s="27"/>
      <c r="J177" s="27"/>
      <c r="K177" s="9"/>
      <c r="L177" s="27"/>
      <c r="M177" s="27"/>
      <c r="N177" s="27"/>
      <c r="O177" s="14"/>
      <c r="P177" s="9"/>
      <c r="Q177" s="9"/>
      <c r="R177" s="5"/>
      <c r="S177" s="28"/>
      <c r="T177" s="5"/>
      <c r="U177" s="9"/>
      <c r="V177" s="9"/>
    </row>
    <row r="178" customFormat="false" ht="15" hidden="false" customHeight="true" outlineLevel="0" collapsed="false">
      <c r="A178" s="6"/>
      <c r="B178" s="17"/>
      <c r="C178" s="17"/>
      <c r="D178" s="19"/>
      <c r="E178" s="17"/>
      <c r="F178" s="17"/>
      <c r="G178" s="19"/>
      <c r="H178" s="20"/>
      <c r="I178" s="20"/>
      <c r="J178" s="20"/>
      <c r="K178" s="6"/>
      <c r="L178" s="20"/>
      <c r="M178" s="20"/>
      <c r="N178" s="20"/>
      <c r="O178" s="6"/>
      <c r="P178" s="6"/>
      <c r="Q178" s="6"/>
      <c r="R178" s="5"/>
      <c r="S178" s="22"/>
      <c r="T178" s="5"/>
      <c r="U178" s="6"/>
      <c r="V178" s="6"/>
    </row>
    <row r="179" customFormat="false" ht="15" hidden="false" customHeight="true" outlineLevel="0" collapsed="false">
      <c r="A179" s="9"/>
      <c r="B179" s="26"/>
      <c r="C179" s="26"/>
      <c r="D179" s="19"/>
      <c r="E179" s="26"/>
      <c r="F179" s="26"/>
      <c r="G179" s="19"/>
      <c r="H179" s="27"/>
      <c r="I179" s="27"/>
      <c r="J179" s="27"/>
      <c r="K179" s="9"/>
      <c r="L179" s="27"/>
      <c r="M179" s="27"/>
      <c r="N179" s="27"/>
      <c r="O179" s="14"/>
      <c r="P179" s="9"/>
      <c r="Q179" s="9"/>
      <c r="R179" s="5"/>
      <c r="S179" s="28"/>
      <c r="T179" s="5"/>
      <c r="U179" s="9"/>
      <c r="V179" s="9"/>
    </row>
    <row r="180" customFormat="false" ht="15" hidden="false" customHeight="true" outlineLevel="0" collapsed="false">
      <c r="A180" s="6"/>
      <c r="B180" s="17"/>
      <c r="C180" s="17"/>
      <c r="D180" s="19"/>
      <c r="E180" s="17"/>
      <c r="F180" s="17"/>
      <c r="G180" s="19"/>
      <c r="H180" s="20"/>
      <c r="I180" s="20"/>
      <c r="J180" s="20"/>
      <c r="K180" s="6"/>
      <c r="L180" s="20"/>
      <c r="M180" s="20"/>
      <c r="N180" s="20"/>
      <c r="O180" s="6"/>
      <c r="P180" s="6"/>
      <c r="Q180" s="6"/>
      <c r="R180" s="5"/>
      <c r="S180" s="22"/>
      <c r="T180" s="5"/>
      <c r="U180" s="6"/>
      <c r="V180" s="6"/>
    </row>
    <row r="181" customFormat="false" ht="15" hidden="false" customHeight="true" outlineLevel="0" collapsed="false">
      <c r="A181" s="9"/>
      <c r="B181" s="26"/>
      <c r="C181" s="26"/>
      <c r="D181" s="19"/>
      <c r="E181" s="26"/>
      <c r="F181" s="26"/>
      <c r="G181" s="19"/>
      <c r="H181" s="27"/>
      <c r="I181" s="27"/>
      <c r="J181" s="27"/>
      <c r="K181" s="9"/>
      <c r="L181" s="27"/>
      <c r="M181" s="27"/>
      <c r="N181" s="27"/>
      <c r="O181" s="14"/>
      <c r="P181" s="9"/>
      <c r="Q181" s="9"/>
      <c r="R181" s="5"/>
      <c r="S181" s="28"/>
      <c r="T181" s="5"/>
      <c r="U181" s="9"/>
      <c r="V181" s="9"/>
    </row>
    <row r="182" customFormat="false" ht="15" hidden="false" customHeight="true" outlineLevel="0" collapsed="false">
      <c r="A182" s="6"/>
      <c r="B182" s="17"/>
      <c r="C182" s="17"/>
      <c r="D182" s="19"/>
      <c r="E182" s="17"/>
      <c r="F182" s="17"/>
      <c r="G182" s="19"/>
      <c r="H182" s="20"/>
      <c r="I182" s="20"/>
      <c r="J182" s="20"/>
      <c r="K182" s="6"/>
      <c r="L182" s="20"/>
      <c r="M182" s="20"/>
      <c r="N182" s="20"/>
      <c r="O182" s="6"/>
      <c r="P182" s="6"/>
      <c r="Q182" s="6"/>
      <c r="R182" s="5"/>
      <c r="S182" s="22"/>
      <c r="T182" s="5"/>
      <c r="U182" s="6"/>
      <c r="V182" s="6"/>
    </row>
    <row r="183" customFormat="false" ht="15" hidden="false" customHeight="true" outlineLevel="0" collapsed="false">
      <c r="A183" s="9"/>
      <c r="B183" s="26"/>
      <c r="C183" s="26"/>
      <c r="D183" s="19"/>
      <c r="E183" s="26"/>
      <c r="F183" s="26"/>
      <c r="G183" s="19"/>
      <c r="H183" s="27"/>
      <c r="I183" s="27"/>
      <c r="J183" s="27"/>
      <c r="K183" s="9"/>
      <c r="L183" s="27"/>
      <c r="M183" s="27"/>
      <c r="N183" s="27"/>
      <c r="O183" s="14"/>
      <c r="P183" s="9"/>
      <c r="Q183" s="9"/>
      <c r="R183" s="5"/>
      <c r="S183" s="28"/>
      <c r="T183" s="5"/>
      <c r="U183" s="9"/>
      <c r="V183" s="9"/>
    </row>
    <row r="184" customFormat="false" ht="15" hidden="false" customHeight="true" outlineLevel="0" collapsed="false">
      <c r="A184" s="6"/>
      <c r="B184" s="17"/>
      <c r="C184" s="17"/>
      <c r="D184" s="19"/>
      <c r="E184" s="17"/>
      <c r="F184" s="17"/>
      <c r="G184" s="19"/>
      <c r="H184" s="20"/>
      <c r="I184" s="20"/>
      <c r="J184" s="20"/>
      <c r="K184" s="6"/>
      <c r="L184" s="20"/>
      <c r="M184" s="20"/>
      <c r="N184" s="20"/>
      <c r="O184" s="6"/>
      <c r="P184" s="6"/>
      <c r="Q184" s="6"/>
      <c r="R184" s="5"/>
      <c r="S184" s="22"/>
      <c r="T184" s="5"/>
      <c r="U184" s="6"/>
      <c r="V184" s="6"/>
    </row>
    <row r="185" customFormat="false" ht="15" hidden="false" customHeight="true" outlineLevel="0" collapsed="false">
      <c r="A185" s="9"/>
      <c r="B185" s="26"/>
      <c r="C185" s="26"/>
      <c r="D185" s="19"/>
      <c r="E185" s="26"/>
      <c r="F185" s="26"/>
      <c r="G185" s="19"/>
      <c r="H185" s="27"/>
      <c r="I185" s="27"/>
      <c r="J185" s="27"/>
      <c r="K185" s="9"/>
      <c r="L185" s="27"/>
      <c r="M185" s="27"/>
      <c r="N185" s="27"/>
      <c r="O185" s="14"/>
      <c r="P185" s="9"/>
      <c r="Q185" s="9"/>
      <c r="R185" s="5"/>
      <c r="S185" s="28"/>
      <c r="T185" s="5"/>
      <c r="U185" s="9"/>
      <c r="V185" s="9"/>
    </row>
    <row r="186" customFormat="false" ht="15" hidden="false" customHeight="true" outlineLevel="0" collapsed="false">
      <c r="A186" s="6"/>
      <c r="B186" s="17"/>
      <c r="C186" s="17"/>
      <c r="D186" s="19"/>
      <c r="E186" s="17"/>
      <c r="F186" s="17"/>
      <c r="G186" s="19"/>
      <c r="H186" s="20"/>
      <c r="I186" s="20"/>
      <c r="J186" s="20"/>
      <c r="K186" s="6"/>
      <c r="L186" s="20"/>
      <c r="M186" s="20"/>
      <c r="N186" s="20"/>
      <c r="O186" s="6"/>
      <c r="P186" s="6"/>
      <c r="Q186" s="6"/>
      <c r="R186" s="5"/>
      <c r="S186" s="22"/>
      <c r="T186" s="5"/>
      <c r="U186" s="6"/>
      <c r="V186" s="6"/>
    </row>
    <row r="187" customFormat="false" ht="15" hidden="false" customHeight="true" outlineLevel="0" collapsed="false">
      <c r="A187" s="9"/>
      <c r="B187" s="26"/>
      <c r="C187" s="26"/>
      <c r="D187" s="19"/>
      <c r="E187" s="26"/>
      <c r="F187" s="26"/>
      <c r="G187" s="19"/>
      <c r="H187" s="27"/>
      <c r="I187" s="27"/>
      <c r="J187" s="27"/>
      <c r="K187" s="9"/>
      <c r="L187" s="27"/>
      <c r="M187" s="27"/>
      <c r="N187" s="27"/>
      <c r="O187" s="14"/>
      <c r="P187" s="9"/>
      <c r="Q187" s="9"/>
      <c r="R187" s="5"/>
      <c r="S187" s="28"/>
      <c r="T187" s="5"/>
      <c r="U187" s="9"/>
      <c r="V187" s="9"/>
    </row>
    <row r="188" customFormat="false" ht="15" hidden="false" customHeight="true" outlineLevel="0" collapsed="false">
      <c r="A188" s="6"/>
      <c r="B188" s="17"/>
      <c r="C188" s="17"/>
      <c r="D188" s="19"/>
      <c r="E188" s="17"/>
      <c r="F188" s="17"/>
      <c r="G188" s="19"/>
      <c r="H188" s="20"/>
      <c r="I188" s="20"/>
      <c r="J188" s="20"/>
      <c r="K188" s="6"/>
      <c r="L188" s="20"/>
      <c r="M188" s="20"/>
      <c r="N188" s="20"/>
      <c r="O188" s="6"/>
      <c r="P188" s="6"/>
      <c r="Q188" s="6"/>
      <c r="R188" s="5"/>
      <c r="S188" s="22"/>
      <c r="T188" s="5"/>
      <c r="U188" s="6"/>
      <c r="V188" s="6"/>
    </row>
    <row r="189" customFormat="false" ht="15" hidden="false" customHeight="true" outlineLevel="0" collapsed="false">
      <c r="A189" s="9"/>
      <c r="B189" s="26"/>
      <c r="C189" s="26"/>
      <c r="D189" s="19"/>
      <c r="E189" s="26"/>
      <c r="F189" s="26"/>
      <c r="G189" s="19"/>
      <c r="H189" s="27"/>
      <c r="I189" s="27"/>
      <c r="J189" s="27"/>
      <c r="K189" s="9"/>
      <c r="L189" s="27"/>
      <c r="M189" s="27"/>
      <c r="N189" s="27"/>
      <c r="O189" s="14"/>
      <c r="P189" s="9"/>
      <c r="Q189" s="9"/>
      <c r="R189" s="5"/>
      <c r="S189" s="28"/>
      <c r="T189" s="5"/>
      <c r="U189" s="9"/>
      <c r="V189" s="9"/>
    </row>
    <row r="190" customFormat="false" ht="15" hidden="false" customHeight="true" outlineLevel="0" collapsed="false">
      <c r="A190" s="6"/>
      <c r="B190" s="17"/>
      <c r="C190" s="17"/>
      <c r="D190" s="19"/>
      <c r="E190" s="17"/>
      <c r="F190" s="17"/>
      <c r="G190" s="19"/>
      <c r="H190" s="20"/>
      <c r="I190" s="20"/>
      <c r="J190" s="20"/>
      <c r="K190" s="6"/>
      <c r="L190" s="20"/>
      <c r="M190" s="20"/>
      <c r="N190" s="20"/>
      <c r="O190" s="6"/>
      <c r="P190" s="6"/>
      <c r="Q190" s="6"/>
      <c r="R190" s="5"/>
      <c r="S190" s="22"/>
      <c r="T190" s="5"/>
      <c r="U190" s="6"/>
      <c r="V190" s="6"/>
    </row>
    <row r="191" customFormat="false" ht="15" hidden="false" customHeight="true" outlineLevel="0" collapsed="false">
      <c r="A191" s="9"/>
      <c r="B191" s="26"/>
      <c r="C191" s="26"/>
      <c r="D191" s="19"/>
      <c r="E191" s="26"/>
      <c r="F191" s="26"/>
      <c r="G191" s="19"/>
      <c r="H191" s="27"/>
      <c r="I191" s="27"/>
      <c r="J191" s="27"/>
      <c r="K191" s="9"/>
      <c r="L191" s="27"/>
      <c r="M191" s="27"/>
      <c r="N191" s="27"/>
      <c r="O191" s="14"/>
      <c r="P191" s="9"/>
      <c r="Q191" s="9"/>
      <c r="R191" s="5"/>
      <c r="S191" s="28"/>
      <c r="T191" s="5"/>
      <c r="U191" s="9"/>
      <c r="V191" s="9"/>
    </row>
    <row r="192" customFormat="false" ht="15" hidden="false" customHeight="true" outlineLevel="0" collapsed="false">
      <c r="A192" s="6"/>
      <c r="B192" s="17"/>
      <c r="C192" s="17"/>
      <c r="D192" s="19"/>
      <c r="E192" s="17"/>
      <c r="F192" s="17"/>
      <c r="G192" s="19"/>
      <c r="H192" s="20"/>
      <c r="I192" s="20"/>
      <c r="J192" s="20"/>
      <c r="K192" s="6"/>
      <c r="L192" s="20"/>
      <c r="M192" s="20"/>
      <c r="N192" s="20"/>
      <c r="O192" s="6"/>
      <c r="P192" s="6"/>
      <c r="Q192" s="6"/>
      <c r="R192" s="5"/>
      <c r="S192" s="22"/>
      <c r="T192" s="5"/>
      <c r="U192" s="6"/>
      <c r="V192" s="6"/>
    </row>
    <row r="193" customFormat="false" ht="15" hidden="false" customHeight="true" outlineLevel="0" collapsed="false">
      <c r="A193" s="9"/>
      <c r="B193" s="26"/>
      <c r="C193" s="26"/>
      <c r="D193" s="19"/>
      <c r="E193" s="26"/>
      <c r="F193" s="26"/>
      <c r="G193" s="19"/>
      <c r="H193" s="27"/>
      <c r="I193" s="27"/>
      <c r="J193" s="27"/>
      <c r="K193" s="9"/>
      <c r="L193" s="27"/>
      <c r="M193" s="27"/>
      <c r="N193" s="27"/>
      <c r="O193" s="14"/>
      <c r="P193" s="9"/>
      <c r="Q193" s="9"/>
      <c r="R193" s="5"/>
      <c r="S193" s="28"/>
      <c r="T193" s="5"/>
      <c r="U193" s="9"/>
      <c r="V193" s="9"/>
    </row>
    <row r="194" customFormat="false" ht="15" hidden="false" customHeight="true" outlineLevel="0" collapsed="false">
      <c r="A194" s="6"/>
      <c r="B194" s="17"/>
      <c r="C194" s="17"/>
      <c r="D194" s="19"/>
      <c r="E194" s="17"/>
      <c r="F194" s="17"/>
      <c r="G194" s="19"/>
      <c r="H194" s="20"/>
      <c r="I194" s="20"/>
      <c r="J194" s="20"/>
      <c r="K194" s="6"/>
      <c r="L194" s="20"/>
      <c r="M194" s="20"/>
      <c r="N194" s="20"/>
      <c r="O194" s="6"/>
      <c r="P194" s="6"/>
      <c r="Q194" s="6"/>
      <c r="R194" s="5"/>
      <c r="S194" s="22"/>
      <c r="T194" s="5"/>
      <c r="U194" s="6"/>
      <c r="V194" s="6"/>
    </row>
    <row r="195" customFormat="false" ht="15" hidden="false" customHeight="true" outlineLevel="0" collapsed="false">
      <c r="A195" s="9"/>
      <c r="B195" s="26"/>
      <c r="C195" s="26"/>
      <c r="D195" s="19"/>
      <c r="E195" s="26"/>
      <c r="F195" s="26"/>
      <c r="G195" s="19"/>
      <c r="H195" s="27"/>
      <c r="I195" s="27"/>
      <c r="J195" s="27"/>
      <c r="K195" s="9"/>
      <c r="L195" s="27"/>
      <c r="M195" s="27"/>
      <c r="N195" s="27"/>
      <c r="O195" s="14"/>
      <c r="P195" s="9"/>
      <c r="Q195" s="9"/>
      <c r="R195" s="5"/>
      <c r="S195" s="28"/>
      <c r="T195" s="5"/>
      <c r="U195" s="9"/>
      <c r="V195" s="9"/>
    </row>
    <row r="196" customFormat="false" ht="15" hidden="false" customHeight="true" outlineLevel="0" collapsed="false">
      <c r="A196" s="6"/>
      <c r="B196" s="17"/>
      <c r="C196" s="17"/>
      <c r="D196" s="19"/>
      <c r="E196" s="17"/>
      <c r="F196" s="17"/>
      <c r="G196" s="19"/>
      <c r="H196" s="20"/>
      <c r="I196" s="20"/>
      <c r="J196" s="20"/>
      <c r="K196" s="6"/>
      <c r="L196" s="20"/>
      <c r="M196" s="20"/>
      <c r="N196" s="20"/>
      <c r="O196" s="6"/>
      <c r="P196" s="6"/>
      <c r="Q196" s="6"/>
      <c r="R196" s="5"/>
      <c r="S196" s="22"/>
      <c r="T196" s="5"/>
      <c r="U196" s="6"/>
      <c r="V196" s="6"/>
    </row>
    <row r="197" customFormat="false" ht="15" hidden="false" customHeight="true" outlineLevel="0" collapsed="false">
      <c r="A197" s="9"/>
      <c r="B197" s="26"/>
      <c r="C197" s="26"/>
      <c r="D197" s="19"/>
      <c r="E197" s="26"/>
      <c r="F197" s="26"/>
      <c r="G197" s="19"/>
      <c r="H197" s="27"/>
      <c r="I197" s="27"/>
      <c r="J197" s="27"/>
      <c r="K197" s="9"/>
      <c r="L197" s="27"/>
      <c r="M197" s="27"/>
      <c r="N197" s="27"/>
      <c r="O197" s="14"/>
      <c r="P197" s="9"/>
      <c r="Q197" s="9"/>
      <c r="R197" s="5"/>
      <c r="S197" s="28"/>
      <c r="T197" s="5"/>
      <c r="U197" s="9"/>
      <c r="V197" s="9"/>
    </row>
    <row r="198" customFormat="false" ht="15" hidden="false" customHeight="true" outlineLevel="0" collapsed="false">
      <c r="A198" s="6"/>
      <c r="B198" s="17"/>
      <c r="C198" s="17"/>
      <c r="D198" s="19"/>
      <c r="E198" s="17"/>
      <c r="F198" s="17"/>
      <c r="G198" s="19"/>
      <c r="H198" s="20"/>
      <c r="I198" s="20"/>
      <c r="J198" s="20"/>
      <c r="K198" s="6"/>
      <c r="L198" s="20"/>
      <c r="M198" s="20"/>
      <c r="N198" s="20"/>
      <c r="O198" s="6"/>
      <c r="P198" s="6"/>
      <c r="Q198" s="6"/>
      <c r="R198" s="5"/>
      <c r="S198" s="22"/>
      <c r="T198" s="5"/>
      <c r="U198" s="6"/>
      <c r="V198" s="6"/>
    </row>
    <row r="199" customFormat="false" ht="15" hidden="false" customHeight="true" outlineLevel="0" collapsed="false">
      <c r="A199" s="9"/>
      <c r="B199" s="26"/>
      <c r="C199" s="26"/>
      <c r="D199" s="19"/>
      <c r="E199" s="26"/>
      <c r="F199" s="26"/>
      <c r="G199" s="19"/>
      <c r="H199" s="27"/>
      <c r="I199" s="27"/>
      <c r="J199" s="27"/>
      <c r="K199" s="9"/>
      <c r="L199" s="27"/>
      <c r="M199" s="27"/>
      <c r="N199" s="27"/>
      <c r="O199" s="14"/>
      <c r="P199" s="9"/>
      <c r="Q199" s="9"/>
      <c r="R199" s="5"/>
      <c r="S199" s="28"/>
      <c r="T199" s="5"/>
      <c r="U199" s="9"/>
      <c r="V199" s="9"/>
    </row>
    <row r="200" customFormat="false" ht="15" hidden="false" customHeight="true" outlineLevel="0" collapsed="false">
      <c r="A200" s="6"/>
      <c r="B200" s="17"/>
      <c r="C200" s="17"/>
      <c r="D200" s="19"/>
      <c r="E200" s="17"/>
      <c r="F200" s="17"/>
      <c r="G200" s="19"/>
      <c r="H200" s="20"/>
      <c r="I200" s="20"/>
      <c r="J200" s="20"/>
      <c r="K200" s="6"/>
      <c r="L200" s="20"/>
      <c r="M200" s="20"/>
      <c r="N200" s="20"/>
      <c r="O200" s="6"/>
      <c r="P200" s="6"/>
      <c r="Q200" s="6"/>
      <c r="R200" s="5"/>
      <c r="S200" s="22"/>
      <c r="T200" s="5"/>
      <c r="U200" s="6"/>
      <c r="V200" s="6"/>
    </row>
    <row r="201" customFormat="false" ht="15" hidden="false" customHeight="true" outlineLevel="0" collapsed="false">
      <c r="A201" s="9"/>
      <c r="B201" s="26"/>
      <c r="C201" s="26"/>
      <c r="D201" s="19"/>
      <c r="E201" s="26"/>
      <c r="F201" s="26"/>
      <c r="G201" s="19"/>
      <c r="H201" s="27"/>
      <c r="I201" s="27"/>
      <c r="J201" s="27"/>
      <c r="K201" s="9"/>
      <c r="L201" s="27"/>
      <c r="M201" s="27"/>
      <c r="N201" s="27"/>
      <c r="O201" s="14"/>
      <c r="P201" s="9"/>
      <c r="Q201" s="9"/>
      <c r="R201" s="5"/>
      <c r="S201" s="28"/>
      <c r="T201" s="5"/>
      <c r="U201" s="9"/>
      <c r="V201" s="9"/>
    </row>
  </sheetData>
  <sheetProtection sheet="true" password="c42e"/>
  <autoFilter ref="A1:V201"/>
  <conditionalFormatting sqref="R2:R201">
    <cfRule type="expression" priority="2" aboveAverage="0" equalAverage="0" bottom="0" percent="0" rank="0" text="" dxfId="6">
      <formula>R2="是"</formula>
    </cfRule>
    <cfRule type="expression" priority="3" aboveAverage="0" equalAverage="0" bottom="0" percent="0" rank="0" text="" dxfId="7">
      <formula>R2="否"</formula>
    </cfRule>
  </conditionalFormatting>
  <conditionalFormatting sqref="T2:T201">
    <cfRule type="expression" priority="4" aboveAverage="0" equalAverage="0" bottom="0" percent="0" rank="0" text="" dxfId="6">
      <formula>T2="是"</formula>
    </cfRule>
    <cfRule type="expression" priority="5" aboveAverage="0" equalAverage="0" bottom="0" percent="0" rank="0" text="" dxfId="7">
      <formula>T2="否"</formula>
    </cfRule>
  </conditionalFormatting>
  <conditionalFormatting sqref="G2:G201">
    <cfRule type="cellIs" priority="6" operator="lessThan" aboveAverage="0" equalAverage="0" bottom="0" percent="0" rank="0" text="" dxfId="12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16" t="s">
        <v>248</v>
      </c>
      <c r="B1" s="16" t="s">
        <v>320</v>
      </c>
      <c r="C1" s="16" t="s">
        <v>319</v>
      </c>
      <c r="D1" s="36" t="s">
        <v>649</v>
      </c>
      <c r="E1" s="36" t="s">
        <v>334</v>
      </c>
      <c r="F1" s="36" t="s">
        <v>335</v>
      </c>
      <c r="G1" s="36" t="s">
        <v>650</v>
      </c>
      <c r="H1" s="16" t="s">
        <v>651</v>
      </c>
      <c r="I1" s="16" t="s">
        <v>379</v>
      </c>
      <c r="J1" s="16" t="s">
        <v>652</v>
      </c>
      <c r="K1" s="16" t="s">
        <v>653</v>
      </c>
      <c r="L1" s="16" t="s">
        <v>395</v>
      </c>
      <c r="M1" s="16" t="s">
        <v>654</v>
      </c>
    </row>
    <row r="2" customFormat="false" ht="15" hidden="false" customHeight="true" outlineLevel="0" collapsed="false">
      <c r="A2" s="92" t="n">
        <v>46229</v>
      </c>
      <c r="B2" s="1" t="s">
        <v>399</v>
      </c>
      <c r="C2" s="15" t="s">
        <v>398</v>
      </c>
      <c r="D2" s="1" t="n">
        <v>23.98</v>
      </c>
      <c r="E2" s="1" t="n">
        <v>0.18020228134431</v>
      </c>
      <c r="F2" s="1" t="n">
        <v>0.942257901343378</v>
      </c>
      <c r="G2" s="15" t="s">
        <v>655</v>
      </c>
      <c r="H2" s="1" t="n">
        <v>100</v>
      </c>
      <c r="I2" s="1" t="n">
        <v>0</v>
      </c>
      <c r="J2" s="1" t="str">
        <f aca="false">IFERROR(INDEX($G$2:$G1,MATCH(1,($B$2:$B1=B2)*($A$2:$A1&lt;A2),0)),"")</f>
        <v/>
      </c>
      <c r="K2" s="1" t="n">
        <f aca="false">IF(AND(J2="观察池",G2="核心池"),1,0)</f>
        <v>0</v>
      </c>
      <c r="L2" s="1" t="n">
        <f aca="false">IF(G2&lt;&gt;"核心池",0,IF(J2="核心池",L1+1,1))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92" t="n">
        <v>46229</v>
      </c>
      <c r="B3" s="1" t="s">
        <v>402</v>
      </c>
      <c r="C3" s="15" t="s">
        <v>401</v>
      </c>
      <c r="D3" s="1" t="n">
        <v>3.1</v>
      </c>
      <c r="E3" s="1" t="n">
        <v>0.0219614970942553</v>
      </c>
      <c r="F3" s="1" t="n">
        <v>0.937046817900879</v>
      </c>
      <c r="G3" s="15" t="s">
        <v>655</v>
      </c>
      <c r="H3" s="1" t="n">
        <v>300</v>
      </c>
      <c r="I3" s="1" t="n">
        <v>0</v>
      </c>
      <c r="J3" s="1" t="str">
        <f aca="false">IFERROR(INDEX($G$2:$G2,MATCH(1,($B$2:$B2=B3)*($A$2:$A2&lt;A3),0)),"")</f>
        <v/>
      </c>
      <c r="K3" s="1" t="n">
        <f aca="false">IF(AND(J3="观察池",G3="核心池"),1,0)</f>
        <v>0</v>
      </c>
      <c r="L3" s="1" t="n">
        <f aca="false">IF(G3&lt;&gt;"核心池",0,IF(J3="核心池",L2+1,1))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92" t="n">
        <v>46229</v>
      </c>
      <c r="B4" s="1" t="s">
        <v>404</v>
      </c>
      <c r="C4" s="15" t="s">
        <v>403</v>
      </c>
      <c r="D4" s="1" t="n">
        <v>18.74</v>
      </c>
      <c r="E4" s="1" t="n">
        <v>0.0722104792657035</v>
      </c>
      <c r="F4" s="1" t="n">
        <v>0.933669096017595</v>
      </c>
      <c r="G4" s="15" t="s">
        <v>655</v>
      </c>
      <c r="H4" s="1" t="n">
        <v>100</v>
      </c>
      <c r="I4" s="1" t="n">
        <v>0</v>
      </c>
      <c r="J4" s="1" t="str">
        <f aca="false">IFERROR(INDEX($G$2:$G3,MATCH(1,($B$2:$B3=B4)*($A$2:$A3&lt;A4),0)),"")</f>
        <v/>
      </c>
      <c r="K4" s="1" t="n">
        <f aca="false">IF(AND(J4="观察池",G4="核心池"),1,0)</f>
        <v>0</v>
      </c>
      <c r="L4" s="1" t="n">
        <f aca="false">IF(G4&lt;&gt;"核心池",0,IF(J4="核心池",L3+1,1))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92" t="n">
        <v>46229</v>
      </c>
      <c r="B5" s="1" t="s">
        <v>406</v>
      </c>
      <c r="C5" s="15" t="s">
        <v>405</v>
      </c>
      <c r="D5" s="1" t="n">
        <v>28.58</v>
      </c>
      <c r="E5" s="1" t="n">
        <v>0.136356199625273</v>
      </c>
      <c r="F5" s="1" t="n">
        <v>0.932773404270058</v>
      </c>
      <c r="G5" s="15" t="s">
        <v>655</v>
      </c>
      <c r="H5" s="1" t="n">
        <v>100</v>
      </c>
      <c r="I5" s="1" t="n">
        <v>0</v>
      </c>
      <c r="J5" s="1" t="str">
        <f aca="false">IFERROR(INDEX($G$2:$G4,MATCH(1,($B$2:$B4=B5)*($A$2:$A4&lt;A5),0)),"")</f>
        <v/>
      </c>
      <c r="K5" s="1" t="n">
        <f aca="false">IF(AND(J5="观察池",G5="核心池"),1,0)</f>
        <v>0</v>
      </c>
      <c r="L5" s="1" t="n">
        <f aca="false">IF(G5&lt;&gt;"核心池",0,IF(J5="核心池",L4+1,1))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92" t="n">
        <v>46229</v>
      </c>
      <c r="B6" s="1" t="s">
        <v>408</v>
      </c>
      <c r="C6" s="15" t="s">
        <v>407</v>
      </c>
      <c r="D6" s="1" t="n">
        <v>4.07</v>
      </c>
      <c r="E6" s="1" t="n">
        <v>0.148936427931102</v>
      </c>
      <c r="F6" s="1" t="n">
        <v>0.931021321884339</v>
      </c>
      <c r="G6" s="15" t="s">
        <v>655</v>
      </c>
      <c r="H6" s="1" t="n">
        <v>200</v>
      </c>
      <c r="I6" s="1" t="n">
        <v>0</v>
      </c>
      <c r="J6" s="1" t="str">
        <f aca="false">IFERROR(INDEX($G$2:$G5,MATCH(1,($B$2:$B5=B6)*($A$2:$A5&lt;A6),0)),"")</f>
        <v/>
      </c>
      <c r="K6" s="1" t="n">
        <f aca="false">IF(AND(J6="观察池",G6="核心池"),1,0)</f>
        <v>0</v>
      </c>
      <c r="L6" s="1" t="n">
        <f aca="false">IF(G6&lt;&gt;"核心池",0,IF(J6="核心池",L5+1,1))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92" t="n">
        <v>46229</v>
      </c>
      <c r="B7" s="1" t="s">
        <v>410</v>
      </c>
      <c r="C7" s="15" t="s">
        <v>409</v>
      </c>
      <c r="D7" s="1" t="n">
        <v>5.8</v>
      </c>
      <c r="E7" s="1" t="n">
        <v>0.151260284559991</v>
      </c>
      <c r="F7" s="1" t="n">
        <v>0.925849573092616</v>
      </c>
      <c r="G7" s="15" t="s">
        <v>655</v>
      </c>
      <c r="H7" s="1" t="n">
        <v>200</v>
      </c>
      <c r="I7" s="1" t="n">
        <v>0</v>
      </c>
      <c r="J7" s="1" t="str">
        <f aca="false">IFERROR(INDEX($G$2:$G6,MATCH(1,($B$2:$B6=B7)*($A$2:$A6&lt;A7),0)),"")</f>
        <v/>
      </c>
      <c r="K7" s="1" t="n">
        <f aca="false">IF(AND(J7="观察池",G7="核心池"),1,0)</f>
        <v>0</v>
      </c>
      <c r="L7" s="1" t="n">
        <f aca="false">IF(G7&lt;&gt;"核心池",0,IF(J7="核心池",L6+1,1))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92" t="n">
        <v>46229</v>
      </c>
      <c r="B8" s="1" t="s">
        <v>412</v>
      </c>
      <c r="C8" s="15" t="s">
        <v>411</v>
      </c>
      <c r="D8" s="1" t="n">
        <v>347.8</v>
      </c>
      <c r="E8" s="1" t="n">
        <v>0.150557882767282</v>
      </c>
      <c r="F8" s="1" t="n">
        <v>0.923640505971024</v>
      </c>
      <c r="G8" s="15" t="s">
        <v>655</v>
      </c>
      <c r="H8" s="1" t="n">
        <v>100</v>
      </c>
      <c r="I8" s="1" t="n">
        <v>0</v>
      </c>
      <c r="J8" s="1" t="str">
        <f aca="false">IFERROR(INDEX($G$2:$G7,MATCH(1,($B$2:$B7=B8)*($A$2:$A7&lt;A8),0)),"")</f>
        <v/>
      </c>
      <c r="K8" s="1" t="n">
        <f aca="false">IF(AND(J8="观察池",G8="核心池"),1,0)</f>
        <v>0</v>
      </c>
      <c r="L8" s="1" t="n">
        <f aca="false">IF(G8&lt;&gt;"核心池",0,IF(J8="核心池",L7+1,1))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92" t="n">
        <v>46229</v>
      </c>
      <c r="B9" s="1" t="s">
        <v>415</v>
      </c>
      <c r="C9" s="15" t="s">
        <v>414</v>
      </c>
      <c r="D9" s="1" t="n">
        <v>6.46</v>
      </c>
      <c r="E9" s="1" t="n">
        <v>0.0651159258248686</v>
      </c>
      <c r="F9" s="1" t="n">
        <v>0.921375970201785</v>
      </c>
      <c r="G9" s="15" t="s">
        <v>655</v>
      </c>
      <c r="H9" s="1" t="n">
        <v>200</v>
      </c>
      <c r="I9" s="1" t="n">
        <v>0</v>
      </c>
      <c r="J9" s="1" t="str">
        <f aca="false">IFERROR(INDEX($G$2:$G8,MATCH(1,($B$2:$B8=B9)*($A$2:$A8&lt;A9),0)),"")</f>
        <v/>
      </c>
      <c r="K9" s="1" t="n">
        <f aca="false">IF(AND(J9="观察池",G9="核心池"),1,0)</f>
        <v>0</v>
      </c>
      <c r="L9" s="1" t="n">
        <f aca="false">IF(G9&lt;&gt;"核心池",0,IF(J9="核心池",L8+1,1))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92" t="n">
        <v>46229</v>
      </c>
      <c r="B10" s="1" t="s">
        <v>417</v>
      </c>
      <c r="C10" s="15" t="s">
        <v>416</v>
      </c>
      <c r="D10" s="1" t="n">
        <v>8.24</v>
      </c>
      <c r="E10" s="1" t="n">
        <v>0.121339732883122</v>
      </c>
      <c r="F10" s="1" t="n">
        <v>0.916751649432289</v>
      </c>
      <c r="G10" s="15" t="s">
        <v>655</v>
      </c>
      <c r="H10" s="1" t="n">
        <v>100</v>
      </c>
      <c r="I10" s="1" t="n">
        <v>0</v>
      </c>
      <c r="J10" s="1" t="str">
        <f aca="false">IFERROR(INDEX($G$2:$G9,MATCH(1,($B$2:$B9=B10)*($A$2:$A9&lt;A10),0)),"")</f>
        <v/>
      </c>
      <c r="K10" s="1" t="n">
        <f aca="false">IF(AND(J10="观察池",G10="核心池"),1,0)</f>
        <v>0</v>
      </c>
      <c r="L10" s="1" t="n">
        <f aca="false">IF(G10&lt;&gt;"核心池",0,IF(J10="核心池",L9+1,1))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92" t="n">
        <v>46229</v>
      </c>
      <c r="B11" s="1" t="s">
        <v>419</v>
      </c>
      <c r="C11" s="15" t="s">
        <v>418</v>
      </c>
      <c r="D11" s="1" t="n">
        <v>21.5</v>
      </c>
      <c r="E11" s="1" t="n">
        <v>0.115884894387187</v>
      </c>
      <c r="F11" s="1" t="n">
        <v>0.916649957764473</v>
      </c>
      <c r="G11" s="15" t="s">
        <v>655</v>
      </c>
      <c r="H11" s="1" t="n">
        <v>100</v>
      </c>
      <c r="I11" s="1" t="n">
        <v>0</v>
      </c>
      <c r="J11" s="1" t="str">
        <f aca="false">IFERROR(INDEX($G$2:$G10,MATCH(1,($B$2:$B10=B11)*($A$2:$A10&lt;A11),0)),"")</f>
        <v/>
      </c>
      <c r="K11" s="1" t="n">
        <f aca="false">IF(AND(J11="观察池",G11="核心池"),1,0)</f>
        <v>0</v>
      </c>
      <c r="L11" s="1" t="n">
        <f aca="false">IF(G11&lt;&gt;"核心池",0,IF(J11="核心池",L10+1,1))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92" t="n">
        <v>46229</v>
      </c>
      <c r="B12" s="1" t="s">
        <v>421</v>
      </c>
      <c r="C12" s="15" t="s">
        <v>420</v>
      </c>
      <c r="D12" s="1" t="n">
        <v>18.87</v>
      </c>
      <c r="E12" s="1" t="n">
        <v>0.121148586472636</v>
      </c>
      <c r="F12" s="1" t="n">
        <v>0.906724814708502</v>
      </c>
      <c r="G12" s="15" t="s">
        <v>655</v>
      </c>
      <c r="H12" s="1" t="n">
        <v>100</v>
      </c>
      <c r="I12" s="1" t="n">
        <v>0</v>
      </c>
      <c r="J12" s="1" t="str">
        <f aca="false">IFERROR(INDEX($G$2:$G11,MATCH(1,($B$2:$B11=B12)*($A$2:$A11&lt;A12),0)),"")</f>
        <v/>
      </c>
      <c r="K12" s="1" t="n">
        <f aca="false">IF(AND(J12="观察池",G12="核心池"),1,0)</f>
        <v>0</v>
      </c>
      <c r="L12" s="1" t="n">
        <f aca="false">IF(G12&lt;&gt;"核心池",0,IF(J12="核心池",L11+1,1))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92" t="n">
        <v>46229</v>
      </c>
      <c r="B13" s="1" t="s">
        <v>423</v>
      </c>
      <c r="C13" s="15" t="s">
        <v>422</v>
      </c>
      <c r="D13" s="1" t="n">
        <v>5.03</v>
      </c>
      <c r="E13" s="1" t="n">
        <v>0.230295547470064</v>
      </c>
      <c r="F13" s="1" t="n">
        <v>0.966349594345001</v>
      </c>
      <c r="G13" s="15" t="s">
        <v>656</v>
      </c>
      <c r="H13" s="1" t="n">
        <v>200</v>
      </c>
      <c r="I13" s="1" t="n">
        <v>0</v>
      </c>
      <c r="J13" s="1" t="str">
        <f aca="false">IFERROR(INDEX($G$2:$G12,MATCH(1,($B$2:$B12=B13)*($A$2:$A12&lt;A13),0)),"")</f>
        <v/>
      </c>
      <c r="K13" s="1" t="n">
        <f aca="false">IF(AND(J13="观察池",G13="核心池"),1,0)</f>
        <v>0</v>
      </c>
      <c r="L13" s="1" t="n">
        <f aca="false">IF(G13&lt;&gt;"核心池",0,IF(J13="核心池",L12+1,1))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92" t="n">
        <v>46229</v>
      </c>
      <c r="B14" s="1" t="s">
        <v>425</v>
      </c>
      <c r="C14" s="15" t="s">
        <v>424</v>
      </c>
      <c r="D14" s="1" t="n">
        <v>5.43</v>
      </c>
      <c r="E14" s="1" t="n">
        <v>0.264315091191391</v>
      </c>
      <c r="F14" s="1" t="n">
        <v>0.946183041529521</v>
      </c>
      <c r="G14" s="15" t="s">
        <v>656</v>
      </c>
      <c r="H14" s="1" t="n">
        <v>200</v>
      </c>
      <c r="I14" s="1" t="n">
        <v>0</v>
      </c>
      <c r="J14" s="1" t="str">
        <f aca="false">IFERROR(INDEX($G$2:$G13,MATCH(1,($B$2:$B13=B14)*($A$2:$A13&lt;A14),0)),"")</f>
        <v/>
      </c>
      <c r="K14" s="1" t="n">
        <f aca="false">IF(AND(J14="观察池",G14="核心池"),1,0)</f>
        <v>0</v>
      </c>
      <c r="L14" s="1" t="n">
        <f aca="false">IF(G14&lt;&gt;"核心池",0,IF(J14="核心池",L13+1,1))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92" t="n">
        <v>46229</v>
      </c>
      <c r="B15" s="1" t="s">
        <v>427</v>
      </c>
      <c r="C15" s="15" t="s">
        <v>426</v>
      </c>
      <c r="D15" s="1" t="n">
        <v>5.29</v>
      </c>
      <c r="E15" s="1" t="n">
        <v>0.294214346271889</v>
      </c>
      <c r="F15" s="1" t="n">
        <v>0.944844424311078</v>
      </c>
      <c r="G15" s="15" t="s">
        <v>656</v>
      </c>
      <c r="H15" s="1" t="n">
        <v>200</v>
      </c>
      <c r="I15" s="1" t="n">
        <v>0</v>
      </c>
      <c r="J15" s="1" t="str">
        <f aca="false">IFERROR(INDEX($G$2:$G14,MATCH(1,($B$2:$B14=B15)*($A$2:$A14&lt;A15),0)),"")</f>
        <v/>
      </c>
      <c r="K15" s="1" t="n">
        <f aca="false">IF(AND(J15="观察池",G15="核心池"),1,0)</f>
        <v>0</v>
      </c>
      <c r="L15" s="1" t="n">
        <f aca="false">IF(G15&lt;&gt;"核心池",0,IF(J15="核心池",L14+1,1))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92" t="n">
        <v>46229</v>
      </c>
      <c r="B16" s="1" t="s">
        <v>429</v>
      </c>
      <c r="C16" s="15" t="s">
        <v>428</v>
      </c>
      <c r="D16" s="1" t="n">
        <v>10.12</v>
      </c>
      <c r="E16" s="1" t="n">
        <v>0.127084861361356</v>
      </c>
      <c r="F16" s="1" t="n">
        <v>0.899729521998906</v>
      </c>
      <c r="G16" s="15" t="s">
        <v>656</v>
      </c>
      <c r="H16" s="1" t="n">
        <v>100</v>
      </c>
      <c r="I16" s="1" t="n">
        <v>0</v>
      </c>
      <c r="J16" s="1" t="str">
        <f aca="false">IFERROR(INDEX($G$2:$G15,MATCH(1,($B$2:$B15=B16)*($A$2:$A15&lt;A16),0)),"")</f>
        <v/>
      </c>
      <c r="K16" s="1" t="n">
        <f aca="false">IF(AND(J16="观察池",G16="核心池"),1,0)</f>
        <v>0</v>
      </c>
      <c r="L16" s="1" t="n">
        <f aca="false">IF(G16&lt;&gt;"核心池",0,IF(J16="核心池",L15+1,1))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92" t="n">
        <v>46229</v>
      </c>
      <c r="B17" s="1" t="s">
        <v>431</v>
      </c>
      <c r="C17" s="15" t="s">
        <v>430</v>
      </c>
      <c r="D17" s="1" t="n">
        <v>11.53</v>
      </c>
      <c r="E17" s="1" t="n">
        <v>0.246630945795256</v>
      </c>
      <c r="F17" s="1" t="n">
        <v>0.894431562682973</v>
      </c>
      <c r="G17" s="15" t="s">
        <v>656</v>
      </c>
      <c r="H17" s="1" t="n">
        <v>100</v>
      </c>
      <c r="I17" s="1" t="n">
        <v>0</v>
      </c>
      <c r="J17" s="1" t="str">
        <f aca="false">IFERROR(INDEX($G$2:$G16,MATCH(1,($B$2:$B16=B17)*($A$2:$A16&lt;A17),0)),"")</f>
        <v/>
      </c>
      <c r="K17" s="1" t="n">
        <f aca="false">IF(AND(J17="观察池",G17="核心池"),1,0)</f>
        <v>0</v>
      </c>
      <c r="L17" s="1" t="n">
        <f aca="false">IF(G17&lt;&gt;"核心池",0,IF(J17="核心池",L16+1,1))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92" t="n">
        <v>46229</v>
      </c>
      <c r="B18" s="1" t="s">
        <v>433</v>
      </c>
      <c r="C18" s="15" t="s">
        <v>432</v>
      </c>
      <c r="D18" s="1" t="n">
        <v>1.98</v>
      </c>
      <c r="E18" s="1" t="n">
        <v>0.232351791787116</v>
      </c>
      <c r="F18" s="1" t="n">
        <v>0.891396922045184</v>
      </c>
      <c r="G18" s="15" t="s">
        <v>656</v>
      </c>
      <c r="H18" s="1" t="n">
        <v>500</v>
      </c>
      <c r="I18" s="1" t="n">
        <v>0</v>
      </c>
      <c r="J18" s="1" t="str">
        <f aca="false">IFERROR(INDEX($G$2:$G17,MATCH(1,($B$2:$B17=B18)*($A$2:$A17&lt;A18),0)),"")</f>
        <v/>
      </c>
      <c r="K18" s="1" t="n">
        <f aca="false">IF(AND(J18="观察池",G18="核心池"),1,0)</f>
        <v>0</v>
      </c>
      <c r="L18" s="1" t="n">
        <f aca="false">IF(G18&lt;&gt;"核心池",0,IF(J18="核心池",L17+1,1))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92" t="n">
        <v>46229</v>
      </c>
      <c r="B19" s="1" t="s">
        <v>435</v>
      </c>
      <c r="C19" s="15" t="s">
        <v>434</v>
      </c>
      <c r="D19" s="1" t="n">
        <v>15.18</v>
      </c>
      <c r="E19" s="1" t="n">
        <v>0.240501831073785</v>
      </c>
      <c r="F19" s="1" t="n">
        <v>0.880243329150861</v>
      </c>
      <c r="G19" s="15" t="s">
        <v>656</v>
      </c>
      <c r="H19" s="1" t="n">
        <v>100</v>
      </c>
      <c r="I19" s="1" t="n">
        <v>0</v>
      </c>
      <c r="J19" s="1" t="str">
        <f aca="false">IFERROR(INDEX($G$2:$G18,MATCH(1,($B$2:$B18=B19)*($A$2:$A18&lt;A19),0)),"")</f>
        <v/>
      </c>
      <c r="K19" s="1" t="n">
        <f aca="false">IF(AND(J19="观察池",G19="核心池"),1,0)</f>
        <v>0</v>
      </c>
      <c r="L19" s="1" t="n">
        <f aca="false">IF(G19&lt;&gt;"核心池",0,IF(J19="核心池",L18+1,1))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92" t="n">
        <v>46229</v>
      </c>
      <c r="B20" s="1" t="s">
        <v>437</v>
      </c>
      <c r="C20" s="15" t="s">
        <v>436</v>
      </c>
      <c r="D20" s="1" t="n">
        <v>2.12</v>
      </c>
      <c r="E20" s="1" t="n">
        <v>0.174050352294355</v>
      </c>
      <c r="F20" s="1" t="n">
        <v>0.876951353251519</v>
      </c>
      <c r="G20" s="15" t="s">
        <v>656</v>
      </c>
      <c r="H20" s="1" t="n">
        <v>400</v>
      </c>
      <c r="I20" s="1" t="n">
        <v>0</v>
      </c>
      <c r="J20" s="1" t="str">
        <f aca="false">IFERROR(INDEX($G$2:$G19,MATCH(1,($B$2:$B19=B20)*($A$2:$A19&lt;A20),0)),"")</f>
        <v/>
      </c>
      <c r="K20" s="1" t="n">
        <f aca="false">IF(AND(J20="观察池",G20="核心池"),1,0)</f>
        <v>0</v>
      </c>
      <c r="L20" s="1" t="n">
        <f aca="false">IF(G20&lt;&gt;"核心池",0,IF(J20="核心池",L19+1,1))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92" t="n">
        <v>46229</v>
      </c>
      <c r="B21" s="1" t="s">
        <v>439</v>
      </c>
      <c r="C21" s="15" t="s">
        <v>438</v>
      </c>
      <c r="D21" s="1" t="n">
        <v>7.08</v>
      </c>
      <c r="E21" s="1" t="n">
        <v>0.294703066087429</v>
      </c>
      <c r="F21" s="1" t="n">
        <v>0.867559280835112</v>
      </c>
      <c r="G21" s="15" t="s">
        <v>656</v>
      </c>
      <c r="H21" s="1" t="n">
        <v>200</v>
      </c>
      <c r="I21" s="1" t="n">
        <v>0</v>
      </c>
      <c r="J21" s="1" t="str">
        <f aca="false">IFERROR(INDEX($G$2:$G20,MATCH(1,($B$2:$B20=B21)*($A$2:$A20&lt;A21),0)),"")</f>
        <v/>
      </c>
      <c r="K21" s="1" t="n">
        <f aca="false">IF(AND(J21="观察池",G21="核心池"),1,0)</f>
        <v>0</v>
      </c>
      <c r="L21" s="1" t="n">
        <f aca="false">IF(G21&lt;&gt;"核心池",0,IF(J21="核心池",L20+1,1))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92" t="n">
        <v>46229</v>
      </c>
      <c r="B22" s="1" t="s">
        <v>441</v>
      </c>
      <c r="C22" s="15" t="s">
        <v>440</v>
      </c>
      <c r="D22" s="1" t="n">
        <v>14.88</v>
      </c>
      <c r="E22" s="1" t="n">
        <v>0.165948265449632</v>
      </c>
      <c r="F22" s="1" t="n">
        <v>0.867253369822946</v>
      </c>
      <c r="G22" s="15" t="s">
        <v>656</v>
      </c>
      <c r="H22" s="1" t="n">
        <v>100</v>
      </c>
      <c r="I22" s="1" t="n">
        <v>0</v>
      </c>
      <c r="J22" s="1" t="str">
        <f aca="false">IFERROR(INDEX($G$2:$G21,MATCH(1,($B$2:$B21=B22)*($A$2:$A21&lt;A22),0)),"")</f>
        <v/>
      </c>
      <c r="K22" s="1" t="n">
        <f aca="false">IF(AND(J22="观察池",G22="核心池"),1,0)</f>
        <v>0</v>
      </c>
      <c r="L22" s="1" t="n">
        <f aca="false">IF(G22&lt;&gt;"核心池",0,IF(J22="核心池",L21+1,1))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92" t="n">
        <v>46229</v>
      </c>
      <c r="B23" s="1" t="s">
        <v>443</v>
      </c>
      <c r="C23" s="15" t="s">
        <v>442</v>
      </c>
      <c r="D23" s="1" t="n">
        <v>17.61</v>
      </c>
      <c r="E23" s="1" t="n">
        <v>0.253402303330322</v>
      </c>
      <c r="F23" s="1" t="n">
        <v>0.846751691580814</v>
      </c>
      <c r="G23" s="15" t="s">
        <v>657</v>
      </c>
      <c r="H23" s="1" t="n">
        <v>100</v>
      </c>
      <c r="I23" s="1" t="n">
        <v>0</v>
      </c>
      <c r="J23" s="1" t="str">
        <f aca="false">IFERROR(INDEX($G$2:$G22,MATCH(1,($B$2:$B22=B23)*($A$2:$A22&lt;A23),0)),"")</f>
        <v/>
      </c>
      <c r="K23" s="1" t="n">
        <f aca="false">IF(AND(J23="观察池",G23="核心池"),1,0)</f>
        <v>0</v>
      </c>
      <c r="L23" s="1" t="n">
        <f aca="false">IF(G23&lt;&gt;"核心池",0,IF(J23="核心池",L22+1,1))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92" t="n">
        <v>46229</v>
      </c>
      <c r="B24" s="1" t="s">
        <v>445</v>
      </c>
      <c r="C24" s="15" t="s">
        <v>444</v>
      </c>
      <c r="D24" s="1" t="n">
        <v>38.51</v>
      </c>
      <c r="E24" s="1" t="n">
        <v>0.188976912364795</v>
      </c>
      <c r="F24" s="1" t="n">
        <v>0.846564729481012</v>
      </c>
      <c r="G24" s="15" t="s">
        <v>657</v>
      </c>
      <c r="H24" s="1" t="n">
        <v>100</v>
      </c>
      <c r="I24" s="1" t="n">
        <v>0</v>
      </c>
      <c r="J24" s="1" t="str">
        <f aca="false">IFERROR(INDEX($G$2:$G23,MATCH(1,($B$2:$B23=B24)*($A$2:$A23&lt;A24),0)),"")</f>
        <v/>
      </c>
      <c r="K24" s="1" t="n">
        <f aca="false">IF(AND(J24="观察池",G24="核心池"),1,0)</f>
        <v>0</v>
      </c>
      <c r="L24" s="1" t="n">
        <f aca="false">IF(G24&lt;&gt;"核心池",0,IF(J24="核心池",L23+1,1))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92" t="n">
        <v>46229</v>
      </c>
      <c r="B25" s="1" t="s">
        <v>447</v>
      </c>
      <c r="C25" s="15" t="s">
        <v>446</v>
      </c>
      <c r="D25" s="1" t="n">
        <v>8.46</v>
      </c>
      <c r="E25" s="1" t="n">
        <v>0.384101052971927</v>
      </c>
      <c r="F25" s="1" t="n">
        <v>0.842620091964338</v>
      </c>
      <c r="G25" s="15" t="s">
        <v>657</v>
      </c>
      <c r="H25" s="1" t="n">
        <v>100</v>
      </c>
      <c r="I25" s="1" t="n">
        <v>0</v>
      </c>
      <c r="J25" s="1" t="str">
        <f aca="false">IFERROR(INDEX($G$2:$G24,MATCH(1,($B$2:$B24=B25)*($A$2:$A24&lt;A25),0)),"")</f>
        <v/>
      </c>
      <c r="K25" s="1" t="n">
        <f aca="false">IF(AND(J25="观察池",G25="核心池"),1,0)</f>
        <v>0</v>
      </c>
      <c r="L25" s="1" t="n">
        <f aca="false">IF(G25&lt;&gt;"核心池",0,IF(J25="核心池",L24+1,1))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92" t="n">
        <v>46229</v>
      </c>
      <c r="B26" s="1" t="s">
        <v>449</v>
      </c>
      <c r="C26" s="15" t="s">
        <v>448</v>
      </c>
      <c r="D26" s="1" t="n">
        <v>16.01</v>
      </c>
      <c r="E26" s="1" t="n">
        <v>0.193741864254793</v>
      </c>
      <c r="F26" s="1" t="n">
        <v>0.84110522239601</v>
      </c>
      <c r="G26" s="15" t="s">
        <v>657</v>
      </c>
      <c r="H26" s="1" t="n">
        <v>100</v>
      </c>
      <c r="I26" s="1" t="n">
        <v>0</v>
      </c>
      <c r="J26" s="1" t="str">
        <f aca="false">IFERROR(INDEX($G$2:$G25,MATCH(1,($B$2:$B25=B26)*($A$2:$A25&lt;A26),0)),"")</f>
        <v/>
      </c>
      <c r="K26" s="1" t="n">
        <f aca="false">IF(AND(J26="观察池",G26="核心池"),1,0)</f>
        <v>0</v>
      </c>
      <c r="L26" s="1" t="n">
        <f aca="false">IF(G26&lt;&gt;"核心池",0,IF(J26="核心池",L25+1,1))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92" t="n">
        <v>46229</v>
      </c>
      <c r="B27" s="1" t="s">
        <v>451</v>
      </c>
      <c r="C27" s="15" t="s">
        <v>450</v>
      </c>
      <c r="D27" s="1" t="n">
        <v>8.49</v>
      </c>
      <c r="E27" s="1" t="n">
        <v>0.306636304093562</v>
      </c>
      <c r="F27" s="1" t="n">
        <v>0.825728706833739</v>
      </c>
      <c r="G27" s="15" t="s">
        <v>657</v>
      </c>
      <c r="H27" s="1" t="n">
        <v>100</v>
      </c>
      <c r="I27" s="1" t="n">
        <v>0</v>
      </c>
      <c r="J27" s="1" t="str">
        <f aca="false">IFERROR(INDEX($G$2:$G26,MATCH(1,($B$2:$B26=B27)*($A$2:$A26&lt;A27),0)),"")</f>
        <v/>
      </c>
      <c r="K27" s="1" t="n">
        <f aca="false">IF(AND(J27="观察池",G27="核心池"),1,0)</f>
        <v>0</v>
      </c>
      <c r="L27" s="1" t="n">
        <f aca="false">IF(G27&lt;&gt;"核心池",0,IF(J27="核心池",L26+1,1))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92" t="n">
        <v>46229</v>
      </c>
      <c r="B28" s="1" t="s">
        <v>453</v>
      </c>
      <c r="C28" s="15" t="s">
        <v>452</v>
      </c>
      <c r="D28" s="1" t="n">
        <v>9.06</v>
      </c>
      <c r="E28" s="1" t="n">
        <v>0.198604737837616</v>
      </c>
      <c r="F28" s="1" t="n">
        <v>0.821510721573981</v>
      </c>
      <c r="G28" s="15" t="s">
        <v>657</v>
      </c>
      <c r="H28" s="1" t="n">
        <v>100</v>
      </c>
      <c r="I28" s="1" t="n">
        <v>0</v>
      </c>
      <c r="J28" s="1" t="str">
        <f aca="false">IFERROR(INDEX($G$2:$G27,MATCH(1,($B$2:$B27=B28)*($A$2:$A27&lt;A28),0)),"")</f>
        <v/>
      </c>
      <c r="K28" s="1" t="n">
        <f aca="false">IF(AND(J28="观察池",G28="核心池"),1,0)</f>
        <v>0</v>
      </c>
      <c r="L28" s="1" t="n">
        <f aca="false">IF(G28&lt;&gt;"核心池",0,IF(J28="核心池",L27+1,1))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92" t="n">
        <v>46229</v>
      </c>
      <c r="B29" s="1" t="s">
        <v>455</v>
      </c>
      <c r="C29" s="15" t="s">
        <v>454</v>
      </c>
      <c r="D29" s="1" t="n">
        <v>30.78</v>
      </c>
      <c r="E29" s="1" t="n">
        <v>0.256598300008733</v>
      </c>
      <c r="F29" s="1" t="n">
        <v>0.818224023423837</v>
      </c>
      <c r="G29" s="15" t="s">
        <v>657</v>
      </c>
      <c r="H29" s="1" t="n">
        <v>100</v>
      </c>
      <c r="I29" s="1" t="n">
        <v>0</v>
      </c>
      <c r="J29" s="1" t="str">
        <f aca="false">IFERROR(INDEX($G$2:$G28,MATCH(1,($B$2:$B28=B29)*($A$2:$A28&lt;A29),0)),"")</f>
        <v/>
      </c>
      <c r="K29" s="1" t="n">
        <f aca="false">IF(AND(J29="观察池",G29="核心池"),1,0)</f>
        <v>0</v>
      </c>
      <c r="L29" s="1" t="n">
        <f aca="false">IF(G29&lt;&gt;"核心池",0,IF(J29="核心池",L28+1,1))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92" t="n">
        <v>46229</v>
      </c>
      <c r="B30" s="1" t="s">
        <v>457</v>
      </c>
      <c r="C30" s="15" t="s">
        <v>456</v>
      </c>
      <c r="D30" s="1" t="n">
        <v>14.68</v>
      </c>
      <c r="E30" s="1" t="n">
        <v>0.263771783517079</v>
      </c>
      <c r="F30" s="1" t="n">
        <v>0.816513962155352</v>
      </c>
      <c r="G30" s="15" t="s">
        <v>657</v>
      </c>
      <c r="H30" s="1" t="n">
        <v>100</v>
      </c>
      <c r="I30" s="1" t="n">
        <v>0</v>
      </c>
      <c r="J30" s="1" t="str">
        <f aca="false">IFERROR(INDEX($G$2:$G29,MATCH(1,($B$2:$B29=B30)*($A$2:$A29&lt;A30),0)),"")</f>
        <v/>
      </c>
      <c r="K30" s="1" t="n">
        <f aca="false">IF(AND(J30="观察池",G30="核心池"),1,0)</f>
        <v>0</v>
      </c>
      <c r="L30" s="1" t="n">
        <f aca="false">IF(G30&lt;&gt;"核心池",0,IF(J30="核心池",L29+1,1))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92" t="n">
        <v>46229</v>
      </c>
      <c r="B31" s="1" t="s">
        <v>459</v>
      </c>
      <c r="C31" s="15" t="s">
        <v>458</v>
      </c>
      <c r="D31" s="1" t="n">
        <v>7.71</v>
      </c>
      <c r="E31" s="1" t="n">
        <v>0.17665125667976</v>
      </c>
      <c r="F31" s="1" t="n">
        <v>0.810842164228016</v>
      </c>
      <c r="G31" s="15" t="s">
        <v>657</v>
      </c>
      <c r="H31" s="1" t="n">
        <v>200</v>
      </c>
      <c r="I31" s="1" t="n">
        <v>0</v>
      </c>
      <c r="J31" s="1" t="str">
        <f aca="false">IFERROR(INDEX($G$2:$G30,MATCH(1,($B$2:$B30=B31)*($A$2:$A30&lt;A31),0)),"")</f>
        <v/>
      </c>
      <c r="K31" s="1" t="n">
        <f aca="false">IF(AND(J31="观察池",G31="核心池"),1,0)</f>
        <v>0</v>
      </c>
      <c r="L31" s="1" t="n">
        <f aca="false">IF(G31&lt;&gt;"核心池",0,IF(J31="核心池",L30+1,1))</f>
        <v>0</v>
      </c>
      <c r="M31" s="1" t="str">
        <f aca="false">IF(L31&gt;=3,"信号强化",IF(K31=1,"观察转核心",""))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2026-07-26T12:48:40Z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